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F25BD9A2-CF0F-7246-A9E9-5A755450FE9A}" xr6:coauthVersionLast="45" xr6:coauthVersionMax="45" xr10:uidLastSave="{00000000-0000-0000-0000-000000000000}"/>
  <bookViews>
    <workbookView xWindow="-32220" yWindow="700" windowWidth="28040" windowHeight="17440" xr2:uid="{00000000-000D-0000-FFFF-FFFF00000000}"/>
  </bookViews>
  <sheets>
    <sheet name="20209211JAP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<sst xmlns="http://schemas.openxmlformats.org/spreadsheetml/2006/main" count="6667" uniqueCount="410">
  <si>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</si>
  <si>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</si>
  <si>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</si>
  <si>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</si>
  <si>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</si>
  <si>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</si>
  <si>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</si>
  <si>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</si>
  <si>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</si>
  <si>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</si>
  <si>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</si>
  <si>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</si>
  <si>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</si>
  <si>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</si>
  <si>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</si>
  <si>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</si>
  <si>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</si>
  <si>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1,2-Diheptadecanoyl-sn-glycero-3-phosphoethanolamine</t>
  </si>
  <si>
    <t>Organic compounds</t>
  </si>
  <si>
    <t>yes</t>
  </si>
  <si>
    <t>Lipids and lipid-like molecules</t>
  </si>
  <si>
    <t>Glycerophospholipids</t>
  </si>
  <si>
    <t>Glycerophosphoethanolamines</t>
  </si>
  <si>
    <t>kscsb</t>
  </si>
  <si>
    <t>Na(NaI)5</t>
  </si>
  <si>
    <t>Inorganic compounds</t>
  </si>
  <si>
    <t>Mixed metal/non-metal compounds</t>
  </si>
  <si>
    <t>Alkali metal salts</t>
  </si>
  <si>
    <t>Alkali metal iodides</t>
  </si>
  <si>
    <t>Carnitine (18:1/delta9-cis)</t>
  </si>
  <si>
    <t>Fatty acyls</t>
  </si>
  <si>
    <t>Fatty acid esters</t>
  </si>
  <si>
    <t>Diethyl Pthalate</t>
  </si>
  <si>
    <t>Benzenoids</t>
  </si>
  <si>
    <t>Benzene and substituted derivatives</t>
  </si>
  <si>
    <t>Benzoic acids and derivatives</t>
  </si>
  <si>
    <t>PS 36:02</t>
  </si>
  <si>
    <t>Glycerophosphoserines</t>
  </si>
  <si>
    <t>L-tert-Leucine</t>
  </si>
  <si>
    <t>Organic acids and derivatives</t>
  </si>
  <si>
    <t>Carboxylic acids and derivatives</t>
  </si>
  <si>
    <t>Amino acids, peptides, and analogues</t>
  </si>
  <si>
    <t>D-Glucosamine-6-phosphate</t>
  </si>
  <si>
    <t>Organic oxygen compounds</t>
  </si>
  <si>
    <t>Organooxygen compounds</t>
  </si>
  <si>
    <t>Carbohydrates and carbohydrate conjugates</t>
  </si>
  <si>
    <t>Nystatin</t>
  </si>
  <si>
    <t>UltraMark 1723</t>
  </si>
  <si>
    <t>Organohalogen compounds</t>
  </si>
  <si>
    <t>Organofluorides</t>
  </si>
  <si>
    <t>Phosphazene and phosphazene derivatives</t>
  </si>
  <si>
    <t>2-Deoxyadenosine-5-monophosphate</t>
  </si>
  <si>
    <t>Nucleosides, nucleotides, and analogues</t>
  </si>
  <si>
    <t>Purine nucleotides</t>
  </si>
  <si>
    <t>Purine deoxyribonucleotides</t>
  </si>
  <si>
    <t>GlcCer 36:01</t>
  </si>
  <si>
    <t>Sphingolipids</t>
  </si>
  <si>
    <t>Glycosphingolipids</t>
  </si>
  <si>
    <t>Kynurenate</t>
  </si>
  <si>
    <t>Organoheterocyclic compounds</t>
  </si>
  <si>
    <t>Quinolines and derivatives</t>
  </si>
  <si>
    <t>Quinoline carboxylic acids</t>
  </si>
  <si>
    <t>Hygromycin</t>
  </si>
  <si>
    <t>Glutarylcarnitine</t>
  </si>
  <si>
    <t>Selenomethionine</t>
  </si>
  <si>
    <t>Hexakis(1H,1H,5H-octafluoropentoxy) phosphazene</t>
  </si>
  <si>
    <t>Bishomo-gamma-linolenic Acid (20:3)</t>
  </si>
  <si>
    <t>Fatty acids and conjugates</t>
  </si>
  <si>
    <t>(S)-Carboxymethyl-L-cysteine</t>
  </si>
  <si>
    <t>Adenine</t>
  </si>
  <si>
    <t>Imidazopyrimidines</t>
  </si>
  <si>
    <t>Purines and purine derivatives</t>
  </si>
  <si>
    <t>Glyphospate</t>
  </si>
  <si>
    <t>PE (O-34:03)</t>
  </si>
  <si>
    <t>Palmitic Acid</t>
  </si>
  <si>
    <t>3,5-Diiodo-L-tyrosine</t>
  </si>
  <si>
    <t>N-Acetylneuraminate</t>
  </si>
  <si>
    <t>GVLHAVK (Tryptic Peptide)</t>
  </si>
  <si>
    <t>Cellopentaose &gt; 80%</t>
  </si>
  <si>
    <t>2,3,3',4,4',5,6-Heptabromodiphenyl ether</t>
  </si>
  <si>
    <t>Diphenylethers</t>
  </si>
  <si>
    <t>Leucine Enkephalin</t>
  </si>
  <si>
    <t>Coenzyme A</t>
  </si>
  <si>
    <t>Purine ribonucleotides</t>
  </si>
  <si>
    <t>Taurocholic Acid 3-Sulfate</t>
  </si>
  <si>
    <t>Steroids and steroid derivatives</t>
  </si>
  <si>
    <t>Bile acids, alcohols and derivatives</t>
  </si>
  <si>
    <t xml:space="preserve">2,2',3,3',4,4',5,5',6-Nonachlorobiphenyl </t>
  </si>
  <si>
    <t>Biphenyls and derivatives</t>
  </si>
  <si>
    <t>PS 40:07</t>
  </si>
  <si>
    <t>5-Hydroxy-L-tryptophan</t>
  </si>
  <si>
    <t>Indoles and derivatives</t>
  </si>
  <si>
    <t>Tryptamines and derivatives</t>
  </si>
  <si>
    <t>PA 36:02</t>
  </si>
  <si>
    <t>Glycerophosphates</t>
  </si>
  <si>
    <t>8-iso-15(R)-Prostaglandin F2alpha</t>
  </si>
  <si>
    <t>Eicosanoids</t>
  </si>
  <si>
    <t>11-beta-Prostaglandin F2alpha</t>
  </si>
  <si>
    <t>4,6-Dioxoheptanoic Acid</t>
  </si>
  <si>
    <t>Phenylpropanoids and polyketides</t>
  </si>
  <si>
    <t>Flavonoids</t>
  </si>
  <si>
    <t>O-methylated flavonoids</t>
  </si>
  <si>
    <t>L-Histidine</t>
  </si>
  <si>
    <t>D-Xylose-5-phosphate</t>
  </si>
  <si>
    <t>Homoserine</t>
  </si>
  <si>
    <t>2,6-Diaminopimelate</t>
  </si>
  <si>
    <t>12(R)-HETE</t>
  </si>
  <si>
    <t>5(S)-HETE</t>
  </si>
  <si>
    <t>GlcCer 49:01</t>
  </si>
  <si>
    <t>PC 34:03</t>
  </si>
  <si>
    <t>Glycerophosphocholines</t>
  </si>
  <si>
    <t>Creatine Phosphate</t>
  </si>
  <si>
    <t>SM 40:02</t>
  </si>
  <si>
    <t>Phosphosphingolipids</t>
  </si>
  <si>
    <t>Poly-DL-(alanine)6</t>
  </si>
  <si>
    <t>Organic polymers</t>
  </si>
  <si>
    <t>kcsb</t>
  </si>
  <si>
    <t>L-Methionine</t>
  </si>
  <si>
    <t>N-Methylaspartate</t>
  </si>
  <si>
    <t>Tricosanoate</t>
  </si>
  <si>
    <t>L-Threonic Acid</t>
  </si>
  <si>
    <t>LysoPC (13:0)</t>
  </si>
  <si>
    <t>L-Aspartic Acid</t>
  </si>
  <si>
    <t>SM 43:02</t>
  </si>
  <si>
    <t>Spermine</t>
  </si>
  <si>
    <t>Organic nitrogen compounds</t>
  </si>
  <si>
    <t>Organonitrogen compounds</t>
  </si>
  <si>
    <t>Amines</t>
  </si>
  <si>
    <t>1-Methyl-L-histidine</t>
  </si>
  <si>
    <t>3,5-Dibromo-1-tyrosine</t>
  </si>
  <si>
    <t>Uridine-5'-monophosphate</t>
  </si>
  <si>
    <t>Pyrimidine nucleotides</t>
  </si>
  <si>
    <t>Pyrimidine ribonucleotides</t>
  </si>
  <si>
    <t>Hexakis(2,2,3,3-tetrafluoropropoxy)phosphazene</t>
  </si>
  <si>
    <t>3,4-Dihydroxy-L-phenylalanine</t>
  </si>
  <si>
    <t>Deoxyadenosine Triphosphate</t>
  </si>
  <si>
    <t>Cs(NaI)7 or Na(CsI)(NaI)6</t>
  </si>
  <si>
    <t>Phleomycin</t>
  </si>
  <si>
    <t>Peptidomimetics</t>
  </si>
  <si>
    <t>Hybrid peptides</t>
  </si>
  <si>
    <t>Adenosine-2',3'-Cyclic Phosphate</t>
  </si>
  <si>
    <t>Cyclic purine nucleotides</t>
  </si>
  <si>
    <t>2,3,3',4,4',5,6-Heptachlorobiphenyl</t>
  </si>
  <si>
    <t>3-Methyglutarate</t>
  </si>
  <si>
    <t>Cer (d18:1/17:0)</t>
  </si>
  <si>
    <t>Ceramides</t>
  </si>
  <si>
    <t>TNGITPR (Tryptic Peptide)</t>
  </si>
  <si>
    <t>Amphotericin</t>
  </si>
  <si>
    <t>PS 40:01</t>
  </si>
  <si>
    <t>5'-Hydroxy-2,2',4,4',5-pentabromodiphenylether</t>
  </si>
  <si>
    <t>Cytosine</t>
  </si>
  <si>
    <t>Diazines</t>
  </si>
  <si>
    <t>Pyrimidines and pyrimidine derivatives</t>
  </si>
  <si>
    <t>Cer 40:01</t>
  </si>
  <si>
    <t>Antimycin A3</t>
  </si>
  <si>
    <t>Cortisol</t>
  </si>
  <si>
    <t>Hydroxysteroids</t>
  </si>
  <si>
    <t>4'-Hydroxy-2,2',3,3',4,5,5'-heptachlorobiphenyl</t>
  </si>
  <si>
    <t>PS 42:02</t>
  </si>
  <si>
    <t>PS 42:08</t>
  </si>
  <si>
    <t>IATAIEK (Tryptic Peptide)</t>
  </si>
  <si>
    <t>PE (O-36:02)</t>
  </si>
  <si>
    <t>Uridine Diphosphate-N-acetylgalactosamine</t>
  </si>
  <si>
    <t>Pyrimidine nucleotide sugars</t>
  </si>
  <si>
    <t>Oleic Acid (18:1)</t>
  </si>
  <si>
    <t>Arabitol</t>
  </si>
  <si>
    <t>3-Dehydroshikimate</t>
  </si>
  <si>
    <t>Carbonyl compounds</t>
  </si>
  <si>
    <t>Isocitrate</t>
  </si>
  <si>
    <t>Tricarboxylic acids and derivatives</t>
  </si>
  <si>
    <t>N-Acetyl-L-aspartic Acid</t>
  </si>
  <si>
    <t>Meso-tartrate</t>
  </si>
  <si>
    <t>PC 34:01</t>
  </si>
  <si>
    <t>Vancomycin</t>
  </si>
  <si>
    <t>Xanthosine Monophosphate</t>
  </si>
  <si>
    <t>PE 34:02</t>
  </si>
  <si>
    <t>3-Methoxytyrosine</t>
  </si>
  <si>
    <t>PC 38:06</t>
  </si>
  <si>
    <t>Serotonin</t>
  </si>
  <si>
    <t>Maltopentaose</t>
  </si>
  <si>
    <t>13-HODE</t>
  </si>
  <si>
    <t>Lineolic acids and derivatives</t>
  </si>
  <si>
    <t>Cholate</t>
  </si>
  <si>
    <t>Surfactin B</t>
  </si>
  <si>
    <t>Depsipeptides</t>
  </si>
  <si>
    <t>Quinate</t>
  </si>
  <si>
    <t>Alcohols and polyols</t>
  </si>
  <si>
    <t>4-Pyridoxate</t>
  </si>
  <si>
    <t>Pyridines and derivatives</t>
  </si>
  <si>
    <t>Pyridinecarboxylic acids and derivatives</t>
  </si>
  <si>
    <t>omega-3-Arachidonic Acid</t>
  </si>
  <si>
    <t>QEPER (Tryptic Peptide)</t>
  </si>
  <si>
    <t>PS 40:05</t>
  </si>
  <si>
    <t>PE 36:02</t>
  </si>
  <si>
    <t>Glucosamine-6-sulfate</t>
  </si>
  <si>
    <t>4'-Hydroxy-2,2',4,5,5'-pentabromodiphenylether</t>
  </si>
  <si>
    <t>SM 34:01</t>
  </si>
  <si>
    <t>Thymine</t>
  </si>
  <si>
    <t>Hexakis(1H,1H,4H-hexafluorobutyloxy)phosphazene</t>
  </si>
  <si>
    <t>5,7-Dihydroxy-3,4,5-trimethoxyflavone</t>
  </si>
  <si>
    <t>3,4-Dihydroxymandelate</t>
  </si>
  <si>
    <t>Phenols</t>
  </si>
  <si>
    <t>Benzenediols</t>
  </si>
  <si>
    <t>4-Methylcatechol</t>
  </si>
  <si>
    <t>SM 42:03</t>
  </si>
  <si>
    <t>Galactarate</t>
  </si>
  <si>
    <t>Thymidine-5'-monophosphate</t>
  </si>
  <si>
    <t>Pyrimidine deoxyribonucleotides</t>
  </si>
  <si>
    <t>Inosine-5'-monophosphate</t>
  </si>
  <si>
    <t>PC 34:02</t>
  </si>
  <si>
    <t>Leucovorin</t>
  </si>
  <si>
    <t>7-Methylguanine</t>
  </si>
  <si>
    <t>Angiotensin II</t>
  </si>
  <si>
    <t>PS 42:04</t>
  </si>
  <si>
    <t>LysoPC (2-18:0)</t>
  </si>
  <si>
    <t>Thiamine Monophosphate</t>
  </si>
  <si>
    <t>Lipoxin A4</t>
  </si>
  <si>
    <t>1,2-Distearoyl-sn-glycero-3-phosphoethanolamine</t>
  </si>
  <si>
    <t>Hesperetin</t>
  </si>
  <si>
    <t>PS 37:02</t>
  </si>
  <si>
    <t>Fructose-1-phosphate</t>
  </si>
  <si>
    <t>LysoPC (19:0)</t>
  </si>
  <si>
    <t>L-Tryptophan</t>
  </si>
  <si>
    <t>Indolyl carboxylic acids and derivatives</t>
  </si>
  <si>
    <t>UltraMark 1321</t>
  </si>
  <si>
    <t>Phosphocreatine</t>
  </si>
  <si>
    <t>PC 38:03</t>
  </si>
  <si>
    <t>Citrulline</t>
  </si>
  <si>
    <t>L-alpha-Aminoadipate</t>
  </si>
  <si>
    <t>1,2-Distearoyl-sn-glycero-3-phosphocholine</t>
  </si>
  <si>
    <t>SM 37:01</t>
  </si>
  <si>
    <t>L-Valine</t>
  </si>
  <si>
    <t>PE 36:01</t>
  </si>
  <si>
    <t>Uridine Diphosphate Glucose</t>
  </si>
  <si>
    <t>15(R)-Prostaglandin F2alpha</t>
  </si>
  <si>
    <t>TFAEALR (Tryptic Peptide)</t>
  </si>
  <si>
    <t>D-(+)-Maltose</t>
  </si>
  <si>
    <t>N-Formyl-L-methionine</t>
  </si>
  <si>
    <t>Ribose-5-phosphate</t>
  </si>
  <si>
    <t>Guanine</t>
  </si>
  <si>
    <t>LWSAK (Tryptic Peptide)</t>
  </si>
  <si>
    <t>Glycerol-3-phosphate</t>
  </si>
  <si>
    <t>d9-SM (18:1)</t>
  </si>
  <si>
    <t>L-Glutamic Acid</t>
  </si>
  <si>
    <t>D-Gluconate</t>
  </si>
  <si>
    <t>Palatinose</t>
  </si>
  <si>
    <t>Thyroxine</t>
  </si>
  <si>
    <t>SM 42:01</t>
  </si>
  <si>
    <t>D-Tryptophan</t>
  </si>
  <si>
    <t>2'-Deoxyguanosine 5'-monophosphate</t>
  </si>
  <si>
    <t>Cs(CsI)(NaI)5</t>
  </si>
  <si>
    <t>SM 36:01</t>
  </si>
  <si>
    <t>PS 42:09</t>
  </si>
  <si>
    <t>PC 32:02</t>
  </si>
  <si>
    <t>Docosahexaenoic Acid</t>
  </si>
  <si>
    <t>d7-LysoPC (18:1)</t>
  </si>
  <si>
    <t>PE (O-36:00)</t>
  </si>
  <si>
    <t>PC (17:0/02:0)</t>
  </si>
  <si>
    <t>Phenylacetyl-L-glutamine</t>
  </si>
  <si>
    <t>PC 36:02</t>
  </si>
  <si>
    <t>Na(NaI)11</t>
  </si>
  <si>
    <t>PC 36:01</t>
  </si>
  <si>
    <t>SM 40:01</t>
  </si>
  <si>
    <t>Uridine-5'-diphosphate</t>
  </si>
  <si>
    <t>Guanosine Diphosphate Mannose</t>
  </si>
  <si>
    <t>Purine nucleotide sugars</t>
  </si>
  <si>
    <t>PC (O-18:0/2:0)</t>
  </si>
  <si>
    <t>Hexazinone</t>
  </si>
  <si>
    <t>Homocystine</t>
  </si>
  <si>
    <t>Indole-3-acetate</t>
  </si>
  <si>
    <t>SM 40:00</t>
  </si>
  <si>
    <t>D-glucosyl-beta1-1'-D-erythro-sphingosine</t>
  </si>
  <si>
    <t>PS 44:05</t>
  </si>
  <si>
    <t>QIIEQLSSGFFSPK (Tryptic Peptide)</t>
  </si>
  <si>
    <t>Thiostrepton B</t>
  </si>
  <si>
    <t>MVIR (Tryptic Peptide)</t>
  </si>
  <si>
    <t>Creatinine</t>
  </si>
  <si>
    <t>7(R)-Maresin-1</t>
  </si>
  <si>
    <t>N-Acetyl-D-Tryptophan</t>
  </si>
  <si>
    <t>GlcCer 43:03</t>
  </si>
  <si>
    <t>L-Cystine</t>
  </si>
  <si>
    <t>SM 42:00</t>
  </si>
  <si>
    <t>Corticosterone</t>
  </si>
  <si>
    <t>1,2-Diarachidonoyl-sn-glycero-3-phosphoethanolamine</t>
  </si>
  <si>
    <t>Liothyronine</t>
  </si>
  <si>
    <t>d7-LysoPE (18:1)</t>
  </si>
  <si>
    <t>SM 42:04</t>
  </si>
  <si>
    <t>Kanamycin</t>
  </si>
  <si>
    <t>PC 36:01 HETE</t>
  </si>
  <si>
    <t>Hexakis(1H,1H,7H-perfluoroheptoxy)phosphazene</t>
  </si>
  <si>
    <t>Surfactin 1</t>
  </si>
  <si>
    <t>Pantothenate</t>
  </si>
  <si>
    <t>Aculeacin A</t>
  </si>
  <si>
    <t>Na(NaI)8</t>
  </si>
  <si>
    <t>L-Threonine</t>
  </si>
  <si>
    <t>VIFLENYR (Tryptic Peptide)</t>
  </si>
  <si>
    <t>Cs(CsI)2(NaI)3 or Na(CsI)3(NaI)2</t>
  </si>
  <si>
    <t>PE (O-36:01)</t>
  </si>
  <si>
    <t>PE (18:1/18:1)(del9-cis)</t>
  </si>
  <si>
    <t>Pentadecanoic Acid (15:0)</t>
  </si>
  <si>
    <t>GlcCer 42:01 OH</t>
  </si>
  <si>
    <t>LVTDLTK (Tryptic Peptide)</t>
  </si>
  <si>
    <t>gamma-Linolenate</t>
  </si>
  <si>
    <t>PE 38:03</t>
  </si>
  <si>
    <t>Carbocyclic Thromboxane A2</t>
  </si>
  <si>
    <t>Cs(CsI)5</t>
  </si>
  <si>
    <t>GlcCer 42:01</t>
  </si>
  <si>
    <t>UltraMark 1921</t>
  </si>
  <si>
    <t>PE 38:06</t>
  </si>
  <si>
    <t>PE 40:05</t>
  </si>
  <si>
    <t>PE 36:03</t>
  </si>
  <si>
    <t>GlcCer 40:02</t>
  </si>
  <si>
    <t>Uracil</t>
  </si>
  <si>
    <t>PC 36:03</t>
  </si>
  <si>
    <t>Ribitol</t>
  </si>
  <si>
    <t>Capsofungin</t>
  </si>
  <si>
    <t>beta-Glycerophosphate</t>
  </si>
  <si>
    <t>MIFAGIK (Tryptic Peptide)</t>
  </si>
  <si>
    <t>Hexakis(1H,1H,8H-tetradecafluoroctyoxy)phosphazene</t>
  </si>
  <si>
    <t>Ethyl-3-indoleacetate</t>
  </si>
  <si>
    <t>N-Acetyl-D-mannosamine</t>
  </si>
  <si>
    <t>FA (17:0)</t>
  </si>
  <si>
    <t>DL-Kynurenine</t>
  </si>
  <si>
    <t>2',4'-Dihydroxyacetophenone</t>
  </si>
  <si>
    <t>Taurodeoxycholic Acid 3-Sulfate</t>
  </si>
  <si>
    <t>d7-PC (15:0-18:1)</t>
  </si>
  <si>
    <t>Daptomycin</t>
  </si>
  <si>
    <t>PE 38:01</t>
  </si>
  <si>
    <t>alpha-D-Glucose</t>
  </si>
  <si>
    <t>2-Quinolinecarboxylate</t>
  </si>
  <si>
    <t>GlcCer 40:00</t>
  </si>
  <si>
    <t>GlcCer 42:02</t>
  </si>
  <si>
    <t>Ophthalmate</t>
  </si>
  <si>
    <t>Eicosadienoic Acid (20:2)</t>
  </si>
  <si>
    <t>TVMIGGK (Tryptic Peptide)</t>
  </si>
  <si>
    <t>Orotic Acid</t>
  </si>
  <si>
    <t>PS 41:06</t>
  </si>
  <si>
    <t>Maltotriose</t>
  </si>
  <si>
    <t>Guanidinosuccinate</t>
  </si>
  <si>
    <t>Na(NaI)9</t>
  </si>
  <si>
    <t>D-allo-Isoleucine</t>
  </si>
  <si>
    <t>1-Methyladenine</t>
  </si>
  <si>
    <t>SVYDSR (Tryptic Peptide)</t>
  </si>
  <si>
    <t>Cs(CsI)(NaI)8 or Na(CsI)2(NaI)7</t>
  </si>
  <si>
    <t>1,2-Didecanoyl-sn-glycero-3-phosphoethanolamine</t>
  </si>
  <si>
    <t>N-alpha-Acetyllysine</t>
  </si>
  <si>
    <t>Xanthine</t>
  </si>
  <si>
    <t>L-Proline</t>
  </si>
  <si>
    <t>Na(NaI)6</t>
  </si>
  <si>
    <t>Cytidine-5'-diphosphocholine</t>
  </si>
  <si>
    <t>Citicoline</t>
  </si>
  <si>
    <t>Cer 42:00 OH</t>
  </si>
  <si>
    <t>1-Stearoyl-2-oleoyl-sn-glycero-3-phosphoethanolamine</t>
  </si>
  <si>
    <t>Anilides</t>
  </si>
  <si>
    <t>Sucrose</t>
  </si>
  <si>
    <t>SIGGEVFIDFTK (Tryptic Peptide)</t>
  </si>
  <si>
    <t>UltraMark 1722</t>
  </si>
  <si>
    <t>PC (16:0E/2:0)</t>
  </si>
  <si>
    <t>Pyridoxal-5'-phosphate</t>
  </si>
  <si>
    <t>Pyridine carboxaldehydes</t>
  </si>
  <si>
    <t>Tributylammonium</t>
  </si>
  <si>
    <t>Sparfloxacin</t>
  </si>
  <si>
    <t>1,2-Dipentadecanoyl-sn-glycero-3-phosphoethanolamine</t>
  </si>
  <si>
    <t>Cer 38:00</t>
  </si>
  <si>
    <t>1,2-Dipalmitoyl-sn-glycero-3-phosphoethanolamine</t>
  </si>
  <si>
    <t>L-Ribonic Acid</t>
  </si>
  <si>
    <t>1,2-Dimyristoyl-sn-glycero-3-phosphoethanolamine</t>
  </si>
  <si>
    <t>2-Methylglutarate</t>
  </si>
  <si>
    <t>PS 34:01</t>
  </si>
  <si>
    <t>PE 34:01</t>
  </si>
  <si>
    <t>Caffeine</t>
  </si>
  <si>
    <t>N-Acetyl-DL-tryptophan</t>
  </si>
  <si>
    <t>Sulfachloropyridazine</t>
  </si>
  <si>
    <t>Benzenesulfonamides</t>
  </si>
  <si>
    <t>Actinomycin</t>
  </si>
  <si>
    <t>GlcCer 38:03</t>
  </si>
  <si>
    <t>2,4,6-Trichlorobiphenyl</t>
  </si>
  <si>
    <t>6-Carboxyhexanoate</t>
  </si>
  <si>
    <t>6-Phosphogluconate</t>
  </si>
  <si>
    <t>N-Acetylglutamate</t>
  </si>
  <si>
    <t>Spermidine</t>
  </si>
  <si>
    <t>UltraMark 1122</t>
  </si>
  <si>
    <t>cis-Aconitic acid</t>
  </si>
  <si>
    <t>2-Phospho-DL-glycerate</t>
  </si>
  <si>
    <t>GlcCer 40:00 OH</t>
  </si>
  <si>
    <t>NVPLYK (Tryptic Peptide)</t>
  </si>
  <si>
    <t>PE (O-34:02)</t>
  </si>
  <si>
    <t>PE (O-36:03)</t>
  </si>
  <si>
    <t>PE 36:05</t>
  </si>
  <si>
    <t>Cer 42:02</t>
  </si>
  <si>
    <t>allo-Threonine</t>
  </si>
  <si>
    <t>D-(-)-3-Phosphoglycerate</t>
  </si>
  <si>
    <t>UltraMark 821</t>
  </si>
  <si>
    <t>Saccharate</t>
  </si>
  <si>
    <t>Row</t>
  </si>
  <si>
    <t>count</t>
  </si>
  <si>
    <t>class.error</t>
  </si>
  <si>
    <t>Azoles</t>
  </si>
  <si>
    <t>Fatty Acyls</t>
  </si>
  <si>
    <t>Pyrenes</t>
  </si>
  <si>
    <t>Benzopyrenes</t>
  </si>
  <si>
    <t>Imidazoles</t>
  </si>
  <si>
    <t>Indoles</t>
  </si>
  <si>
    <t>Pregnane steroids</t>
  </si>
  <si>
    <t>Quaternary ammonium salts</t>
  </si>
  <si>
    <t>Predicted.Kingdom</t>
  </si>
  <si>
    <t>Predicted.Super.Class</t>
  </si>
  <si>
    <t>Predicted.Class</t>
  </si>
  <si>
    <t>Predicted.Subclass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</si>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</sst>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E1" workbookViewId="0">
      <selection activeCell="S2" sqref="S2:S355"/>
    </sheetView>
  </sheetViews>
  <sheetFormatPr baseColWidth="10" defaultRowHeight="16"/>
  <sheetData>
    <row r="1" spans="1:23">
      <c r="A1" t="s">
        <v>394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395</v>
      </c>
    </row>
    <row r="2" spans="1:23">
      <c r="A2">
        <v>1</v>
      </c>
      <c r="B2" t="s">
        <v>17</v>
      </c>
      <c r="C2">
        <v>718.53869999999995</v>
      </c>
      <c r="D2">
        <v>268.60000000000002</v>
      </c>
      <c r="E2">
        <v>-0.73641423616675195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0.99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1</v>
      </c>
      <c r="R2" t="s">
        <v>23</v>
      </c>
      <c r="S2">
        <v>4</v>
      </c>
      <c r="U2" s="3" t="s">
        <v>409</v>
      </c>
      <c r="V2" s="4">
        <v>4</v>
      </c>
      <c r="W2" s="4">
        <f>COUNTIF($S$2:$S$355,"4")</f>
        <v>354</v>
      </c>
    </row>
    <row r="3" spans="1:23">
      <c r="A3">
        <v>2</v>
      </c>
      <c r="B3" t="s">
        <v>24</v>
      </c>
      <c r="C3">
        <v>772.46100000000001</v>
      </c>
      <c r="D3">
        <v>192</v>
      </c>
      <c r="E3">
        <v>-0.59850718866448505</v>
      </c>
      <c r="F3" t="s">
        <v>25</v>
      </c>
      <c r="G3" t="s">
        <v>19</v>
      </c>
      <c r="H3">
        <v>0.66400000000000003</v>
      </c>
      <c r="I3" t="s">
        <v>26</v>
      </c>
      <c r="J3" t="s">
        <v>19</v>
      </c>
      <c r="K3">
        <v>0.62</v>
      </c>
      <c r="L3" t="s">
        <v>27</v>
      </c>
      <c r="M3" t="s">
        <v>19</v>
      </c>
      <c r="N3">
        <v>1</v>
      </c>
      <c r="O3" t="s">
        <v>28</v>
      </c>
      <c r="P3" t="s">
        <v>19</v>
      </c>
      <c r="Q3">
        <v>0.999</v>
      </c>
      <c r="R3" t="s">
        <v>23</v>
      </c>
      <c r="S3">
        <v>4</v>
      </c>
      <c r="U3" s="3"/>
      <c r="V3" s="4">
        <v>3</v>
      </c>
      <c r="W3" s="4">
        <f t="shared" ref="W3" si="0">COUNTIF($S$2:$S$355,"3")</f>
        <v>0</v>
      </c>
    </row>
    <row r="4" spans="1:23">
      <c r="A4">
        <v>3</v>
      </c>
      <c r="B4" t="s">
        <v>29</v>
      </c>
      <c r="C4">
        <v>426.35829999999999</v>
      </c>
      <c r="D4">
        <v>217.3</v>
      </c>
      <c r="E4">
        <v>-0.88224882226643297</v>
      </c>
      <c r="F4" t="s">
        <v>18</v>
      </c>
      <c r="G4" t="s">
        <v>19</v>
      </c>
      <c r="H4">
        <v>1</v>
      </c>
      <c r="I4" t="s">
        <v>20</v>
      </c>
      <c r="J4" t="s">
        <v>19</v>
      </c>
      <c r="K4">
        <v>1</v>
      </c>
      <c r="L4" t="s">
        <v>30</v>
      </c>
      <c r="M4" t="s">
        <v>19</v>
      </c>
      <c r="N4">
        <v>0.96</v>
      </c>
      <c r="O4" t="s">
        <v>31</v>
      </c>
      <c r="P4" t="s">
        <v>19</v>
      </c>
      <c r="Q4">
        <v>0.95799999999999996</v>
      </c>
      <c r="R4" t="s">
        <v>23</v>
      </c>
      <c r="S4">
        <v>4</v>
      </c>
      <c r="U4" s="3"/>
      <c r="V4" s="4">
        <v>2</v>
      </c>
      <c r="W4" s="4">
        <f>COUNTIF($S$2:$S$355,"2")</f>
        <v>0</v>
      </c>
    </row>
    <row r="5" spans="1:23">
      <c r="A5">
        <v>4</v>
      </c>
      <c r="B5" t="s">
        <v>32</v>
      </c>
      <c r="C5">
        <v>245.07900000000001</v>
      </c>
      <c r="D5">
        <v>164.2</v>
      </c>
      <c r="E5">
        <v>-0.80535657242333503</v>
      </c>
      <c r="F5" t="s">
        <v>18</v>
      </c>
      <c r="G5" t="s">
        <v>19</v>
      </c>
      <c r="H5">
        <v>1</v>
      </c>
      <c r="I5" t="s">
        <v>33</v>
      </c>
      <c r="J5" t="s">
        <v>19</v>
      </c>
      <c r="K5">
        <v>0.66</v>
      </c>
      <c r="L5" t="s">
        <v>34</v>
      </c>
      <c r="M5" t="s">
        <v>19</v>
      </c>
      <c r="N5">
        <v>0.96</v>
      </c>
      <c r="O5" t="s">
        <v>35</v>
      </c>
      <c r="P5" t="s">
        <v>19</v>
      </c>
      <c r="Q5">
        <v>0.61399999999999999</v>
      </c>
      <c r="R5" t="s">
        <v>23</v>
      </c>
      <c r="S5">
        <v>4</v>
      </c>
      <c r="U5" s="3"/>
      <c r="V5" s="4">
        <v>1</v>
      </c>
      <c r="W5" s="4">
        <f>COUNTIF($S$2:$S$355,"1")</f>
        <v>0</v>
      </c>
    </row>
    <row r="6" spans="1:23">
      <c r="A6">
        <v>5</v>
      </c>
      <c r="B6" t="s">
        <v>36</v>
      </c>
      <c r="C6">
        <v>786.53250000000003</v>
      </c>
      <c r="D6">
        <v>281.8</v>
      </c>
      <c r="E6">
        <v>-0.65429562834663102</v>
      </c>
      <c r="F6" t="s">
        <v>18</v>
      </c>
      <c r="G6" t="s">
        <v>19</v>
      </c>
      <c r="H6">
        <v>1</v>
      </c>
      <c r="I6" t="s">
        <v>20</v>
      </c>
      <c r="J6" t="s">
        <v>19</v>
      </c>
      <c r="K6">
        <v>1</v>
      </c>
      <c r="L6" t="s">
        <v>21</v>
      </c>
      <c r="M6" t="s">
        <v>19</v>
      </c>
      <c r="N6">
        <v>1</v>
      </c>
      <c r="O6" t="s">
        <v>37</v>
      </c>
      <c r="P6" t="s">
        <v>19</v>
      </c>
      <c r="Q6">
        <v>0.53600000000000003</v>
      </c>
      <c r="R6" t="s">
        <v>23</v>
      </c>
      <c r="S6">
        <v>4</v>
      </c>
      <c r="U6" s="5"/>
      <c r="V6" s="6">
        <v>0</v>
      </c>
      <c r="W6" s="6">
        <f>COUNTIF($S$2:$S$355,"0")</f>
        <v>0</v>
      </c>
    </row>
    <row r="7" spans="1:23">
      <c r="A7">
        <v>6</v>
      </c>
      <c r="B7" t="s">
        <v>38</v>
      </c>
      <c r="C7">
        <v>130.08680000000001</v>
      </c>
      <c r="D7">
        <v>130.5</v>
      </c>
      <c r="E7">
        <v>-0.94155133391893697</v>
      </c>
      <c r="F7" t="s">
        <v>18</v>
      </c>
      <c r="G7" t="s">
        <v>19</v>
      </c>
      <c r="H7">
        <v>1</v>
      </c>
      <c r="I7" t="s">
        <v>39</v>
      </c>
      <c r="J7" t="s">
        <v>19</v>
      </c>
      <c r="K7">
        <v>1</v>
      </c>
      <c r="L7" t="s">
        <v>40</v>
      </c>
      <c r="M7" t="s">
        <v>19</v>
      </c>
      <c r="N7">
        <v>1</v>
      </c>
      <c r="O7" t="s">
        <v>41</v>
      </c>
      <c r="P7" t="s">
        <v>19</v>
      </c>
      <c r="Q7">
        <v>1</v>
      </c>
      <c r="R7" t="s">
        <v>23</v>
      </c>
      <c r="S7">
        <v>4</v>
      </c>
      <c r="U7" s="4"/>
      <c r="V7" s="4"/>
      <c r="W7" s="4">
        <f>SUM(W2:W6)</f>
        <v>354</v>
      </c>
    </row>
    <row r="8" spans="1:23">
      <c r="A8">
        <v>7</v>
      </c>
      <c r="B8" t="s">
        <v>42</v>
      </c>
      <c r="C8">
        <v>282.03550000000001</v>
      </c>
      <c r="D8">
        <v>160.30000000000001</v>
      </c>
      <c r="E8">
        <v>-0.720592721455944</v>
      </c>
      <c r="F8" t="s">
        <v>18</v>
      </c>
      <c r="G8" t="s">
        <v>19</v>
      </c>
      <c r="H8">
        <v>1</v>
      </c>
      <c r="I8" t="s">
        <v>43</v>
      </c>
      <c r="J8" t="s">
        <v>19</v>
      </c>
      <c r="K8">
        <v>0.77</v>
      </c>
      <c r="L8" t="s">
        <v>44</v>
      </c>
      <c r="M8" t="s">
        <v>19</v>
      </c>
      <c r="N8">
        <v>1</v>
      </c>
      <c r="O8" t="s">
        <v>45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46</v>
      </c>
      <c r="C9">
        <v>964.46720000000005</v>
      </c>
      <c r="D9">
        <v>306</v>
      </c>
      <c r="E9">
        <v>-0.39032229773556498</v>
      </c>
      <c r="F9" t="s">
        <v>18</v>
      </c>
      <c r="G9" t="s">
        <v>19</v>
      </c>
      <c r="H9">
        <v>0.98399999999999999</v>
      </c>
      <c r="I9" t="s">
        <v>43</v>
      </c>
      <c r="J9" t="s">
        <v>19</v>
      </c>
      <c r="K9">
        <v>0.78</v>
      </c>
      <c r="L9" t="s">
        <v>44</v>
      </c>
      <c r="M9" t="s">
        <v>19</v>
      </c>
      <c r="N9">
        <v>1</v>
      </c>
      <c r="O9" t="s">
        <v>45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47</v>
      </c>
      <c r="C10">
        <v>1743.9412</v>
      </c>
      <c r="D10">
        <v>337.24</v>
      </c>
      <c r="E10">
        <v>-0.99399910779720801</v>
      </c>
      <c r="F10" t="s">
        <v>18</v>
      </c>
      <c r="G10" t="s">
        <v>19</v>
      </c>
      <c r="H10">
        <v>0.93600000000000005</v>
      </c>
      <c r="I10" t="s">
        <v>48</v>
      </c>
      <c r="J10" t="s">
        <v>19</v>
      </c>
      <c r="K10">
        <v>0.89</v>
      </c>
      <c r="L10" t="s">
        <v>49</v>
      </c>
      <c r="M10" t="s">
        <v>19</v>
      </c>
      <c r="N10">
        <v>0.98</v>
      </c>
      <c r="O10" t="s">
        <v>50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51</v>
      </c>
      <c r="C11">
        <v>352.04480000000001</v>
      </c>
      <c r="D11">
        <v>170</v>
      </c>
      <c r="E11">
        <v>-0.65172370324450002</v>
      </c>
      <c r="F11" t="s">
        <v>18</v>
      </c>
      <c r="G11" t="s">
        <v>19</v>
      </c>
      <c r="H11">
        <v>1</v>
      </c>
      <c r="I11" t="s">
        <v>52</v>
      </c>
      <c r="J11" t="s">
        <v>19</v>
      </c>
      <c r="K11">
        <v>0.99</v>
      </c>
      <c r="L11" t="s">
        <v>53</v>
      </c>
      <c r="M11" t="s">
        <v>19</v>
      </c>
      <c r="N11">
        <v>0.99</v>
      </c>
      <c r="O11" t="s">
        <v>54</v>
      </c>
      <c r="P11" t="s">
        <v>19</v>
      </c>
      <c r="Q11">
        <v>0.70199999999999996</v>
      </c>
      <c r="R11" t="s">
        <v>23</v>
      </c>
      <c r="S11">
        <v>4</v>
      </c>
    </row>
    <row r="12" spans="1:23">
      <c r="A12">
        <v>11</v>
      </c>
      <c r="B12" t="s">
        <v>55</v>
      </c>
      <c r="C12">
        <v>762.56960000000004</v>
      </c>
      <c r="D12">
        <v>284.2</v>
      </c>
      <c r="E12">
        <v>-0.71815145030882399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1</v>
      </c>
      <c r="L12" t="s">
        <v>56</v>
      </c>
      <c r="M12" t="s">
        <v>19</v>
      </c>
      <c r="N12">
        <v>0.61</v>
      </c>
      <c r="O12" t="s">
        <v>57</v>
      </c>
      <c r="P12" t="s">
        <v>19</v>
      </c>
      <c r="Q12">
        <v>0.61399999999999999</v>
      </c>
      <c r="R12" t="s">
        <v>23</v>
      </c>
      <c r="S12">
        <v>4</v>
      </c>
    </row>
    <row r="13" spans="1:23">
      <c r="A13">
        <v>12</v>
      </c>
      <c r="B13" t="s">
        <v>58</v>
      </c>
      <c r="C13">
        <v>188.03649999999999</v>
      </c>
      <c r="D13">
        <v>135.30000000000001</v>
      </c>
      <c r="E13">
        <v>-0.82654748522099897</v>
      </c>
      <c r="F13" t="s">
        <v>18</v>
      </c>
      <c r="G13" t="s">
        <v>19</v>
      </c>
      <c r="H13">
        <v>1</v>
      </c>
      <c r="I13" t="s">
        <v>59</v>
      </c>
      <c r="J13" t="s">
        <v>19</v>
      </c>
      <c r="K13">
        <v>0.68</v>
      </c>
      <c r="L13" t="s">
        <v>60</v>
      </c>
      <c r="M13" t="s">
        <v>19</v>
      </c>
      <c r="N13">
        <v>0.67</v>
      </c>
      <c r="O13" t="s">
        <v>61</v>
      </c>
      <c r="P13" t="s">
        <v>19</v>
      </c>
      <c r="Q13">
        <v>0.99399999999999999</v>
      </c>
      <c r="R13" t="s">
        <v>23</v>
      </c>
      <c r="S13">
        <v>4</v>
      </c>
    </row>
    <row r="14" spans="1:23">
      <c r="A14">
        <v>13</v>
      </c>
      <c r="B14" t="s">
        <v>62</v>
      </c>
      <c r="C14">
        <v>566.19629999999995</v>
      </c>
      <c r="D14">
        <v>221.5</v>
      </c>
      <c r="E14">
        <v>-0.56411243511991005</v>
      </c>
      <c r="F14" t="s">
        <v>18</v>
      </c>
      <c r="G14" t="s">
        <v>19</v>
      </c>
      <c r="H14">
        <v>1</v>
      </c>
      <c r="I14" t="s">
        <v>43</v>
      </c>
      <c r="J14" t="s">
        <v>19</v>
      </c>
      <c r="K14">
        <v>0.76</v>
      </c>
      <c r="L14" t="s">
        <v>44</v>
      </c>
      <c r="M14" t="s">
        <v>19</v>
      </c>
      <c r="N14">
        <v>1</v>
      </c>
      <c r="O14" t="s">
        <v>45</v>
      </c>
      <c r="P14" t="s">
        <v>19</v>
      </c>
      <c r="Q14">
        <v>1</v>
      </c>
      <c r="R14" t="s">
        <v>23</v>
      </c>
      <c r="S14">
        <v>4</v>
      </c>
    </row>
    <row r="15" spans="1:23">
      <c r="A15">
        <v>14</v>
      </c>
      <c r="B15" t="s">
        <v>63</v>
      </c>
      <c r="C15">
        <v>274.12990000000002</v>
      </c>
      <c r="D15">
        <v>165.5</v>
      </c>
      <c r="E15">
        <v>-0.82381973430102595</v>
      </c>
      <c r="F15" t="s">
        <v>18</v>
      </c>
      <c r="G15" t="s">
        <v>19</v>
      </c>
      <c r="H15">
        <v>1</v>
      </c>
      <c r="I15" t="s">
        <v>20</v>
      </c>
      <c r="J15" t="s">
        <v>19</v>
      </c>
      <c r="K15">
        <v>0.67</v>
      </c>
      <c r="L15" t="s">
        <v>30</v>
      </c>
      <c r="M15" t="s">
        <v>19</v>
      </c>
      <c r="N15">
        <v>0.88</v>
      </c>
      <c r="O15" t="s">
        <v>31</v>
      </c>
      <c r="P15" t="s">
        <v>19</v>
      </c>
      <c r="Q15">
        <v>0.84899999999999998</v>
      </c>
      <c r="R15" t="s">
        <v>23</v>
      </c>
      <c r="S15">
        <v>4</v>
      </c>
    </row>
    <row r="16" spans="1:23">
      <c r="A16">
        <v>15</v>
      </c>
      <c r="B16" t="s">
        <v>64</v>
      </c>
      <c r="C16">
        <v>195.9888</v>
      </c>
      <c r="D16">
        <v>150</v>
      </c>
      <c r="E16">
        <v>-0.76996832940139404</v>
      </c>
      <c r="F16" t="s">
        <v>18</v>
      </c>
      <c r="G16" t="s">
        <v>19</v>
      </c>
      <c r="H16">
        <v>1</v>
      </c>
      <c r="I16" t="s">
        <v>39</v>
      </c>
      <c r="J16" t="s">
        <v>19</v>
      </c>
      <c r="K16">
        <v>0.78</v>
      </c>
      <c r="L16" t="s">
        <v>40</v>
      </c>
      <c r="M16" t="s">
        <v>19</v>
      </c>
      <c r="N16">
        <v>1</v>
      </c>
      <c r="O16" t="s">
        <v>41</v>
      </c>
      <c r="P16" t="s">
        <v>19</v>
      </c>
      <c r="Q16">
        <v>0.86599999999999999</v>
      </c>
      <c r="R16" t="s">
        <v>23</v>
      </c>
      <c r="S16">
        <v>4</v>
      </c>
    </row>
    <row r="17" spans="1:19">
      <c r="A17">
        <v>16</v>
      </c>
      <c r="B17" t="s">
        <v>65</v>
      </c>
      <c r="C17">
        <v>1633.9492</v>
      </c>
      <c r="D17">
        <v>320.3</v>
      </c>
      <c r="E17">
        <v>-0.12481088639106</v>
      </c>
      <c r="F17" t="s">
        <v>18</v>
      </c>
      <c r="G17" t="s">
        <v>19</v>
      </c>
      <c r="H17">
        <v>0.998</v>
      </c>
      <c r="I17" t="s">
        <v>48</v>
      </c>
      <c r="J17" t="s">
        <v>19</v>
      </c>
      <c r="K17">
        <v>0.97</v>
      </c>
      <c r="L17" t="s">
        <v>49</v>
      </c>
      <c r="M17" t="s">
        <v>19</v>
      </c>
      <c r="N17">
        <v>1</v>
      </c>
      <c r="O17" t="s">
        <v>50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66</v>
      </c>
      <c r="C18">
        <v>329.24560000000002</v>
      </c>
      <c r="D18">
        <v>182.2</v>
      </c>
      <c r="E18">
        <v>-0.87798019373946101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0.99</v>
      </c>
      <c r="L18" t="s">
        <v>30</v>
      </c>
      <c r="M18" t="s">
        <v>19</v>
      </c>
      <c r="N18">
        <v>0.97</v>
      </c>
      <c r="O18" t="s">
        <v>67</v>
      </c>
      <c r="P18" t="s">
        <v>19</v>
      </c>
      <c r="Q18">
        <v>0.98599999999999999</v>
      </c>
      <c r="R18" t="s">
        <v>23</v>
      </c>
      <c r="S18">
        <v>4</v>
      </c>
    </row>
    <row r="19" spans="1:19">
      <c r="A19">
        <v>18</v>
      </c>
      <c r="B19" t="s">
        <v>68</v>
      </c>
      <c r="C19">
        <v>180.0325</v>
      </c>
      <c r="D19">
        <v>137.1</v>
      </c>
      <c r="E19">
        <v>-0.83148436677481596</v>
      </c>
      <c r="F19" t="s">
        <v>18</v>
      </c>
      <c r="G19" t="s">
        <v>19</v>
      </c>
      <c r="H19">
        <v>1</v>
      </c>
      <c r="I19" t="s">
        <v>39</v>
      </c>
      <c r="J19" t="s">
        <v>19</v>
      </c>
      <c r="K19">
        <v>0.73</v>
      </c>
      <c r="L19" t="s">
        <v>40</v>
      </c>
      <c r="M19" t="s">
        <v>19</v>
      </c>
      <c r="N19">
        <v>1</v>
      </c>
      <c r="O19" t="s">
        <v>41</v>
      </c>
      <c r="P19" t="s">
        <v>19</v>
      </c>
      <c r="Q19">
        <v>0.98899999999999999</v>
      </c>
      <c r="R19" t="s">
        <v>23</v>
      </c>
      <c r="S19">
        <v>4</v>
      </c>
    </row>
    <row r="20" spans="1:19">
      <c r="A20">
        <v>19</v>
      </c>
      <c r="B20" t="s">
        <v>69</v>
      </c>
      <c r="C20">
        <v>136.06139999999999</v>
      </c>
      <c r="D20">
        <v>125.6</v>
      </c>
      <c r="E20">
        <v>-0.90948038282806498</v>
      </c>
      <c r="F20" t="s">
        <v>18</v>
      </c>
      <c r="G20" t="s">
        <v>19</v>
      </c>
      <c r="H20">
        <v>1</v>
      </c>
      <c r="I20" t="s">
        <v>59</v>
      </c>
      <c r="J20" t="s">
        <v>19</v>
      </c>
      <c r="K20">
        <v>0.88</v>
      </c>
      <c r="L20" t="s">
        <v>70</v>
      </c>
      <c r="M20" t="s">
        <v>19</v>
      </c>
      <c r="N20">
        <v>0.75</v>
      </c>
      <c r="O20" t="s">
        <v>71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72</v>
      </c>
      <c r="C21">
        <v>168.00630000000001</v>
      </c>
      <c r="D21">
        <v>128.6</v>
      </c>
      <c r="E21">
        <v>-0.81871224345425697</v>
      </c>
      <c r="F21" t="s">
        <v>18</v>
      </c>
      <c r="G21" t="s">
        <v>19</v>
      </c>
      <c r="H21">
        <v>1</v>
      </c>
      <c r="I21" t="s">
        <v>39</v>
      </c>
      <c r="J21" t="s">
        <v>19</v>
      </c>
      <c r="K21">
        <v>0.77</v>
      </c>
      <c r="L21" t="s">
        <v>40</v>
      </c>
      <c r="M21" t="s">
        <v>19</v>
      </c>
      <c r="N21">
        <v>1</v>
      </c>
      <c r="O21" t="s">
        <v>41</v>
      </c>
      <c r="P21" t="s">
        <v>19</v>
      </c>
      <c r="Q21">
        <v>0.92900000000000005</v>
      </c>
      <c r="R21" t="s">
        <v>23</v>
      </c>
      <c r="S21">
        <v>4</v>
      </c>
    </row>
    <row r="22" spans="1:19">
      <c r="A22">
        <v>21</v>
      </c>
      <c r="B22" t="s">
        <v>73</v>
      </c>
      <c r="C22">
        <v>722.51</v>
      </c>
      <c r="D22">
        <v>271.89999999999998</v>
      </c>
      <c r="E22">
        <v>-0.70328007353373301</v>
      </c>
      <c r="F22" t="s">
        <v>18</v>
      </c>
      <c r="G22" t="s">
        <v>19</v>
      </c>
      <c r="H22">
        <v>1</v>
      </c>
      <c r="I22" t="s">
        <v>20</v>
      </c>
      <c r="J22" t="s">
        <v>19</v>
      </c>
      <c r="K22">
        <v>1</v>
      </c>
      <c r="L22" t="s">
        <v>21</v>
      </c>
      <c r="M22" t="s">
        <v>19</v>
      </c>
      <c r="N22">
        <v>1</v>
      </c>
      <c r="O22" t="s">
        <v>22</v>
      </c>
      <c r="P22" t="s">
        <v>19</v>
      </c>
      <c r="Q22">
        <v>0.92700000000000005</v>
      </c>
      <c r="R22" t="s">
        <v>23</v>
      </c>
      <c r="S22">
        <v>4</v>
      </c>
    </row>
    <row r="23" spans="1:19">
      <c r="A23">
        <v>22</v>
      </c>
      <c r="B23" t="s">
        <v>74</v>
      </c>
      <c r="C23">
        <v>255.233</v>
      </c>
      <c r="D23">
        <v>169</v>
      </c>
      <c r="E23">
        <v>-0.94801910424527602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1</v>
      </c>
      <c r="L23" t="s">
        <v>30</v>
      </c>
      <c r="M23" t="s">
        <v>19</v>
      </c>
      <c r="N23">
        <v>0.99</v>
      </c>
      <c r="O23" t="s">
        <v>67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75</v>
      </c>
      <c r="C24">
        <v>431.86239999999998</v>
      </c>
      <c r="D24">
        <v>159.4</v>
      </c>
      <c r="E24">
        <v>-0.38020320885311798</v>
      </c>
      <c r="F24" t="s">
        <v>18</v>
      </c>
      <c r="G24" t="s">
        <v>19</v>
      </c>
      <c r="H24">
        <v>0.97399999999999998</v>
      </c>
      <c r="I24" t="s">
        <v>39</v>
      </c>
      <c r="J24" t="s">
        <v>19</v>
      </c>
      <c r="K24">
        <v>0.89</v>
      </c>
      <c r="L24" t="s">
        <v>40</v>
      </c>
      <c r="M24" t="s">
        <v>19</v>
      </c>
      <c r="N24">
        <v>1</v>
      </c>
      <c r="O24" t="s">
        <v>41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76</v>
      </c>
      <c r="C25">
        <v>308.10180000000003</v>
      </c>
      <c r="D25">
        <v>158.4</v>
      </c>
      <c r="E25">
        <v>-0.75778834418889596</v>
      </c>
      <c r="F25" t="s">
        <v>18</v>
      </c>
      <c r="G25" t="s">
        <v>19</v>
      </c>
      <c r="H25">
        <v>1</v>
      </c>
      <c r="I25" t="s">
        <v>43</v>
      </c>
      <c r="J25" t="s">
        <v>19</v>
      </c>
      <c r="K25">
        <v>0.76</v>
      </c>
      <c r="L25" t="s">
        <v>44</v>
      </c>
      <c r="M25" t="s">
        <v>19</v>
      </c>
      <c r="N25">
        <v>1</v>
      </c>
      <c r="O25" t="s">
        <v>45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77</v>
      </c>
      <c r="C26">
        <v>723.45169999999996</v>
      </c>
      <c r="D26">
        <v>268.2</v>
      </c>
      <c r="E26">
        <v>-0.64392861659234801</v>
      </c>
      <c r="F26" t="s">
        <v>18</v>
      </c>
      <c r="G26" t="s">
        <v>19</v>
      </c>
      <c r="H26">
        <v>1</v>
      </c>
      <c r="I26" t="s">
        <v>39</v>
      </c>
      <c r="J26" t="s">
        <v>19</v>
      </c>
      <c r="K26">
        <v>0.59</v>
      </c>
      <c r="L26" t="s">
        <v>40</v>
      </c>
      <c r="M26" t="s">
        <v>19</v>
      </c>
      <c r="N26">
        <v>0.99</v>
      </c>
      <c r="O26" t="s">
        <v>41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78</v>
      </c>
      <c r="C27">
        <v>827.26679999999999</v>
      </c>
      <c r="D27">
        <v>246.4</v>
      </c>
      <c r="E27">
        <v>-0.34311366754241102</v>
      </c>
      <c r="F27" t="s">
        <v>18</v>
      </c>
      <c r="G27" t="s">
        <v>19</v>
      </c>
      <c r="H27">
        <v>1</v>
      </c>
      <c r="I27" t="s">
        <v>43</v>
      </c>
      <c r="J27" t="s">
        <v>19</v>
      </c>
      <c r="K27">
        <v>0.83</v>
      </c>
      <c r="L27" t="s">
        <v>44</v>
      </c>
      <c r="M27" t="s">
        <v>19</v>
      </c>
      <c r="N27">
        <v>1</v>
      </c>
      <c r="O27" t="s">
        <v>45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79</v>
      </c>
      <c r="C28">
        <v>652.52329999999995</v>
      </c>
      <c r="D28">
        <v>190.4</v>
      </c>
      <c r="E28">
        <v>-0.794723857671784</v>
      </c>
      <c r="F28" t="s">
        <v>18</v>
      </c>
      <c r="G28" t="s">
        <v>19</v>
      </c>
      <c r="H28">
        <v>0.92800000000000005</v>
      </c>
      <c r="I28" t="s">
        <v>33</v>
      </c>
      <c r="J28" t="s">
        <v>19</v>
      </c>
      <c r="K28">
        <v>0.82</v>
      </c>
      <c r="L28" t="s">
        <v>34</v>
      </c>
      <c r="M28" t="s">
        <v>19</v>
      </c>
      <c r="N28">
        <v>0.97</v>
      </c>
      <c r="O28" t="s">
        <v>80</v>
      </c>
      <c r="P28" t="s">
        <v>19</v>
      </c>
      <c r="Q28">
        <v>0.92600000000000005</v>
      </c>
      <c r="R28" t="s">
        <v>23</v>
      </c>
      <c r="S28">
        <v>4</v>
      </c>
    </row>
    <row r="29" spans="1:19">
      <c r="A29">
        <v>28</v>
      </c>
      <c r="B29" t="s">
        <v>81</v>
      </c>
      <c r="C29">
        <v>554.26149999999996</v>
      </c>
      <c r="D29">
        <v>222.6</v>
      </c>
      <c r="E29">
        <v>-0.64263825895409399</v>
      </c>
      <c r="F29" t="s">
        <v>18</v>
      </c>
      <c r="G29" t="s">
        <v>19</v>
      </c>
      <c r="H29">
        <v>1</v>
      </c>
      <c r="I29" t="s">
        <v>39</v>
      </c>
      <c r="J29" t="s">
        <v>19</v>
      </c>
      <c r="K29">
        <v>0.7</v>
      </c>
      <c r="L29" t="s">
        <v>40</v>
      </c>
      <c r="M29" t="s">
        <v>19</v>
      </c>
      <c r="N29">
        <v>0.99</v>
      </c>
      <c r="O29" t="s">
        <v>41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82</v>
      </c>
      <c r="C30">
        <v>790.10500000000002</v>
      </c>
      <c r="D30">
        <v>255.6</v>
      </c>
      <c r="E30">
        <v>-0.22280674661863001</v>
      </c>
      <c r="F30" t="s">
        <v>18</v>
      </c>
      <c r="G30" t="s">
        <v>19</v>
      </c>
      <c r="H30">
        <v>1</v>
      </c>
      <c r="I30" t="s">
        <v>52</v>
      </c>
      <c r="J30" t="s">
        <v>19</v>
      </c>
      <c r="K30">
        <v>0.67</v>
      </c>
      <c r="L30" t="s">
        <v>53</v>
      </c>
      <c r="M30" t="s">
        <v>19</v>
      </c>
      <c r="N30">
        <v>0.96</v>
      </c>
      <c r="O30" t="s">
        <v>83</v>
      </c>
      <c r="P30" t="s">
        <v>19</v>
      </c>
      <c r="Q30">
        <v>0.91100000000000003</v>
      </c>
      <c r="R30" t="s">
        <v>23</v>
      </c>
      <c r="S30">
        <v>4</v>
      </c>
    </row>
    <row r="31" spans="1:19">
      <c r="A31">
        <v>30</v>
      </c>
      <c r="B31" t="s">
        <v>84</v>
      </c>
      <c r="C31">
        <v>594.24069999999995</v>
      </c>
      <c r="D31">
        <v>221.2</v>
      </c>
      <c r="E31">
        <v>-0.57719940650326895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0.69</v>
      </c>
      <c r="L31" t="s">
        <v>85</v>
      </c>
      <c r="M31" t="s">
        <v>19</v>
      </c>
      <c r="N31">
        <v>0.85</v>
      </c>
      <c r="O31" t="s">
        <v>86</v>
      </c>
      <c r="P31" t="s">
        <v>19</v>
      </c>
      <c r="Q31">
        <v>0.91300000000000003</v>
      </c>
      <c r="R31" t="s">
        <v>23</v>
      </c>
      <c r="S31">
        <v>4</v>
      </c>
    </row>
    <row r="32" spans="1:19">
      <c r="A32">
        <v>31</v>
      </c>
      <c r="B32" t="s">
        <v>87</v>
      </c>
      <c r="C32">
        <v>440.75360000000001</v>
      </c>
      <c r="D32">
        <v>182.8</v>
      </c>
      <c r="E32">
        <v>-0.26147572243746697</v>
      </c>
      <c r="F32" t="s">
        <v>18</v>
      </c>
      <c r="G32" t="s">
        <v>19</v>
      </c>
      <c r="H32">
        <v>1</v>
      </c>
      <c r="I32" t="s">
        <v>33</v>
      </c>
      <c r="J32" t="s">
        <v>19</v>
      </c>
      <c r="K32">
        <v>0.75</v>
      </c>
      <c r="L32" t="s">
        <v>34</v>
      </c>
      <c r="M32" t="s">
        <v>19</v>
      </c>
      <c r="N32">
        <v>1</v>
      </c>
      <c r="O32" t="s">
        <v>88</v>
      </c>
      <c r="P32" t="s">
        <v>19</v>
      </c>
      <c r="Q32">
        <v>0.95899999999999996</v>
      </c>
      <c r="R32" t="s">
        <v>23</v>
      </c>
      <c r="S32">
        <v>4</v>
      </c>
    </row>
    <row r="33" spans="1:19">
      <c r="A33">
        <v>32</v>
      </c>
      <c r="B33" t="s">
        <v>89</v>
      </c>
      <c r="C33">
        <v>856.5104</v>
      </c>
      <c r="D33">
        <v>291.89999999999998</v>
      </c>
      <c r="E33">
        <v>-0.55406166986540495</v>
      </c>
      <c r="F33" t="s">
        <v>18</v>
      </c>
      <c r="G33" t="s">
        <v>19</v>
      </c>
      <c r="H33">
        <v>1</v>
      </c>
      <c r="I33" t="s">
        <v>20</v>
      </c>
      <c r="J33" t="s">
        <v>19</v>
      </c>
      <c r="K33">
        <v>1</v>
      </c>
      <c r="L33" t="s">
        <v>21</v>
      </c>
      <c r="M33" t="s">
        <v>19</v>
      </c>
      <c r="N33">
        <v>1</v>
      </c>
      <c r="O33" t="s">
        <v>37</v>
      </c>
      <c r="P33" t="s">
        <v>19</v>
      </c>
      <c r="Q33">
        <v>0.99199999999999999</v>
      </c>
      <c r="R33" t="s">
        <v>23</v>
      </c>
      <c r="S33">
        <v>4</v>
      </c>
    </row>
    <row r="34" spans="1:19">
      <c r="A34">
        <v>33</v>
      </c>
      <c r="B34" t="s">
        <v>90</v>
      </c>
      <c r="C34">
        <v>219.078</v>
      </c>
      <c r="D34">
        <v>151.9</v>
      </c>
      <c r="E34">
        <v>-0.83338803885016</v>
      </c>
      <c r="F34" t="s">
        <v>18</v>
      </c>
      <c r="G34" t="s">
        <v>19</v>
      </c>
      <c r="H34">
        <v>1</v>
      </c>
      <c r="I34" t="s">
        <v>59</v>
      </c>
      <c r="J34" t="s">
        <v>19</v>
      </c>
      <c r="K34">
        <v>0.67</v>
      </c>
      <c r="L34" t="s">
        <v>91</v>
      </c>
      <c r="M34" t="s">
        <v>19</v>
      </c>
      <c r="N34">
        <v>0.97</v>
      </c>
      <c r="O34" t="s">
        <v>92</v>
      </c>
      <c r="P34" t="s">
        <v>19</v>
      </c>
      <c r="Q34">
        <v>0.81499999999999995</v>
      </c>
      <c r="R34" t="s">
        <v>23</v>
      </c>
      <c r="S34">
        <v>4</v>
      </c>
    </row>
    <row r="35" spans="1:19">
      <c r="A35">
        <v>34</v>
      </c>
      <c r="B35" t="s">
        <v>93</v>
      </c>
      <c r="C35">
        <v>745.476</v>
      </c>
      <c r="D35">
        <v>274.2</v>
      </c>
      <c r="E35">
        <v>-0.64363734217886304</v>
      </c>
      <c r="F35" t="s">
        <v>18</v>
      </c>
      <c r="G35" t="s">
        <v>19</v>
      </c>
      <c r="H35">
        <v>1</v>
      </c>
      <c r="I35" t="s">
        <v>20</v>
      </c>
      <c r="J35" t="s">
        <v>19</v>
      </c>
      <c r="K35">
        <v>0.98</v>
      </c>
      <c r="L35" t="s">
        <v>21</v>
      </c>
      <c r="M35" t="s">
        <v>19</v>
      </c>
      <c r="N35">
        <v>1</v>
      </c>
      <c r="O35" t="s">
        <v>94</v>
      </c>
      <c r="P35" t="s">
        <v>19</v>
      </c>
      <c r="Q35">
        <v>0.85499999999999998</v>
      </c>
      <c r="R35" t="s">
        <v>23</v>
      </c>
      <c r="S35">
        <v>4</v>
      </c>
    </row>
    <row r="36" spans="1:19">
      <c r="A36">
        <v>35</v>
      </c>
      <c r="B36" t="s">
        <v>95</v>
      </c>
      <c r="C36">
        <v>377.23039999999997</v>
      </c>
      <c r="D36">
        <v>199.5</v>
      </c>
      <c r="E36">
        <v>-0.80920267325177497</v>
      </c>
      <c r="F36" t="s">
        <v>18</v>
      </c>
      <c r="G36" t="s">
        <v>19</v>
      </c>
      <c r="H36">
        <v>1</v>
      </c>
      <c r="I36" t="s">
        <v>20</v>
      </c>
      <c r="J36" t="s">
        <v>19</v>
      </c>
      <c r="K36">
        <v>0.98</v>
      </c>
      <c r="L36" t="s">
        <v>30</v>
      </c>
      <c r="M36" t="s">
        <v>19</v>
      </c>
      <c r="N36">
        <v>1</v>
      </c>
      <c r="O36" t="s">
        <v>96</v>
      </c>
      <c r="P36" t="s">
        <v>19</v>
      </c>
      <c r="Q36">
        <v>0.97699999999999998</v>
      </c>
      <c r="R36" t="s">
        <v>23</v>
      </c>
      <c r="S36">
        <v>4</v>
      </c>
    </row>
    <row r="37" spans="1:19">
      <c r="A37">
        <v>36</v>
      </c>
      <c r="B37" t="s">
        <v>97</v>
      </c>
      <c r="C37">
        <v>353.2328</v>
      </c>
      <c r="D37">
        <v>193.5</v>
      </c>
      <c r="E37">
        <v>-0.83839723956560896</v>
      </c>
      <c r="F37" t="s">
        <v>18</v>
      </c>
      <c r="G37" t="s">
        <v>19</v>
      </c>
      <c r="H37">
        <v>1</v>
      </c>
      <c r="I37" t="s">
        <v>20</v>
      </c>
      <c r="J37" t="s">
        <v>19</v>
      </c>
      <c r="K37">
        <v>1</v>
      </c>
      <c r="L37" t="s">
        <v>30</v>
      </c>
      <c r="M37" t="s">
        <v>19</v>
      </c>
      <c r="N37">
        <v>1</v>
      </c>
      <c r="O37" t="s">
        <v>96</v>
      </c>
      <c r="P37" t="s">
        <v>19</v>
      </c>
      <c r="Q37">
        <v>0.99399999999999999</v>
      </c>
      <c r="R37" t="s">
        <v>23</v>
      </c>
      <c r="S37">
        <v>4</v>
      </c>
    </row>
    <row r="38" spans="1:19">
      <c r="A38">
        <v>37</v>
      </c>
      <c r="B38" t="s">
        <v>98</v>
      </c>
      <c r="C38">
        <v>157.05009999999999</v>
      </c>
      <c r="D38">
        <v>131</v>
      </c>
      <c r="E38">
        <v>-0.87474540958115199</v>
      </c>
      <c r="F38" t="s">
        <v>18</v>
      </c>
      <c r="G38" t="s">
        <v>19</v>
      </c>
      <c r="H38">
        <v>1</v>
      </c>
      <c r="I38" t="s">
        <v>99</v>
      </c>
      <c r="J38" t="s">
        <v>19</v>
      </c>
      <c r="K38">
        <v>0.63</v>
      </c>
      <c r="L38" t="s">
        <v>100</v>
      </c>
      <c r="M38" t="s">
        <v>19</v>
      </c>
      <c r="N38">
        <v>0.86</v>
      </c>
      <c r="O38" t="s">
        <v>101</v>
      </c>
      <c r="P38" t="s">
        <v>19</v>
      </c>
      <c r="Q38">
        <v>0.96299999999999997</v>
      </c>
      <c r="R38" t="s">
        <v>23</v>
      </c>
      <c r="S38">
        <v>4</v>
      </c>
    </row>
    <row r="39" spans="1:19">
      <c r="A39">
        <v>38</v>
      </c>
      <c r="B39" t="s">
        <v>102</v>
      </c>
      <c r="C39">
        <v>156.07679999999999</v>
      </c>
      <c r="D39">
        <v>132.30000000000001</v>
      </c>
      <c r="E39">
        <v>-0.90253214956320005</v>
      </c>
      <c r="F39" t="s">
        <v>18</v>
      </c>
      <c r="G39" t="s">
        <v>19</v>
      </c>
      <c r="H39">
        <v>1</v>
      </c>
      <c r="I39" t="s">
        <v>39</v>
      </c>
      <c r="J39" t="s">
        <v>19</v>
      </c>
      <c r="K39">
        <v>0.91</v>
      </c>
      <c r="L39" t="s">
        <v>40</v>
      </c>
      <c r="M39" t="s">
        <v>19</v>
      </c>
      <c r="N39">
        <v>1</v>
      </c>
      <c r="O39" t="s">
        <v>41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103</v>
      </c>
      <c r="C40">
        <v>254.01669999999999</v>
      </c>
      <c r="D40">
        <v>150.30000000000001</v>
      </c>
      <c r="E40">
        <v>-0.733077166343435</v>
      </c>
      <c r="F40" t="s">
        <v>18</v>
      </c>
      <c r="G40" t="s">
        <v>19</v>
      </c>
      <c r="H40">
        <v>1</v>
      </c>
      <c r="I40" t="s">
        <v>43</v>
      </c>
      <c r="J40" t="s">
        <v>19</v>
      </c>
      <c r="K40">
        <v>0.97</v>
      </c>
      <c r="L40" t="s">
        <v>44</v>
      </c>
      <c r="M40" t="s">
        <v>19</v>
      </c>
      <c r="N40">
        <v>1</v>
      </c>
      <c r="O40" t="s">
        <v>45</v>
      </c>
      <c r="P40" t="s">
        <v>19</v>
      </c>
      <c r="Q40">
        <v>1</v>
      </c>
      <c r="R40" t="s">
        <v>23</v>
      </c>
      <c r="S40">
        <v>4</v>
      </c>
    </row>
    <row r="41" spans="1:19">
      <c r="A41">
        <v>40</v>
      </c>
      <c r="B41" t="s">
        <v>104</v>
      </c>
      <c r="C41">
        <v>118.0509</v>
      </c>
      <c r="D41">
        <v>120.8</v>
      </c>
      <c r="E41">
        <v>-0.919090041151989</v>
      </c>
      <c r="F41" t="s">
        <v>18</v>
      </c>
      <c r="G41" t="s">
        <v>19</v>
      </c>
      <c r="H41">
        <v>1</v>
      </c>
      <c r="I41" t="s">
        <v>39</v>
      </c>
      <c r="J41" t="s">
        <v>19</v>
      </c>
      <c r="K41">
        <v>0.77</v>
      </c>
      <c r="L41" t="s">
        <v>40</v>
      </c>
      <c r="M41" t="s">
        <v>19</v>
      </c>
      <c r="N41">
        <v>1</v>
      </c>
      <c r="O41" t="s">
        <v>41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105</v>
      </c>
      <c r="C42">
        <v>213.08250000000001</v>
      </c>
      <c r="D42">
        <v>145.19999999999999</v>
      </c>
      <c r="E42">
        <v>-0.84458232587613202</v>
      </c>
      <c r="F42" t="s">
        <v>18</v>
      </c>
      <c r="G42" t="s">
        <v>19</v>
      </c>
      <c r="H42">
        <v>1</v>
      </c>
      <c r="I42" t="s">
        <v>39</v>
      </c>
      <c r="J42" t="s">
        <v>19</v>
      </c>
      <c r="K42">
        <v>0.81</v>
      </c>
      <c r="L42" t="s">
        <v>40</v>
      </c>
      <c r="M42" t="s">
        <v>19</v>
      </c>
      <c r="N42">
        <v>1</v>
      </c>
      <c r="O42" t="s">
        <v>41</v>
      </c>
      <c r="P42" t="s">
        <v>19</v>
      </c>
      <c r="Q42">
        <v>0.98</v>
      </c>
      <c r="R42" t="s">
        <v>23</v>
      </c>
      <c r="S42">
        <v>4</v>
      </c>
    </row>
    <row r="43" spans="1:19">
      <c r="A43">
        <v>42</v>
      </c>
      <c r="B43" t="s">
        <v>106</v>
      </c>
      <c r="C43">
        <v>343.22109999999998</v>
      </c>
      <c r="D43">
        <v>193.2</v>
      </c>
      <c r="E43">
        <v>-0.83787582240569203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1</v>
      </c>
      <c r="L43" t="s">
        <v>30</v>
      </c>
      <c r="M43" t="s">
        <v>19</v>
      </c>
      <c r="N43">
        <v>1</v>
      </c>
      <c r="O43" t="s">
        <v>96</v>
      </c>
      <c r="P43" t="s">
        <v>19</v>
      </c>
      <c r="Q43">
        <v>0.98299999999999998</v>
      </c>
      <c r="R43" t="s">
        <v>23</v>
      </c>
      <c r="S43">
        <v>4</v>
      </c>
    </row>
    <row r="44" spans="1:19">
      <c r="A44">
        <v>43</v>
      </c>
      <c r="B44" t="s">
        <v>107</v>
      </c>
      <c r="C44">
        <v>319.2235</v>
      </c>
      <c r="D44">
        <v>186.6</v>
      </c>
      <c r="E44">
        <v>-0.86707038871946895</v>
      </c>
      <c r="F44" t="s">
        <v>18</v>
      </c>
      <c r="G44" t="s">
        <v>19</v>
      </c>
      <c r="H44">
        <v>1</v>
      </c>
      <c r="I44" t="s">
        <v>20</v>
      </c>
      <c r="J44" t="s">
        <v>19</v>
      </c>
      <c r="K44">
        <v>1</v>
      </c>
      <c r="L44" t="s">
        <v>30</v>
      </c>
      <c r="M44" t="s">
        <v>19</v>
      </c>
      <c r="N44">
        <v>0.96</v>
      </c>
      <c r="O44" t="s">
        <v>96</v>
      </c>
      <c r="P44" t="s">
        <v>19</v>
      </c>
      <c r="Q44">
        <v>0.80500000000000005</v>
      </c>
      <c r="R44" t="s">
        <v>23</v>
      </c>
      <c r="S44">
        <v>4</v>
      </c>
    </row>
    <row r="45" spans="1:19">
      <c r="A45">
        <v>44</v>
      </c>
      <c r="B45" t="s">
        <v>108</v>
      </c>
      <c r="C45">
        <v>896.76829999999995</v>
      </c>
      <c r="D45">
        <v>318.8</v>
      </c>
      <c r="E45">
        <v>-0.76701163439497599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1</v>
      </c>
      <c r="L45" t="s">
        <v>56</v>
      </c>
      <c r="M45" t="s">
        <v>19</v>
      </c>
      <c r="N45">
        <v>0.94</v>
      </c>
      <c r="O45" t="s">
        <v>57</v>
      </c>
      <c r="P45" t="s">
        <v>19</v>
      </c>
      <c r="Q45">
        <v>0.99099999999999999</v>
      </c>
      <c r="R45" t="s">
        <v>23</v>
      </c>
      <c r="S45">
        <v>4</v>
      </c>
    </row>
    <row r="46" spans="1:19">
      <c r="A46">
        <v>45</v>
      </c>
      <c r="B46" t="s">
        <v>109</v>
      </c>
      <c r="C46">
        <v>802.56410000000005</v>
      </c>
      <c r="D46">
        <v>289.3</v>
      </c>
      <c r="E46">
        <v>-0.66799551461372197</v>
      </c>
      <c r="F46" t="s">
        <v>18</v>
      </c>
      <c r="G46" t="s">
        <v>19</v>
      </c>
      <c r="H46">
        <v>1</v>
      </c>
      <c r="I46" t="s">
        <v>20</v>
      </c>
      <c r="J46" t="s">
        <v>19</v>
      </c>
      <c r="K46">
        <v>1</v>
      </c>
      <c r="L46" t="s">
        <v>21</v>
      </c>
      <c r="M46" t="s">
        <v>19</v>
      </c>
      <c r="N46">
        <v>1</v>
      </c>
      <c r="O46" t="s">
        <v>110</v>
      </c>
      <c r="P46" t="s">
        <v>19</v>
      </c>
      <c r="Q46">
        <v>0.77300000000000002</v>
      </c>
      <c r="R46" t="s">
        <v>23</v>
      </c>
      <c r="S46">
        <v>4</v>
      </c>
    </row>
    <row r="47" spans="1:19">
      <c r="A47">
        <v>46</v>
      </c>
      <c r="B47" t="s">
        <v>111</v>
      </c>
      <c r="C47">
        <v>232.01089999999999</v>
      </c>
      <c r="D47">
        <v>142.9</v>
      </c>
      <c r="E47">
        <v>-0.75184778454641299</v>
      </c>
      <c r="F47" t="s">
        <v>18</v>
      </c>
      <c r="G47" t="s">
        <v>19</v>
      </c>
      <c r="H47">
        <v>1</v>
      </c>
      <c r="I47" t="s">
        <v>39</v>
      </c>
      <c r="J47" t="s">
        <v>19</v>
      </c>
      <c r="K47">
        <v>0.91</v>
      </c>
      <c r="L47" t="s">
        <v>40</v>
      </c>
      <c r="M47" t="s">
        <v>19</v>
      </c>
      <c r="N47">
        <v>1</v>
      </c>
      <c r="O47" t="s">
        <v>41</v>
      </c>
      <c r="P47" t="s">
        <v>19</v>
      </c>
      <c r="Q47">
        <v>0.98599999999999999</v>
      </c>
      <c r="R47" t="s">
        <v>23</v>
      </c>
      <c r="S47">
        <v>4</v>
      </c>
    </row>
    <row r="48" spans="1:19">
      <c r="A48">
        <v>47</v>
      </c>
      <c r="B48" t="s">
        <v>112</v>
      </c>
      <c r="C48">
        <v>785.65359999999998</v>
      </c>
      <c r="D48">
        <v>296.8</v>
      </c>
      <c r="E48">
        <v>-0.77637696582758098</v>
      </c>
      <c r="F48" t="s">
        <v>18</v>
      </c>
      <c r="G48" t="s">
        <v>19</v>
      </c>
      <c r="H48">
        <v>1</v>
      </c>
      <c r="I48" t="s">
        <v>20</v>
      </c>
      <c r="J48" t="s">
        <v>19</v>
      </c>
      <c r="K48">
        <v>1</v>
      </c>
      <c r="L48" t="s">
        <v>56</v>
      </c>
      <c r="M48" t="s">
        <v>19</v>
      </c>
      <c r="N48">
        <v>0.94</v>
      </c>
      <c r="O48" t="s">
        <v>113</v>
      </c>
      <c r="P48" t="s">
        <v>19</v>
      </c>
      <c r="Q48">
        <v>0.84599999999999997</v>
      </c>
      <c r="R48" t="s">
        <v>23</v>
      </c>
      <c r="S48">
        <v>4</v>
      </c>
    </row>
    <row r="49" spans="1:19">
      <c r="A49">
        <v>48</v>
      </c>
      <c r="B49" t="s">
        <v>114</v>
      </c>
      <c r="C49">
        <v>445.24110000000002</v>
      </c>
      <c r="D49">
        <v>194</v>
      </c>
      <c r="E49">
        <v>-0.74396519570422004</v>
      </c>
      <c r="F49" t="s">
        <v>18</v>
      </c>
      <c r="G49" t="s">
        <v>19</v>
      </c>
      <c r="H49">
        <v>1</v>
      </c>
      <c r="I49" t="s">
        <v>115</v>
      </c>
      <c r="J49" t="s">
        <v>19</v>
      </c>
      <c r="K49">
        <v>0.61</v>
      </c>
      <c r="L49" t="s">
        <v>40</v>
      </c>
      <c r="M49" t="s">
        <v>19</v>
      </c>
      <c r="N49">
        <v>0.99</v>
      </c>
      <c r="O49" t="s">
        <v>41</v>
      </c>
      <c r="P49" t="s">
        <v>19</v>
      </c>
      <c r="Q49">
        <v>0.998</v>
      </c>
      <c r="R49" t="s">
        <v>116</v>
      </c>
      <c r="S49">
        <v>4</v>
      </c>
    </row>
    <row r="50" spans="1:19">
      <c r="A50">
        <v>49</v>
      </c>
      <c r="B50" t="s">
        <v>117</v>
      </c>
      <c r="C50">
        <v>148.04320000000001</v>
      </c>
      <c r="D50">
        <v>140.5</v>
      </c>
      <c r="E50">
        <v>-0.87790208105380396</v>
      </c>
      <c r="F50" t="s">
        <v>18</v>
      </c>
      <c r="G50" t="s">
        <v>19</v>
      </c>
      <c r="H50">
        <v>1</v>
      </c>
      <c r="I50" t="s">
        <v>39</v>
      </c>
      <c r="J50" t="s">
        <v>19</v>
      </c>
      <c r="K50">
        <v>0.81</v>
      </c>
      <c r="L50" t="s">
        <v>40</v>
      </c>
      <c r="M50" t="s">
        <v>19</v>
      </c>
      <c r="N50">
        <v>1</v>
      </c>
      <c r="O50" t="s">
        <v>41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118</v>
      </c>
      <c r="C51">
        <v>148.05889999999999</v>
      </c>
      <c r="D51">
        <v>130.1</v>
      </c>
      <c r="E51">
        <v>-0.89358455118866698</v>
      </c>
      <c r="F51" t="s">
        <v>18</v>
      </c>
      <c r="G51" t="s">
        <v>19</v>
      </c>
      <c r="H51">
        <v>1</v>
      </c>
      <c r="I51" t="s">
        <v>39</v>
      </c>
      <c r="J51" t="s">
        <v>19</v>
      </c>
      <c r="K51">
        <v>0.88</v>
      </c>
      <c r="L51" t="s">
        <v>40</v>
      </c>
      <c r="M51" t="s">
        <v>19</v>
      </c>
      <c r="N51">
        <v>1</v>
      </c>
      <c r="O51" t="s">
        <v>41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51</v>
      </c>
      <c r="B52" t="s">
        <v>119</v>
      </c>
      <c r="C52">
        <v>377.33679999999998</v>
      </c>
      <c r="D52">
        <v>205.4</v>
      </c>
      <c r="E52">
        <v>-0.91548387212770899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0.98</v>
      </c>
      <c r="L52" t="s">
        <v>30</v>
      </c>
      <c r="M52" t="s">
        <v>19</v>
      </c>
      <c r="N52">
        <v>0.92</v>
      </c>
      <c r="O52" t="s">
        <v>67</v>
      </c>
      <c r="P52" t="s">
        <v>19</v>
      </c>
      <c r="Q52">
        <v>0.97299999999999998</v>
      </c>
      <c r="R52" t="s">
        <v>23</v>
      </c>
      <c r="S52">
        <v>4</v>
      </c>
    </row>
    <row r="53" spans="1:19">
      <c r="A53">
        <v>52</v>
      </c>
      <c r="B53" t="s">
        <v>120</v>
      </c>
      <c r="C53">
        <v>136.03720000000001</v>
      </c>
      <c r="D53">
        <v>121.8</v>
      </c>
      <c r="E53">
        <v>-0.88530740338450198</v>
      </c>
      <c r="F53" t="s">
        <v>18</v>
      </c>
      <c r="G53" t="s">
        <v>19</v>
      </c>
      <c r="H53">
        <v>1</v>
      </c>
      <c r="I53" t="s">
        <v>43</v>
      </c>
      <c r="J53" t="s">
        <v>19</v>
      </c>
      <c r="K53">
        <v>0.61</v>
      </c>
      <c r="L53" t="s">
        <v>44</v>
      </c>
      <c r="M53" t="s">
        <v>19</v>
      </c>
      <c r="N53">
        <v>1</v>
      </c>
      <c r="O53" t="s">
        <v>45</v>
      </c>
      <c r="P53" t="s">
        <v>19</v>
      </c>
      <c r="Q53">
        <v>0.93600000000000005</v>
      </c>
      <c r="R53" t="s">
        <v>23</v>
      </c>
      <c r="S53">
        <v>4</v>
      </c>
    </row>
    <row r="54" spans="1:19">
      <c r="A54">
        <v>53</v>
      </c>
      <c r="B54" t="s">
        <v>121</v>
      </c>
      <c r="C54">
        <v>476.27530000000002</v>
      </c>
      <c r="D54">
        <v>222.5</v>
      </c>
      <c r="E54">
        <v>-0.74351390016238394</v>
      </c>
      <c r="F54" t="s">
        <v>18</v>
      </c>
      <c r="G54" t="s">
        <v>19</v>
      </c>
      <c r="H54">
        <v>1</v>
      </c>
      <c r="I54" t="s">
        <v>20</v>
      </c>
      <c r="J54" t="s">
        <v>19</v>
      </c>
      <c r="K54">
        <v>0.93</v>
      </c>
      <c r="L54" t="s">
        <v>21</v>
      </c>
      <c r="M54" t="s">
        <v>19</v>
      </c>
      <c r="N54">
        <v>0.97</v>
      </c>
      <c r="O54" t="s">
        <v>110</v>
      </c>
      <c r="P54" t="s">
        <v>19</v>
      </c>
      <c r="Q54">
        <v>0.84799999999999998</v>
      </c>
      <c r="R54" t="s">
        <v>23</v>
      </c>
      <c r="S54">
        <v>4</v>
      </c>
    </row>
    <row r="55" spans="1:19">
      <c r="A55">
        <v>54</v>
      </c>
      <c r="B55" t="s">
        <v>122</v>
      </c>
      <c r="C55">
        <v>132.03020000000001</v>
      </c>
      <c r="D55">
        <v>119.8</v>
      </c>
      <c r="E55">
        <v>-0.88278142692098505</v>
      </c>
      <c r="F55" t="s">
        <v>18</v>
      </c>
      <c r="G55" t="s">
        <v>19</v>
      </c>
      <c r="H55">
        <v>1</v>
      </c>
      <c r="I55" t="s">
        <v>39</v>
      </c>
      <c r="J55" t="s">
        <v>19</v>
      </c>
      <c r="K55">
        <v>0.92</v>
      </c>
      <c r="L55" t="s">
        <v>40</v>
      </c>
      <c r="M55" t="s">
        <v>19</v>
      </c>
      <c r="N55">
        <v>1</v>
      </c>
      <c r="O55" t="s">
        <v>41</v>
      </c>
      <c r="P55" t="s">
        <v>19</v>
      </c>
      <c r="Q55">
        <v>1</v>
      </c>
      <c r="R55" t="s">
        <v>23</v>
      </c>
      <c r="S55">
        <v>4</v>
      </c>
    </row>
    <row r="56" spans="1:19">
      <c r="A56">
        <v>55</v>
      </c>
      <c r="B56" t="s">
        <v>123</v>
      </c>
      <c r="C56">
        <v>827.70060000000001</v>
      </c>
      <c r="D56">
        <v>305.7</v>
      </c>
      <c r="E56">
        <v>-0.77642930732019999</v>
      </c>
      <c r="F56" t="s">
        <v>18</v>
      </c>
      <c r="G56" t="s">
        <v>19</v>
      </c>
      <c r="H56">
        <v>1</v>
      </c>
      <c r="I56" t="s">
        <v>20</v>
      </c>
      <c r="J56" t="s">
        <v>19</v>
      </c>
      <c r="K56">
        <v>1</v>
      </c>
      <c r="L56" t="s">
        <v>56</v>
      </c>
      <c r="M56" t="s">
        <v>19</v>
      </c>
      <c r="N56">
        <v>1</v>
      </c>
      <c r="O56" t="s">
        <v>113</v>
      </c>
      <c r="P56" t="s">
        <v>19</v>
      </c>
      <c r="Q56">
        <v>0.74199999999999999</v>
      </c>
      <c r="R56" t="s">
        <v>23</v>
      </c>
      <c r="S56">
        <v>4</v>
      </c>
    </row>
    <row r="57" spans="1:19">
      <c r="A57">
        <v>56</v>
      </c>
      <c r="B57" t="s">
        <v>46</v>
      </c>
      <c r="C57">
        <v>908.50070000000005</v>
      </c>
      <c r="D57">
        <v>302.2</v>
      </c>
      <c r="E57">
        <v>-0.48631180066922802</v>
      </c>
      <c r="F57" t="s">
        <v>18</v>
      </c>
      <c r="G57" t="s">
        <v>19</v>
      </c>
      <c r="H57">
        <v>1</v>
      </c>
      <c r="I57" t="s">
        <v>43</v>
      </c>
      <c r="J57" t="s">
        <v>19</v>
      </c>
      <c r="K57">
        <v>0.75</v>
      </c>
      <c r="L57" t="s">
        <v>44</v>
      </c>
      <c r="M57" t="s">
        <v>19</v>
      </c>
      <c r="N57">
        <v>1</v>
      </c>
      <c r="O57" t="s">
        <v>45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124</v>
      </c>
      <c r="C58">
        <v>203.22309999999999</v>
      </c>
      <c r="D58">
        <v>148.6</v>
      </c>
      <c r="E58">
        <v>-0.99619085785906203</v>
      </c>
      <c r="F58" t="s">
        <v>18</v>
      </c>
      <c r="G58" t="s">
        <v>19</v>
      </c>
      <c r="H58">
        <v>0.98399999999999999</v>
      </c>
      <c r="I58" t="s">
        <v>125</v>
      </c>
      <c r="J58" t="s">
        <v>19</v>
      </c>
      <c r="K58">
        <v>0.93</v>
      </c>
      <c r="L58" t="s">
        <v>126</v>
      </c>
      <c r="M58" t="s">
        <v>19</v>
      </c>
      <c r="N58">
        <v>1</v>
      </c>
      <c r="O58" t="s">
        <v>127</v>
      </c>
      <c r="P58" t="s">
        <v>19</v>
      </c>
      <c r="Q58">
        <v>0.88200000000000001</v>
      </c>
      <c r="R58" t="s">
        <v>23</v>
      </c>
      <c r="S58">
        <v>4</v>
      </c>
    </row>
    <row r="59" spans="1:19">
      <c r="A59">
        <v>58</v>
      </c>
      <c r="B59" t="s">
        <v>128</v>
      </c>
      <c r="C59">
        <v>192.0727</v>
      </c>
      <c r="D59">
        <v>138.6</v>
      </c>
      <c r="E59">
        <v>-0.85824085836850394</v>
      </c>
      <c r="F59" t="s">
        <v>18</v>
      </c>
      <c r="G59" t="s">
        <v>19</v>
      </c>
      <c r="H59">
        <v>1</v>
      </c>
      <c r="I59" t="s">
        <v>39</v>
      </c>
      <c r="J59" t="s">
        <v>19</v>
      </c>
      <c r="K59">
        <v>0.78</v>
      </c>
      <c r="L59" t="s">
        <v>40</v>
      </c>
      <c r="M59" t="s">
        <v>19</v>
      </c>
      <c r="N59">
        <v>1</v>
      </c>
      <c r="O59" t="s">
        <v>41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129</v>
      </c>
      <c r="C60">
        <v>359.88470000000001</v>
      </c>
      <c r="D60">
        <v>161.69999999999999</v>
      </c>
      <c r="E60">
        <v>-0.48287004786050097</v>
      </c>
      <c r="F60" t="s">
        <v>18</v>
      </c>
      <c r="G60" t="s">
        <v>19</v>
      </c>
      <c r="H60">
        <v>0.94599999999999995</v>
      </c>
      <c r="I60" t="s">
        <v>39</v>
      </c>
      <c r="J60" t="s">
        <v>19</v>
      </c>
      <c r="K60">
        <v>0.65</v>
      </c>
      <c r="L60" t="s">
        <v>40</v>
      </c>
      <c r="M60" t="s">
        <v>19</v>
      </c>
      <c r="N60">
        <v>0.99</v>
      </c>
      <c r="O60" t="s">
        <v>41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130</v>
      </c>
      <c r="C61">
        <v>345.01220000000001</v>
      </c>
      <c r="D61">
        <v>164.1</v>
      </c>
      <c r="E61">
        <v>-0.62697596626492202</v>
      </c>
      <c r="F61" t="s">
        <v>18</v>
      </c>
      <c r="G61" t="s">
        <v>19</v>
      </c>
      <c r="H61">
        <v>1</v>
      </c>
      <c r="I61" t="s">
        <v>52</v>
      </c>
      <c r="J61" t="s">
        <v>19</v>
      </c>
      <c r="K61">
        <v>1</v>
      </c>
      <c r="L61" t="s">
        <v>131</v>
      </c>
      <c r="M61" t="s">
        <v>19</v>
      </c>
      <c r="N61">
        <v>0.93</v>
      </c>
      <c r="O61" t="s">
        <v>132</v>
      </c>
      <c r="P61" t="s">
        <v>19</v>
      </c>
      <c r="Q61">
        <v>0.9</v>
      </c>
      <c r="R61" t="s">
        <v>23</v>
      </c>
      <c r="S61">
        <v>4</v>
      </c>
    </row>
    <row r="62" spans="1:19">
      <c r="A62">
        <v>61</v>
      </c>
      <c r="B62" t="s">
        <v>133</v>
      </c>
      <c r="C62">
        <v>922.01030000000003</v>
      </c>
      <c r="D62">
        <v>243.5</v>
      </c>
      <c r="E62">
        <v>-0.98082763087416003</v>
      </c>
      <c r="F62" t="s">
        <v>18</v>
      </c>
      <c r="G62" t="s">
        <v>19</v>
      </c>
      <c r="H62">
        <v>0.96799999999999997</v>
      </c>
      <c r="I62" t="s">
        <v>48</v>
      </c>
      <c r="J62" t="s">
        <v>19</v>
      </c>
      <c r="K62">
        <v>0.98</v>
      </c>
      <c r="L62" t="s">
        <v>49</v>
      </c>
      <c r="M62" t="s">
        <v>19</v>
      </c>
      <c r="N62">
        <v>0.99</v>
      </c>
      <c r="O62" t="s">
        <v>50</v>
      </c>
      <c r="P62" t="s">
        <v>19</v>
      </c>
      <c r="Q62">
        <v>0.999</v>
      </c>
      <c r="R62" t="s">
        <v>23</v>
      </c>
      <c r="S62">
        <v>4</v>
      </c>
    </row>
    <row r="63" spans="1:19">
      <c r="A63">
        <v>62</v>
      </c>
      <c r="B63" t="s">
        <v>134</v>
      </c>
      <c r="C63">
        <v>196.06100000000001</v>
      </c>
      <c r="D63">
        <v>142.19999999999999</v>
      </c>
      <c r="E63">
        <v>-0.84208771435288599</v>
      </c>
      <c r="F63" t="s">
        <v>18</v>
      </c>
      <c r="G63" t="s">
        <v>19</v>
      </c>
      <c r="H63">
        <v>1</v>
      </c>
      <c r="I63" t="s">
        <v>39</v>
      </c>
      <c r="J63" t="s">
        <v>19</v>
      </c>
      <c r="K63">
        <v>0.69</v>
      </c>
      <c r="L63" t="s">
        <v>40</v>
      </c>
      <c r="M63" t="s">
        <v>19</v>
      </c>
      <c r="N63">
        <v>1</v>
      </c>
      <c r="O63" t="s">
        <v>41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36</v>
      </c>
      <c r="C64">
        <v>788.54409999999996</v>
      </c>
      <c r="D64">
        <v>283.10000000000002</v>
      </c>
      <c r="E64">
        <v>-0.66364957250777901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1</v>
      </c>
      <c r="L64" t="s">
        <v>21</v>
      </c>
      <c r="M64" t="s">
        <v>19</v>
      </c>
      <c r="N64">
        <v>1</v>
      </c>
      <c r="O64" t="s">
        <v>37</v>
      </c>
      <c r="P64" t="s">
        <v>19</v>
      </c>
      <c r="Q64">
        <v>0.76900000000000002</v>
      </c>
      <c r="R64" t="s">
        <v>23</v>
      </c>
      <c r="S64">
        <v>4</v>
      </c>
    </row>
    <row r="65" spans="1:19">
      <c r="A65">
        <v>64</v>
      </c>
      <c r="B65" t="s">
        <v>135</v>
      </c>
      <c r="C65">
        <v>492.00920000000002</v>
      </c>
      <c r="D65">
        <v>195</v>
      </c>
      <c r="E65">
        <v>-0.45984618393561</v>
      </c>
      <c r="F65" t="s">
        <v>18</v>
      </c>
      <c r="G65" t="s">
        <v>19</v>
      </c>
      <c r="H65">
        <v>0.998</v>
      </c>
      <c r="I65" t="s">
        <v>52</v>
      </c>
      <c r="J65" t="s">
        <v>19</v>
      </c>
      <c r="K65">
        <v>0.89</v>
      </c>
      <c r="L65" t="s">
        <v>53</v>
      </c>
      <c r="M65" t="s">
        <v>19</v>
      </c>
      <c r="N65">
        <v>0.88</v>
      </c>
      <c r="O65" t="s">
        <v>54</v>
      </c>
      <c r="P65" t="s">
        <v>19</v>
      </c>
      <c r="Q65">
        <v>0.69</v>
      </c>
      <c r="R65" t="s">
        <v>23</v>
      </c>
      <c r="S65">
        <v>4</v>
      </c>
    </row>
    <row r="66" spans="1:19">
      <c r="A66">
        <v>65</v>
      </c>
      <c r="B66" t="s">
        <v>136</v>
      </c>
      <c r="C66">
        <v>1182.1651999999999</v>
      </c>
      <c r="D66">
        <v>216.7</v>
      </c>
      <c r="E66">
        <v>-0.84525117823272899</v>
      </c>
      <c r="F66" t="s">
        <v>25</v>
      </c>
      <c r="G66" t="s">
        <v>19</v>
      </c>
      <c r="H66">
        <v>0.96599999999999997</v>
      </c>
      <c r="I66" t="s">
        <v>26</v>
      </c>
      <c r="J66" t="s">
        <v>19</v>
      </c>
      <c r="K66">
        <v>1</v>
      </c>
      <c r="L66" t="s">
        <v>27</v>
      </c>
      <c r="M66" t="s">
        <v>19</v>
      </c>
      <c r="N66">
        <v>0.98</v>
      </c>
      <c r="O66" t="s">
        <v>28</v>
      </c>
      <c r="P66" t="s">
        <v>19</v>
      </c>
      <c r="Q66">
        <v>1</v>
      </c>
      <c r="R66" t="s">
        <v>23</v>
      </c>
      <c r="S66">
        <v>4</v>
      </c>
    </row>
    <row r="67" spans="1:19">
      <c r="A67">
        <v>66</v>
      </c>
      <c r="B67" t="s">
        <v>76</v>
      </c>
      <c r="C67">
        <v>330.08589999999998</v>
      </c>
      <c r="D67">
        <v>171.3</v>
      </c>
      <c r="E67">
        <v>-0.71734195516245303</v>
      </c>
      <c r="F67" t="s">
        <v>18</v>
      </c>
      <c r="G67" t="s">
        <v>19</v>
      </c>
      <c r="H67">
        <v>1</v>
      </c>
      <c r="I67" t="s">
        <v>43</v>
      </c>
      <c r="J67" t="s">
        <v>19</v>
      </c>
      <c r="K67">
        <v>0.67</v>
      </c>
      <c r="L67" t="s">
        <v>44</v>
      </c>
      <c r="M67" t="s">
        <v>19</v>
      </c>
      <c r="N67">
        <v>1</v>
      </c>
      <c r="O67" t="s">
        <v>45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137</v>
      </c>
      <c r="C68">
        <v>744.74360000000001</v>
      </c>
      <c r="D68">
        <v>379.2</v>
      </c>
      <c r="E68">
        <v>-0.91205510480381202</v>
      </c>
      <c r="F68" t="s">
        <v>18</v>
      </c>
      <c r="G68" t="s">
        <v>19</v>
      </c>
      <c r="H68">
        <v>1</v>
      </c>
      <c r="I68" t="s">
        <v>39</v>
      </c>
      <c r="J68" t="s">
        <v>19</v>
      </c>
      <c r="K68">
        <v>1</v>
      </c>
      <c r="L68" t="s">
        <v>138</v>
      </c>
      <c r="M68" t="s">
        <v>19</v>
      </c>
      <c r="N68">
        <v>0.78</v>
      </c>
      <c r="O68" t="s">
        <v>139</v>
      </c>
      <c r="P68" t="s">
        <v>19</v>
      </c>
      <c r="Q68">
        <v>0.623</v>
      </c>
      <c r="R68" t="s">
        <v>23</v>
      </c>
      <c r="S68">
        <v>4</v>
      </c>
    </row>
    <row r="69" spans="1:19">
      <c r="A69">
        <v>68</v>
      </c>
      <c r="B69" t="s">
        <v>140</v>
      </c>
      <c r="C69">
        <v>352.04059999999998</v>
      </c>
      <c r="D69">
        <v>174.9</v>
      </c>
      <c r="E69">
        <v>-0.64752839276252405</v>
      </c>
      <c r="F69" t="s">
        <v>18</v>
      </c>
      <c r="G69" t="s">
        <v>19</v>
      </c>
      <c r="H69">
        <v>1</v>
      </c>
      <c r="I69" t="s">
        <v>52</v>
      </c>
      <c r="J69" t="s">
        <v>19</v>
      </c>
      <c r="K69">
        <v>0.96</v>
      </c>
      <c r="L69" t="s">
        <v>53</v>
      </c>
      <c r="M69" t="s">
        <v>19</v>
      </c>
      <c r="N69">
        <v>1</v>
      </c>
      <c r="O69" t="s">
        <v>141</v>
      </c>
      <c r="P69" t="s">
        <v>19</v>
      </c>
      <c r="Q69">
        <v>0.72599999999999998</v>
      </c>
      <c r="R69" t="s">
        <v>23</v>
      </c>
      <c r="S69">
        <v>4</v>
      </c>
    </row>
    <row r="70" spans="1:19">
      <c r="A70">
        <v>69</v>
      </c>
      <c r="B70" t="s">
        <v>135</v>
      </c>
      <c r="C70">
        <v>513.99090000000001</v>
      </c>
      <c r="D70">
        <v>202</v>
      </c>
      <c r="E70">
        <v>-0.41700247463381901</v>
      </c>
      <c r="F70" t="s">
        <v>18</v>
      </c>
      <c r="G70" t="s">
        <v>19</v>
      </c>
      <c r="H70">
        <v>1</v>
      </c>
      <c r="I70" t="s">
        <v>52</v>
      </c>
      <c r="J70" t="s">
        <v>19</v>
      </c>
      <c r="K70">
        <v>0.99</v>
      </c>
      <c r="L70" t="s">
        <v>53</v>
      </c>
      <c r="M70" t="s">
        <v>19</v>
      </c>
      <c r="N70">
        <v>0.93</v>
      </c>
      <c r="O70" t="s">
        <v>54</v>
      </c>
      <c r="P70" t="s">
        <v>19</v>
      </c>
      <c r="Q70">
        <v>0.60199999999999998</v>
      </c>
      <c r="R70" t="s">
        <v>23</v>
      </c>
      <c r="S70">
        <v>4</v>
      </c>
    </row>
    <row r="71" spans="1:19">
      <c r="A71">
        <v>70</v>
      </c>
      <c r="B71" t="s">
        <v>142</v>
      </c>
      <c r="C71">
        <v>372.83150000000001</v>
      </c>
      <c r="D71">
        <v>172.7</v>
      </c>
      <c r="E71">
        <v>-0.41521427348510498</v>
      </c>
      <c r="F71" t="s">
        <v>18</v>
      </c>
      <c r="G71" t="s">
        <v>19</v>
      </c>
      <c r="H71">
        <v>1</v>
      </c>
      <c r="I71" t="s">
        <v>33</v>
      </c>
      <c r="J71" t="s">
        <v>19</v>
      </c>
      <c r="K71">
        <v>1</v>
      </c>
      <c r="L71" t="s">
        <v>34</v>
      </c>
      <c r="M71" t="s">
        <v>19</v>
      </c>
      <c r="N71">
        <v>1</v>
      </c>
      <c r="O71" t="s">
        <v>88</v>
      </c>
      <c r="P71" t="s">
        <v>19</v>
      </c>
      <c r="Q71">
        <v>0.99399999999999999</v>
      </c>
      <c r="R71" t="s">
        <v>23</v>
      </c>
      <c r="S71">
        <v>4</v>
      </c>
    </row>
    <row r="72" spans="1:19">
      <c r="A72">
        <v>71</v>
      </c>
      <c r="B72" t="s">
        <v>143</v>
      </c>
      <c r="C72">
        <v>169.0472</v>
      </c>
      <c r="D72">
        <v>137.5</v>
      </c>
      <c r="E72">
        <v>-0.85845002456252895</v>
      </c>
      <c r="F72" t="s">
        <v>18</v>
      </c>
      <c r="G72" t="s">
        <v>19</v>
      </c>
      <c r="H72">
        <v>1</v>
      </c>
      <c r="I72" t="s">
        <v>20</v>
      </c>
      <c r="J72" t="s">
        <v>19</v>
      </c>
      <c r="K72">
        <v>0.92</v>
      </c>
      <c r="L72" t="s">
        <v>30</v>
      </c>
      <c r="M72" t="s">
        <v>19</v>
      </c>
      <c r="N72">
        <v>1</v>
      </c>
      <c r="O72" t="s">
        <v>67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97</v>
      </c>
      <c r="C73">
        <v>377.23039999999997</v>
      </c>
      <c r="D73">
        <v>198.9</v>
      </c>
      <c r="E73">
        <v>-0.80920267325177497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0.99</v>
      </c>
      <c r="L73" t="s">
        <v>30</v>
      </c>
      <c r="M73" t="s">
        <v>19</v>
      </c>
      <c r="N73">
        <v>0.99</v>
      </c>
      <c r="O73" t="s">
        <v>96</v>
      </c>
      <c r="P73" t="s">
        <v>19</v>
      </c>
      <c r="Q73">
        <v>0.96499999999999997</v>
      </c>
      <c r="R73" t="s">
        <v>23</v>
      </c>
      <c r="S73">
        <v>4</v>
      </c>
    </row>
    <row r="74" spans="1:19">
      <c r="A74">
        <v>73</v>
      </c>
      <c r="B74" t="s">
        <v>144</v>
      </c>
      <c r="C74">
        <v>534.52779999999996</v>
      </c>
      <c r="D74">
        <v>257.89999999999998</v>
      </c>
      <c r="E74">
        <v>-0.93097195954351297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56</v>
      </c>
      <c r="M74" t="s">
        <v>19</v>
      </c>
      <c r="N74">
        <v>0.97</v>
      </c>
      <c r="O74" t="s">
        <v>145</v>
      </c>
      <c r="P74" t="s">
        <v>19</v>
      </c>
      <c r="Q74">
        <v>0.98199999999999998</v>
      </c>
      <c r="R74" t="s">
        <v>23</v>
      </c>
      <c r="S74">
        <v>4</v>
      </c>
    </row>
    <row r="75" spans="1:19">
      <c r="A75">
        <v>74</v>
      </c>
      <c r="B75" t="s">
        <v>146</v>
      </c>
      <c r="C75">
        <v>758.41600000000005</v>
      </c>
      <c r="D75">
        <v>255.5</v>
      </c>
      <c r="E75">
        <v>-0.56918916035658595</v>
      </c>
      <c r="F75" t="s">
        <v>18</v>
      </c>
      <c r="G75" t="s">
        <v>19</v>
      </c>
      <c r="H75">
        <v>1</v>
      </c>
      <c r="I75" t="s">
        <v>39</v>
      </c>
      <c r="J75" t="s">
        <v>19</v>
      </c>
      <c r="K75">
        <v>0.75</v>
      </c>
      <c r="L75" t="s">
        <v>40</v>
      </c>
      <c r="M75" t="s">
        <v>19</v>
      </c>
      <c r="N75">
        <v>0.94</v>
      </c>
      <c r="O75" t="s">
        <v>41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147</v>
      </c>
      <c r="C76">
        <v>946.47490000000005</v>
      </c>
      <c r="D76">
        <v>299</v>
      </c>
      <c r="E76">
        <v>-0.41811163481463598</v>
      </c>
      <c r="F76" t="s">
        <v>18</v>
      </c>
      <c r="G76" t="s">
        <v>19</v>
      </c>
      <c r="H76">
        <v>1</v>
      </c>
      <c r="I76" t="s">
        <v>43</v>
      </c>
      <c r="J76" t="s">
        <v>19</v>
      </c>
      <c r="K76">
        <v>0.74</v>
      </c>
      <c r="L76" t="s">
        <v>44</v>
      </c>
      <c r="M76" t="s">
        <v>19</v>
      </c>
      <c r="N76">
        <v>1</v>
      </c>
      <c r="O76" t="s">
        <v>45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148</v>
      </c>
      <c r="C77">
        <v>890.58630000000005</v>
      </c>
      <c r="D77">
        <v>303.5</v>
      </c>
      <c r="E77">
        <v>-0.59191415835380201</v>
      </c>
      <c r="F77" t="s">
        <v>18</v>
      </c>
      <c r="G77" t="s">
        <v>19</v>
      </c>
      <c r="H77">
        <v>1</v>
      </c>
      <c r="I77" t="s">
        <v>20</v>
      </c>
      <c r="J77" t="s">
        <v>19</v>
      </c>
      <c r="K77">
        <v>1</v>
      </c>
      <c r="L77" t="s">
        <v>21</v>
      </c>
      <c r="M77" t="s">
        <v>19</v>
      </c>
      <c r="N77">
        <v>1</v>
      </c>
      <c r="O77" t="s">
        <v>37</v>
      </c>
      <c r="P77" t="s">
        <v>19</v>
      </c>
      <c r="Q77">
        <v>0.999</v>
      </c>
      <c r="R77" t="s">
        <v>23</v>
      </c>
      <c r="S77">
        <v>4</v>
      </c>
    </row>
    <row r="78" spans="1:19">
      <c r="A78">
        <v>77</v>
      </c>
      <c r="B78" t="s">
        <v>149</v>
      </c>
      <c r="C78">
        <v>574.61279999999999</v>
      </c>
      <c r="D78">
        <v>183.7</v>
      </c>
      <c r="E78">
        <v>-0.97121497589989803</v>
      </c>
      <c r="F78" t="s">
        <v>18</v>
      </c>
      <c r="G78" t="s">
        <v>19</v>
      </c>
      <c r="H78">
        <v>1</v>
      </c>
      <c r="I78" t="s">
        <v>33</v>
      </c>
      <c r="J78" t="s">
        <v>19</v>
      </c>
      <c r="K78">
        <v>1</v>
      </c>
      <c r="L78" t="s">
        <v>34</v>
      </c>
      <c r="M78" t="s">
        <v>19</v>
      </c>
      <c r="N78">
        <v>1</v>
      </c>
      <c r="O78" t="s">
        <v>80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150</v>
      </c>
      <c r="C79">
        <v>112.0509</v>
      </c>
      <c r="D79">
        <v>122.6</v>
      </c>
      <c r="E79">
        <v>-0.92578935266158202</v>
      </c>
      <c r="F79" t="s">
        <v>18</v>
      </c>
      <c r="G79" t="s">
        <v>19</v>
      </c>
      <c r="H79">
        <v>1</v>
      </c>
      <c r="I79" t="s">
        <v>59</v>
      </c>
      <c r="J79" t="s">
        <v>19</v>
      </c>
      <c r="K79">
        <v>0.85</v>
      </c>
      <c r="L79" t="s">
        <v>151</v>
      </c>
      <c r="M79" t="s">
        <v>19</v>
      </c>
      <c r="N79">
        <v>0.89</v>
      </c>
      <c r="O79" t="s">
        <v>152</v>
      </c>
      <c r="P79" t="s">
        <v>19</v>
      </c>
      <c r="Q79">
        <v>1</v>
      </c>
      <c r="R79" t="s">
        <v>23</v>
      </c>
      <c r="S79">
        <v>4</v>
      </c>
    </row>
    <row r="80" spans="1:19">
      <c r="A80">
        <v>79</v>
      </c>
      <c r="B80" t="s">
        <v>153</v>
      </c>
      <c r="C80">
        <v>604.60320000000002</v>
      </c>
      <c r="D80">
        <v>271.54000000000002</v>
      </c>
      <c r="E80">
        <v>-0.92812913725038004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1</v>
      </c>
      <c r="L80" t="s">
        <v>56</v>
      </c>
      <c r="M80" t="s">
        <v>19</v>
      </c>
      <c r="N80">
        <v>1</v>
      </c>
      <c r="O80" t="s">
        <v>145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76</v>
      </c>
      <c r="C81">
        <v>310.11309999999997</v>
      </c>
      <c r="D81">
        <v>166.6</v>
      </c>
      <c r="E81">
        <v>-0.76684262331559705</v>
      </c>
      <c r="F81" t="s">
        <v>18</v>
      </c>
      <c r="G81" t="s">
        <v>19</v>
      </c>
      <c r="H81">
        <v>1</v>
      </c>
      <c r="I81" t="s">
        <v>43</v>
      </c>
      <c r="J81" t="s">
        <v>19</v>
      </c>
      <c r="K81">
        <v>0.73</v>
      </c>
      <c r="L81" t="s">
        <v>44</v>
      </c>
      <c r="M81" t="s">
        <v>19</v>
      </c>
      <c r="N81">
        <v>1</v>
      </c>
      <c r="O81" t="s">
        <v>45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154</v>
      </c>
      <c r="C82">
        <v>521.24990000000003</v>
      </c>
      <c r="D82">
        <v>213.5</v>
      </c>
      <c r="E82">
        <v>-0.66789742425919496</v>
      </c>
      <c r="F82" t="s">
        <v>18</v>
      </c>
      <c r="G82" t="s">
        <v>19</v>
      </c>
      <c r="H82">
        <v>1</v>
      </c>
      <c r="I82" t="s">
        <v>33</v>
      </c>
      <c r="J82" t="s">
        <v>19</v>
      </c>
      <c r="K82">
        <v>0.82</v>
      </c>
      <c r="L82" t="s">
        <v>34</v>
      </c>
      <c r="M82" t="s">
        <v>19</v>
      </c>
      <c r="N82">
        <v>1</v>
      </c>
      <c r="O82" t="s">
        <v>35</v>
      </c>
      <c r="P82" t="s">
        <v>19</v>
      </c>
      <c r="Q82">
        <v>0.98799999999999999</v>
      </c>
      <c r="R82" t="s">
        <v>23</v>
      </c>
      <c r="S82">
        <v>4</v>
      </c>
    </row>
    <row r="83" spans="1:19">
      <c r="A83">
        <v>82</v>
      </c>
      <c r="B83" t="s">
        <v>155</v>
      </c>
      <c r="C83">
        <v>361.20429999999999</v>
      </c>
      <c r="D83">
        <v>192.1</v>
      </c>
      <c r="E83">
        <v>-0.80099664594911202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1</v>
      </c>
      <c r="L83" t="s">
        <v>85</v>
      </c>
      <c r="M83" t="s">
        <v>19</v>
      </c>
      <c r="N83">
        <v>0.68</v>
      </c>
      <c r="O83" t="s">
        <v>156</v>
      </c>
      <c r="P83" t="s">
        <v>19</v>
      </c>
      <c r="Q83">
        <v>1</v>
      </c>
      <c r="R83" t="s">
        <v>23</v>
      </c>
      <c r="S83">
        <v>4</v>
      </c>
    </row>
    <row r="84" spans="1:19">
      <c r="A84">
        <v>83</v>
      </c>
      <c r="B84" t="s">
        <v>157</v>
      </c>
      <c r="C84">
        <v>406.79250000000002</v>
      </c>
      <c r="D84">
        <v>179.8</v>
      </c>
      <c r="E84">
        <v>-0.33829505378889702</v>
      </c>
      <c r="F84" t="s">
        <v>18</v>
      </c>
      <c r="G84" t="s">
        <v>19</v>
      </c>
      <c r="H84">
        <v>1</v>
      </c>
      <c r="I84" t="s">
        <v>33</v>
      </c>
      <c r="J84" t="s">
        <v>19</v>
      </c>
      <c r="K84">
        <v>0.92</v>
      </c>
      <c r="L84" t="s">
        <v>34</v>
      </c>
      <c r="M84" t="s">
        <v>19</v>
      </c>
      <c r="N84">
        <v>1</v>
      </c>
      <c r="O84" t="s">
        <v>88</v>
      </c>
      <c r="P84" t="s">
        <v>19</v>
      </c>
      <c r="Q84">
        <v>0.99099999999999999</v>
      </c>
      <c r="R84" t="s">
        <v>23</v>
      </c>
      <c r="S84">
        <v>4</v>
      </c>
    </row>
    <row r="85" spans="1:19">
      <c r="A85">
        <v>84</v>
      </c>
      <c r="B85" t="s">
        <v>158</v>
      </c>
      <c r="C85">
        <v>894.62</v>
      </c>
      <c r="D85">
        <v>304.39999999999998</v>
      </c>
      <c r="E85">
        <v>-0.62111032288100898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1</v>
      </c>
      <c r="L85" t="s">
        <v>21</v>
      </c>
      <c r="M85" t="s">
        <v>19</v>
      </c>
      <c r="N85">
        <v>0.99</v>
      </c>
      <c r="O85" t="s">
        <v>37</v>
      </c>
      <c r="P85" t="s">
        <v>19</v>
      </c>
      <c r="Q85">
        <v>0.97899999999999998</v>
      </c>
      <c r="R85" t="s">
        <v>23</v>
      </c>
      <c r="S85">
        <v>4</v>
      </c>
    </row>
    <row r="86" spans="1:19">
      <c r="A86">
        <v>85</v>
      </c>
      <c r="B86" t="s">
        <v>159</v>
      </c>
      <c r="C86">
        <v>904.50800000000004</v>
      </c>
      <c r="D86">
        <v>297.60000000000002</v>
      </c>
      <c r="E86">
        <v>-0.49806985751320099</v>
      </c>
      <c r="F86" t="s">
        <v>18</v>
      </c>
      <c r="G86" t="s">
        <v>19</v>
      </c>
      <c r="H86">
        <v>1</v>
      </c>
      <c r="I86" t="s">
        <v>20</v>
      </c>
      <c r="J86" t="s">
        <v>19</v>
      </c>
      <c r="K86">
        <v>0.96</v>
      </c>
      <c r="L86" t="s">
        <v>21</v>
      </c>
      <c r="M86" t="s">
        <v>19</v>
      </c>
      <c r="N86">
        <v>1</v>
      </c>
      <c r="O86" t="s">
        <v>37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160</v>
      </c>
      <c r="C87">
        <v>745.44600000000003</v>
      </c>
      <c r="D87">
        <v>273.2</v>
      </c>
      <c r="E87">
        <v>-0.61367083873642503</v>
      </c>
      <c r="F87" t="s">
        <v>18</v>
      </c>
      <c r="G87" t="s">
        <v>19</v>
      </c>
      <c r="H87">
        <v>1</v>
      </c>
      <c r="I87" t="s">
        <v>39</v>
      </c>
      <c r="J87" t="s">
        <v>19</v>
      </c>
      <c r="K87">
        <v>0.66</v>
      </c>
      <c r="L87" t="s">
        <v>40</v>
      </c>
      <c r="M87" t="s">
        <v>19</v>
      </c>
      <c r="N87">
        <v>1</v>
      </c>
      <c r="O87" t="s">
        <v>41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87</v>
      </c>
      <c r="B88" t="s">
        <v>161</v>
      </c>
      <c r="C88">
        <v>752.55700000000002</v>
      </c>
      <c r="D88">
        <v>281.5</v>
      </c>
      <c r="E88">
        <v>-0.71673103804562299</v>
      </c>
      <c r="F88" t="s">
        <v>18</v>
      </c>
      <c r="G88" t="s">
        <v>19</v>
      </c>
      <c r="H88">
        <v>1</v>
      </c>
      <c r="I88" t="s">
        <v>20</v>
      </c>
      <c r="J88" t="s">
        <v>19</v>
      </c>
      <c r="K88">
        <v>1</v>
      </c>
      <c r="L88" t="s">
        <v>21</v>
      </c>
      <c r="M88" t="s">
        <v>19</v>
      </c>
      <c r="N88">
        <v>0.75</v>
      </c>
      <c r="O88" t="s">
        <v>22</v>
      </c>
      <c r="P88" t="s">
        <v>19</v>
      </c>
      <c r="Q88">
        <v>0.78800000000000003</v>
      </c>
      <c r="R88" t="s">
        <v>23</v>
      </c>
      <c r="S88">
        <v>4</v>
      </c>
    </row>
    <row r="89" spans="1:19">
      <c r="A89">
        <v>88</v>
      </c>
      <c r="B89" t="s">
        <v>162</v>
      </c>
      <c r="C89">
        <v>628.05669999999998</v>
      </c>
      <c r="D89">
        <v>228.4</v>
      </c>
      <c r="E89">
        <v>-0.35544208683529599</v>
      </c>
      <c r="F89" t="s">
        <v>18</v>
      </c>
      <c r="G89" t="s">
        <v>19</v>
      </c>
      <c r="H89">
        <v>1</v>
      </c>
      <c r="I89" t="s">
        <v>52</v>
      </c>
      <c r="J89" t="s">
        <v>19</v>
      </c>
      <c r="K89">
        <v>0.98</v>
      </c>
      <c r="L89" t="s">
        <v>131</v>
      </c>
      <c r="M89" t="s">
        <v>19</v>
      </c>
      <c r="N89">
        <v>0.86</v>
      </c>
      <c r="O89" t="s">
        <v>163</v>
      </c>
      <c r="P89" t="s">
        <v>19</v>
      </c>
      <c r="Q89">
        <v>0.99399999999999999</v>
      </c>
      <c r="R89" t="s">
        <v>23</v>
      </c>
      <c r="S89">
        <v>4</v>
      </c>
    </row>
    <row r="90" spans="1:19">
      <c r="A90">
        <v>89</v>
      </c>
      <c r="B90" t="s">
        <v>164</v>
      </c>
      <c r="C90">
        <v>281.24689999999998</v>
      </c>
      <c r="D90">
        <v>175.6</v>
      </c>
      <c r="E90">
        <v>-0.93287323429865399</v>
      </c>
      <c r="F90" t="s">
        <v>18</v>
      </c>
      <c r="G90" t="s">
        <v>19</v>
      </c>
      <c r="H90">
        <v>1</v>
      </c>
      <c r="I90" t="s">
        <v>20</v>
      </c>
      <c r="J90" t="s">
        <v>19</v>
      </c>
      <c r="K90">
        <v>1</v>
      </c>
      <c r="L90" t="s">
        <v>30</v>
      </c>
      <c r="M90" t="s">
        <v>19</v>
      </c>
      <c r="N90">
        <v>1</v>
      </c>
      <c r="O90" t="s">
        <v>67</v>
      </c>
      <c r="P90" t="s">
        <v>19</v>
      </c>
      <c r="Q90">
        <v>0.82199999999999995</v>
      </c>
      <c r="R90" t="s">
        <v>23</v>
      </c>
      <c r="S90">
        <v>4</v>
      </c>
    </row>
    <row r="91" spans="1:19">
      <c r="A91">
        <v>90</v>
      </c>
      <c r="B91" t="s">
        <v>165</v>
      </c>
      <c r="C91">
        <v>151.06100000000001</v>
      </c>
      <c r="D91">
        <v>125.2</v>
      </c>
      <c r="E91">
        <v>-0.89233255067486505</v>
      </c>
      <c r="F91" t="s">
        <v>18</v>
      </c>
      <c r="G91" t="s">
        <v>19</v>
      </c>
      <c r="H91">
        <v>1</v>
      </c>
      <c r="I91" t="s">
        <v>43</v>
      </c>
      <c r="J91" t="s">
        <v>19</v>
      </c>
      <c r="K91">
        <v>0.85</v>
      </c>
      <c r="L91" t="s">
        <v>44</v>
      </c>
      <c r="M91" t="s">
        <v>19</v>
      </c>
      <c r="N91">
        <v>1</v>
      </c>
      <c r="O91" t="s">
        <v>45</v>
      </c>
      <c r="P91" t="s">
        <v>19</v>
      </c>
      <c r="Q91">
        <v>0.99</v>
      </c>
      <c r="R91" t="s">
        <v>23</v>
      </c>
      <c r="S91">
        <v>4</v>
      </c>
    </row>
    <row r="92" spans="1:19">
      <c r="A92">
        <v>91</v>
      </c>
      <c r="B92" t="s">
        <v>128</v>
      </c>
      <c r="C92">
        <v>170.0909</v>
      </c>
      <c r="D92">
        <v>133.6</v>
      </c>
      <c r="E92">
        <v>-0.90098467932543302</v>
      </c>
      <c r="F92" t="s">
        <v>18</v>
      </c>
      <c r="G92" t="s">
        <v>19</v>
      </c>
      <c r="H92">
        <v>1</v>
      </c>
      <c r="I92" t="s">
        <v>39</v>
      </c>
      <c r="J92" t="s">
        <v>19</v>
      </c>
      <c r="K92">
        <v>0.82</v>
      </c>
      <c r="L92" t="s">
        <v>40</v>
      </c>
      <c r="M92" t="s">
        <v>19</v>
      </c>
      <c r="N92">
        <v>1</v>
      </c>
      <c r="O92" t="s">
        <v>41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166</v>
      </c>
      <c r="C93">
        <v>195.02449999999999</v>
      </c>
      <c r="D93">
        <v>149.19999999999999</v>
      </c>
      <c r="E93">
        <v>-0.80674502041614504</v>
      </c>
      <c r="F93" t="s">
        <v>18</v>
      </c>
      <c r="G93" t="s">
        <v>19</v>
      </c>
      <c r="H93">
        <v>1</v>
      </c>
      <c r="I93" t="s">
        <v>43</v>
      </c>
      <c r="J93" t="s">
        <v>19</v>
      </c>
      <c r="K93">
        <v>0.64</v>
      </c>
      <c r="L93" t="s">
        <v>44</v>
      </c>
      <c r="M93" t="s">
        <v>19</v>
      </c>
      <c r="N93">
        <v>1</v>
      </c>
      <c r="O93" t="s">
        <v>167</v>
      </c>
      <c r="P93" t="s">
        <v>19</v>
      </c>
      <c r="Q93">
        <v>0.56799999999999995</v>
      </c>
      <c r="R93" t="s">
        <v>23</v>
      </c>
      <c r="S93">
        <v>4</v>
      </c>
    </row>
    <row r="94" spans="1:19">
      <c r="A94">
        <v>93</v>
      </c>
      <c r="B94" t="s">
        <v>168</v>
      </c>
      <c r="C94">
        <v>191.01920000000001</v>
      </c>
      <c r="D94">
        <v>127.3</v>
      </c>
      <c r="E94">
        <v>-0.80591714581441898</v>
      </c>
      <c r="F94" t="s">
        <v>18</v>
      </c>
      <c r="G94" t="s">
        <v>19</v>
      </c>
      <c r="H94">
        <v>1</v>
      </c>
      <c r="I94" t="s">
        <v>39</v>
      </c>
      <c r="J94" t="s">
        <v>19</v>
      </c>
      <c r="K94">
        <v>0.82</v>
      </c>
      <c r="L94" t="s">
        <v>40</v>
      </c>
      <c r="M94" t="s">
        <v>19</v>
      </c>
      <c r="N94">
        <v>1</v>
      </c>
      <c r="O94" t="s">
        <v>169</v>
      </c>
      <c r="P94" t="s">
        <v>19</v>
      </c>
      <c r="Q94">
        <v>0.75800000000000001</v>
      </c>
      <c r="R94" t="s">
        <v>23</v>
      </c>
      <c r="S94">
        <v>4</v>
      </c>
    </row>
    <row r="95" spans="1:19">
      <c r="A95">
        <v>94</v>
      </c>
      <c r="B95" t="s">
        <v>170</v>
      </c>
      <c r="C95">
        <v>174.04079999999999</v>
      </c>
      <c r="D95">
        <v>131.30000000000001</v>
      </c>
      <c r="E95">
        <v>-0.84647441090348297</v>
      </c>
      <c r="F95" t="s">
        <v>18</v>
      </c>
      <c r="G95" t="s">
        <v>19</v>
      </c>
      <c r="H95">
        <v>1</v>
      </c>
      <c r="I95" t="s">
        <v>39</v>
      </c>
      <c r="J95" t="s">
        <v>19</v>
      </c>
      <c r="K95">
        <v>0.68</v>
      </c>
      <c r="L95" t="s">
        <v>40</v>
      </c>
      <c r="M95" t="s">
        <v>19</v>
      </c>
      <c r="N95">
        <v>1</v>
      </c>
      <c r="O95" t="s">
        <v>41</v>
      </c>
      <c r="P95" t="s">
        <v>19</v>
      </c>
      <c r="Q95">
        <v>0.99299999999999999</v>
      </c>
      <c r="R95" t="s">
        <v>23</v>
      </c>
      <c r="S95">
        <v>4</v>
      </c>
    </row>
    <row r="96" spans="1:19">
      <c r="A96">
        <v>95</v>
      </c>
      <c r="B96" t="s">
        <v>171</v>
      </c>
      <c r="C96">
        <v>149.0094</v>
      </c>
      <c r="D96">
        <v>118.4</v>
      </c>
      <c r="E96">
        <v>-0.84302326859037202</v>
      </c>
      <c r="F96" t="s">
        <v>18</v>
      </c>
      <c r="G96" t="s">
        <v>19</v>
      </c>
      <c r="H96">
        <v>1</v>
      </c>
      <c r="I96" t="s">
        <v>43</v>
      </c>
      <c r="J96" t="s">
        <v>19</v>
      </c>
      <c r="K96">
        <v>0.93</v>
      </c>
      <c r="L96" t="s">
        <v>44</v>
      </c>
      <c r="M96" t="s">
        <v>19</v>
      </c>
      <c r="N96">
        <v>1</v>
      </c>
      <c r="O96" t="s">
        <v>45</v>
      </c>
      <c r="P96" t="s">
        <v>19</v>
      </c>
      <c r="Q96">
        <v>0.94299999999999995</v>
      </c>
      <c r="R96" t="s">
        <v>23</v>
      </c>
      <c r="S96">
        <v>4</v>
      </c>
    </row>
    <row r="97" spans="1:19">
      <c r="A97">
        <v>96</v>
      </c>
      <c r="B97" t="s">
        <v>172</v>
      </c>
      <c r="C97">
        <v>782.5675</v>
      </c>
      <c r="D97">
        <v>286</v>
      </c>
      <c r="E97">
        <v>-0.69372275670252703</v>
      </c>
      <c r="F97" t="s">
        <v>18</v>
      </c>
      <c r="G97" t="s">
        <v>19</v>
      </c>
      <c r="H97">
        <v>1</v>
      </c>
      <c r="I97" t="s">
        <v>20</v>
      </c>
      <c r="J97" t="s">
        <v>19</v>
      </c>
      <c r="K97">
        <v>1</v>
      </c>
      <c r="L97" t="s">
        <v>21</v>
      </c>
      <c r="M97" t="s">
        <v>19</v>
      </c>
      <c r="N97">
        <v>1</v>
      </c>
      <c r="O97" t="s">
        <v>110</v>
      </c>
      <c r="P97" t="s">
        <v>19</v>
      </c>
      <c r="Q97">
        <v>0.68200000000000005</v>
      </c>
      <c r="R97" t="s">
        <v>23</v>
      </c>
      <c r="S97">
        <v>4</v>
      </c>
    </row>
    <row r="98" spans="1:19">
      <c r="A98">
        <v>97</v>
      </c>
      <c r="B98" t="s">
        <v>173</v>
      </c>
      <c r="C98">
        <v>1448.4380000000001</v>
      </c>
      <c r="D98">
        <v>382.9</v>
      </c>
      <c r="E98">
        <v>-0.82074377261096698</v>
      </c>
      <c r="F98" t="s">
        <v>18</v>
      </c>
      <c r="G98" t="s">
        <v>19</v>
      </c>
      <c r="H98">
        <v>1</v>
      </c>
      <c r="I98" t="s">
        <v>39</v>
      </c>
      <c r="J98" t="s">
        <v>19</v>
      </c>
      <c r="K98">
        <v>1</v>
      </c>
      <c r="L98" t="s">
        <v>40</v>
      </c>
      <c r="M98" t="s">
        <v>19</v>
      </c>
      <c r="N98">
        <v>0.83</v>
      </c>
      <c r="O98" t="s">
        <v>41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174</v>
      </c>
      <c r="C99">
        <v>363.03519999999997</v>
      </c>
      <c r="D99">
        <v>166.2</v>
      </c>
      <c r="E99">
        <v>-0.62985235104196102</v>
      </c>
      <c r="F99" t="s">
        <v>18</v>
      </c>
      <c r="G99" t="s">
        <v>19</v>
      </c>
      <c r="H99">
        <v>1</v>
      </c>
      <c r="I99" t="s">
        <v>52</v>
      </c>
      <c r="J99" t="s">
        <v>19</v>
      </c>
      <c r="K99">
        <v>0.98</v>
      </c>
      <c r="L99" t="s">
        <v>53</v>
      </c>
      <c r="M99" t="s">
        <v>19</v>
      </c>
      <c r="N99">
        <v>0.84</v>
      </c>
      <c r="O99" t="s">
        <v>83</v>
      </c>
      <c r="P99" t="s">
        <v>19</v>
      </c>
      <c r="Q99">
        <v>0.58899999999999997</v>
      </c>
      <c r="R99" t="s">
        <v>23</v>
      </c>
      <c r="S99">
        <v>4</v>
      </c>
    </row>
    <row r="100" spans="1:19">
      <c r="A100">
        <v>99</v>
      </c>
      <c r="B100" t="s">
        <v>175</v>
      </c>
      <c r="C100">
        <v>754.47889999999995</v>
      </c>
      <c r="D100">
        <v>275.89999999999998</v>
      </c>
      <c r="E100">
        <v>-0.636485136913848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0.99</v>
      </c>
      <c r="L100" t="s">
        <v>21</v>
      </c>
      <c r="M100" t="s">
        <v>19</v>
      </c>
      <c r="N100">
        <v>1</v>
      </c>
      <c r="O100" t="s">
        <v>22</v>
      </c>
      <c r="P100" t="s">
        <v>19</v>
      </c>
      <c r="Q100">
        <v>0.90400000000000003</v>
      </c>
      <c r="R100" t="s">
        <v>23</v>
      </c>
      <c r="S100">
        <v>4</v>
      </c>
    </row>
    <row r="101" spans="1:19">
      <c r="A101">
        <v>100</v>
      </c>
      <c r="B101" t="s">
        <v>154</v>
      </c>
      <c r="C101">
        <v>521.24990000000003</v>
      </c>
      <c r="D101">
        <v>197.8</v>
      </c>
      <c r="E101">
        <v>-0.66789742425919496</v>
      </c>
      <c r="F101" t="s">
        <v>18</v>
      </c>
      <c r="G101" t="s">
        <v>19</v>
      </c>
      <c r="H101">
        <v>1</v>
      </c>
      <c r="I101" t="s">
        <v>33</v>
      </c>
      <c r="J101" t="s">
        <v>19</v>
      </c>
      <c r="K101">
        <v>0.89</v>
      </c>
      <c r="L101" t="s">
        <v>34</v>
      </c>
      <c r="M101" t="s">
        <v>19</v>
      </c>
      <c r="N101">
        <v>1</v>
      </c>
      <c r="O101" t="s">
        <v>35</v>
      </c>
      <c r="P101" t="s">
        <v>19</v>
      </c>
      <c r="Q101">
        <v>0.875</v>
      </c>
      <c r="R101" t="s">
        <v>23</v>
      </c>
      <c r="S101">
        <v>4</v>
      </c>
    </row>
    <row r="102" spans="1:19">
      <c r="A102">
        <v>101</v>
      </c>
      <c r="B102" t="s">
        <v>176</v>
      </c>
      <c r="C102">
        <v>232.05950000000001</v>
      </c>
      <c r="D102">
        <v>150.80000000000001</v>
      </c>
      <c r="E102">
        <v>-0.80039352012320797</v>
      </c>
      <c r="F102" t="s">
        <v>18</v>
      </c>
      <c r="G102" t="s">
        <v>19</v>
      </c>
      <c r="H102">
        <v>1</v>
      </c>
      <c r="I102" t="s">
        <v>39</v>
      </c>
      <c r="J102" t="s">
        <v>19</v>
      </c>
      <c r="K102">
        <v>0.7</v>
      </c>
      <c r="L102" t="s">
        <v>40</v>
      </c>
      <c r="M102" t="s">
        <v>19</v>
      </c>
      <c r="N102">
        <v>0.78</v>
      </c>
      <c r="O102" t="s">
        <v>41</v>
      </c>
      <c r="P102" t="s">
        <v>19</v>
      </c>
      <c r="Q102">
        <v>0.98299999999999998</v>
      </c>
      <c r="R102" t="s">
        <v>23</v>
      </c>
      <c r="S102">
        <v>4</v>
      </c>
    </row>
    <row r="103" spans="1:19">
      <c r="A103">
        <v>102</v>
      </c>
      <c r="B103" t="s">
        <v>177</v>
      </c>
      <c r="C103">
        <v>850.56690000000003</v>
      </c>
      <c r="D103">
        <v>296</v>
      </c>
      <c r="E103">
        <v>-0.61719789619166898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21</v>
      </c>
      <c r="M103" t="s">
        <v>19</v>
      </c>
      <c r="N103">
        <v>1</v>
      </c>
      <c r="O103" t="s">
        <v>110</v>
      </c>
      <c r="P103" t="s">
        <v>19</v>
      </c>
      <c r="Q103">
        <v>0.89900000000000002</v>
      </c>
      <c r="R103" t="s">
        <v>23</v>
      </c>
      <c r="S103">
        <v>4</v>
      </c>
    </row>
    <row r="104" spans="1:19">
      <c r="A104">
        <v>103</v>
      </c>
      <c r="B104" t="s">
        <v>178</v>
      </c>
      <c r="C104">
        <v>199.0847</v>
      </c>
      <c r="D104">
        <v>149.80000000000001</v>
      </c>
      <c r="E104">
        <v>-0.86241159631762798</v>
      </c>
      <c r="F104" t="s">
        <v>18</v>
      </c>
      <c r="G104" t="s">
        <v>19</v>
      </c>
      <c r="H104">
        <v>1</v>
      </c>
      <c r="I104" t="s">
        <v>59</v>
      </c>
      <c r="J104" t="s">
        <v>19</v>
      </c>
      <c r="K104">
        <v>0.68</v>
      </c>
      <c r="L104" t="s">
        <v>91</v>
      </c>
      <c r="M104" t="s">
        <v>19</v>
      </c>
      <c r="N104">
        <v>0.9</v>
      </c>
      <c r="O104" t="s">
        <v>92</v>
      </c>
      <c r="P104" t="s">
        <v>19</v>
      </c>
      <c r="Q104">
        <v>0.56299999999999994</v>
      </c>
      <c r="R104" t="s">
        <v>23</v>
      </c>
      <c r="S104">
        <v>4</v>
      </c>
    </row>
    <row r="105" spans="1:19">
      <c r="A105">
        <v>104</v>
      </c>
      <c r="B105" t="s">
        <v>143</v>
      </c>
      <c r="C105">
        <v>167.03219999999999</v>
      </c>
      <c r="D105">
        <v>133</v>
      </c>
      <c r="E105">
        <v>-0.84569987667782698</v>
      </c>
      <c r="F105" t="s">
        <v>18</v>
      </c>
      <c r="G105" t="s">
        <v>19</v>
      </c>
      <c r="H105">
        <v>1</v>
      </c>
      <c r="I105" t="s">
        <v>20</v>
      </c>
      <c r="J105" t="s">
        <v>19</v>
      </c>
      <c r="K105">
        <v>0.93</v>
      </c>
      <c r="L105" t="s">
        <v>30</v>
      </c>
      <c r="M105" t="s">
        <v>19</v>
      </c>
      <c r="N105">
        <v>1</v>
      </c>
      <c r="O105" t="s">
        <v>67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179</v>
      </c>
      <c r="C106">
        <v>851.26</v>
      </c>
      <c r="D106">
        <v>257.2</v>
      </c>
      <c r="E106">
        <v>-0.30952401405704699</v>
      </c>
      <c r="F106" t="s">
        <v>18</v>
      </c>
      <c r="G106" t="s">
        <v>19</v>
      </c>
      <c r="H106">
        <v>1</v>
      </c>
      <c r="I106" t="s">
        <v>43</v>
      </c>
      <c r="J106" t="s">
        <v>19</v>
      </c>
      <c r="K106">
        <v>0.96</v>
      </c>
      <c r="L106" t="s">
        <v>44</v>
      </c>
      <c r="M106" t="s">
        <v>19</v>
      </c>
      <c r="N106">
        <v>1</v>
      </c>
      <c r="O106" t="s">
        <v>45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180</v>
      </c>
      <c r="C107">
        <v>295.22730000000001</v>
      </c>
      <c r="D107">
        <v>182.5</v>
      </c>
      <c r="E107">
        <v>-0.89766339186058997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1</v>
      </c>
      <c r="L107" t="s">
        <v>30</v>
      </c>
      <c r="M107" t="s">
        <v>19</v>
      </c>
      <c r="N107">
        <v>1</v>
      </c>
      <c r="O107" t="s">
        <v>181</v>
      </c>
      <c r="P107" t="s">
        <v>19</v>
      </c>
      <c r="Q107">
        <v>0.97699999999999998</v>
      </c>
      <c r="R107" t="s">
        <v>23</v>
      </c>
      <c r="S107">
        <v>4</v>
      </c>
    </row>
    <row r="108" spans="1:19">
      <c r="A108">
        <v>107</v>
      </c>
      <c r="B108" t="s">
        <v>161</v>
      </c>
      <c r="C108">
        <v>730.57500000000005</v>
      </c>
      <c r="D108">
        <v>276.10000000000002</v>
      </c>
      <c r="E108">
        <v>-0.75927508231302498</v>
      </c>
      <c r="F108" t="s">
        <v>18</v>
      </c>
      <c r="G108" t="s">
        <v>19</v>
      </c>
      <c r="H108">
        <v>1</v>
      </c>
      <c r="I108" t="s">
        <v>20</v>
      </c>
      <c r="J108" t="s">
        <v>19</v>
      </c>
      <c r="K108">
        <v>1</v>
      </c>
      <c r="L108" t="s">
        <v>21</v>
      </c>
      <c r="M108" t="s">
        <v>19</v>
      </c>
      <c r="N108">
        <v>0.95</v>
      </c>
      <c r="O108" t="s">
        <v>22</v>
      </c>
      <c r="P108" t="s">
        <v>19</v>
      </c>
      <c r="Q108">
        <v>0.96</v>
      </c>
      <c r="R108" t="s">
        <v>23</v>
      </c>
      <c r="S108">
        <v>4</v>
      </c>
    </row>
    <row r="109" spans="1:19">
      <c r="A109">
        <v>108</v>
      </c>
      <c r="B109" t="s">
        <v>182</v>
      </c>
      <c r="C109">
        <v>407.28050000000002</v>
      </c>
      <c r="D109">
        <v>203.1</v>
      </c>
      <c r="E109">
        <v>-0.82575017645274296</v>
      </c>
      <c r="F109" t="s">
        <v>18</v>
      </c>
      <c r="G109" t="s">
        <v>19</v>
      </c>
      <c r="H109">
        <v>1</v>
      </c>
      <c r="I109" t="s">
        <v>20</v>
      </c>
      <c r="J109" t="s">
        <v>19</v>
      </c>
      <c r="K109">
        <v>1</v>
      </c>
      <c r="L109" t="s">
        <v>85</v>
      </c>
      <c r="M109" t="s">
        <v>19</v>
      </c>
      <c r="N109">
        <v>0.98</v>
      </c>
      <c r="O109" t="s">
        <v>86</v>
      </c>
      <c r="P109" t="s">
        <v>19</v>
      </c>
      <c r="Q109">
        <v>0.97599999999999998</v>
      </c>
      <c r="R109" t="s">
        <v>23</v>
      </c>
      <c r="S109">
        <v>4</v>
      </c>
    </row>
    <row r="110" spans="1:19">
      <c r="A110">
        <v>109</v>
      </c>
      <c r="B110" t="s">
        <v>183</v>
      </c>
      <c r="C110">
        <v>1044.6572000000001</v>
      </c>
      <c r="D110">
        <v>332</v>
      </c>
      <c r="E110">
        <v>-0.49078599940980899</v>
      </c>
      <c r="F110" t="s">
        <v>18</v>
      </c>
      <c r="G110" t="s">
        <v>19</v>
      </c>
      <c r="H110">
        <v>1</v>
      </c>
      <c r="I110" t="s">
        <v>39</v>
      </c>
      <c r="J110" t="s">
        <v>19</v>
      </c>
      <c r="K110">
        <v>1</v>
      </c>
      <c r="L110" t="s">
        <v>138</v>
      </c>
      <c r="M110" t="s">
        <v>19</v>
      </c>
      <c r="N110">
        <v>1</v>
      </c>
      <c r="O110" t="s">
        <v>184</v>
      </c>
      <c r="P110" t="s">
        <v>19</v>
      </c>
      <c r="Q110">
        <v>1</v>
      </c>
      <c r="R110" t="s">
        <v>23</v>
      </c>
      <c r="S110">
        <v>4</v>
      </c>
    </row>
    <row r="111" spans="1:19">
      <c r="A111">
        <v>110</v>
      </c>
      <c r="B111" t="s">
        <v>185</v>
      </c>
      <c r="C111">
        <v>193.0712</v>
      </c>
      <c r="D111">
        <v>145</v>
      </c>
      <c r="E111">
        <v>-0.85562598127810896</v>
      </c>
      <c r="F111" t="s">
        <v>18</v>
      </c>
      <c r="G111" t="s">
        <v>19</v>
      </c>
      <c r="H111">
        <v>1</v>
      </c>
      <c r="I111" t="s">
        <v>43</v>
      </c>
      <c r="J111" t="s">
        <v>19</v>
      </c>
      <c r="K111">
        <v>0.64</v>
      </c>
      <c r="L111" t="s">
        <v>44</v>
      </c>
      <c r="M111" t="s">
        <v>19</v>
      </c>
      <c r="N111">
        <v>1</v>
      </c>
      <c r="O111" t="s">
        <v>186</v>
      </c>
      <c r="P111" t="s">
        <v>19</v>
      </c>
      <c r="Q111">
        <v>0.74</v>
      </c>
      <c r="R111" t="s">
        <v>23</v>
      </c>
      <c r="S111">
        <v>4</v>
      </c>
    </row>
    <row r="112" spans="1:19">
      <c r="A112">
        <v>111</v>
      </c>
      <c r="B112" t="s">
        <v>187</v>
      </c>
      <c r="C112">
        <v>206.0401</v>
      </c>
      <c r="D112">
        <v>150.6</v>
      </c>
      <c r="E112">
        <v>-0.81004553110531696</v>
      </c>
      <c r="F112" t="s">
        <v>18</v>
      </c>
      <c r="G112" t="s">
        <v>19</v>
      </c>
      <c r="H112">
        <v>1</v>
      </c>
      <c r="I112" t="s">
        <v>59</v>
      </c>
      <c r="J112" t="s">
        <v>19</v>
      </c>
      <c r="K112">
        <v>0.67</v>
      </c>
      <c r="L112" t="s">
        <v>188</v>
      </c>
      <c r="M112" t="s">
        <v>19</v>
      </c>
      <c r="N112">
        <v>0.52</v>
      </c>
      <c r="O112" t="s">
        <v>189</v>
      </c>
      <c r="P112" t="s">
        <v>19</v>
      </c>
      <c r="Q112">
        <v>0.68</v>
      </c>
      <c r="R112" t="s">
        <v>23</v>
      </c>
      <c r="S112">
        <v>4</v>
      </c>
    </row>
    <row r="113" spans="1:19">
      <c r="A113">
        <v>112</v>
      </c>
      <c r="B113" t="s">
        <v>190</v>
      </c>
      <c r="C113">
        <v>305.24799999999999</v>
      </c>
      <c r="D113">
        <v>177.8</v>
      </c>
      <c r="E113">
        <v>-0.90717476005318098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1</v>
      </c>
      <c r="L113" t="s">
        <v>30</v>
      </c>
      <c r="M113" t="s">
        <v>19</v>
      </c>
      <c r="N113">
        <v>1</v>
      </c>
      <c r="O113" t="s">
        <v>67</v>
      </c>
      <c r="P113" t="s">
        <v>19</v>
      </c>
      <c r="Q113">
        <v>0.95299999999999996</v>
      </c>
      <c r="R113" t="s">
        <v>23</v>
      </c>
      <c r="S113">
        <v>4</v>
      </c>
    </row>
    <row r="114" spans="1:19">
      <c r="A114">
        <v>113</v>
      </c>
      <c r="B114" t="s">
        <v>191</v>
      </c>
      <c r="C114">
        <v>658.31600000000003</v>
      </c>
      <c r="D114">
        <v>243</v>
      </c>
      <c r="E114">
        <v>-0.58095600737499398</v>
      </c>
      <c r="F114" t="s">
        <v>18</v>
      </c>
      <c r="G114" t="s">
        <v>19</v>
      </c>
      <c r="H114">
        <v>1</v>
      </c>
      <c r="I114" t="s">
        <v>39</v>
      </c>
      <c r="J114" t="s">
        <v>19</v>
      </c>
      <c r="K114">
        <v>0.89</v>
      </c>
      <c r="L114" t="s">
        <v>40</v>
      </c>
      <c r="M114" t="s">
        <v>19</v>
      </c>
      <c r="N114">
        <v>0.84</v>
      </c>
      <c r="O114" t="s">
        <v>41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192</v>
      </c>
      <c r="C115">
        <v>838.5598</v>
      </c>
      <c r="D115">
        <v>291.89999999999998</v>
      </c>
      <c r="E115">
        <v>-0.62350444672938499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1</v>
      </c>
      <c r="L115" t="s">
        <v>21</v>
      </c>
      <c r="M115" t="s">
        <v>19</v>
      </c>
      <c r="N115">
        <v>1</v>
      </c>
      <c r="O115" t="s">
        <v>37</v>
      </c>
      <c r="P115" t="s">
        <v>19</v>
      </c>
      <c r="Q115">
        <v>0.84799999999999998</v>
      </c>
      <c r="R115" t="s">
        <v>23</v>
      </c>
      <c r="S115">
        <v>4</v>
      </c>
    </row>
    <row r="116" spans="1:19">
      <c r="A116">
        <v>115</v>
      </c>
      <c r="B116" t="s">
        <v>193</v>
      </c>
      <c r="C116">
        <v>742.54179999999997</v>
      </c>
      <c r="D116">
        <v>272</v>
      </c>
      <c r="E116">
        <v>-0.71271352881740302</v>
      </c>
      <c r="F116" t="s">
        <v>18</v>
      </c>
      <c r="G116" t="s">
        <v>19</v>
      </c>
      <c r="H116">
        <v>1</v>
      </c>
      <c r="I116" t="s">
        <v>20</v>
      </c>
      <c r="J116" t="s">
        <v>19</v>
      </c>
      <c r="K116">
        <v>0.99</v>
      </c>
      <c r="L116" t="s">
        <v>21</v>
      </c>
      <c r="M116" t="s">
        <v>19</v>
      </c>
      <c r="N116">
        <v>0.88</v>
      </c>
      <c r="O116" t="s">
        <v>22</v>
      </c>
      <c r="P116" t="s">
        <v>19</v>
      </c>
      <c r="Q116">
        <v>0.998</v>
      </c>
      <c r="R116" t="s">
        <v>23</v>
      </c>
      <c r="S116">
        <v>4</v>
      </c>
    </row>
    <row r="117" spans="1:19">
      <c r="A117">
        <v>116</v>
      </c>
      <c r="B117" t="s">
        <v>194</v>
      </c>
      <c r="C117">
        <v>258.0292</v>
      </c>
      <c r="D117">
        <v>149.5</v>
      </c>
      <c r="E117">
        <v>-0.741097001771436</v>
      </c>
      <c r="F117" t="s">
        <v>18</v>
      </c>
      <c r="G117" t="s">
        <v>19</v>
      </c>
      <c r="H117">
        <v>1</v>
      </c>
      <c r="I117" t="s">
        <v>43</v>
      </c>
      <c r="J117" t="s">
        <v>19</v>
      </c>
      <c r="K117">
        <v>0.89</v>
      </c>
      <c r="L117" t="s">
        <v>44</v>
      </c>
      <c r="M117" t="s">
        <v>19</v>
      </c>
      <c r="N117">
        <v>1</v>
      </c>
      <c r="O117" t="s">
        <v>45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195</v>
      </c>
      <c r="C118">
        <v>574.61279999999999</v>
      </c>
      <c r="D118">
        <v>184.8</v>
      </c>
      <c r="E118">
        <v>-0.97121497589989803</v>
      </c>
      <c r="F118" t="s">
        <v>18</v>
      </c>
      <c r="G118" t="s">
        <v>19</v>
      </c>
      <c r="H118">
        <v>1</v>
      </c>
      <c r="I118" t="s">
        <v>33</v>
      </c>
      <c r="J118" t="s">
        <v>19</v>
      </c>
      <c r="K118">
        <v>0.99</v>
      </c>
      <c r="L118" t="s">
        <v>34</v>
      </c>
      <c r="M118" t="s">
        <v>19</v>
      </c>
      <c r="N118">
        <v>1</v>
      </c>
      <c r="O118" t="s">
        <v>80</v>
      </c>
      <c r="P118" t="s">
        <v>19</v>
      </c>
      <c r="Q118">
        <v>0.99299999999999999</v>
      </c>
      <c r="R118" t="s">
        <v>23</v>
      </c>
      <c r="S118">
        <v>4</v>
      </c>
    </row>
    <row r="119" spans="1:19">
      <c r="A119">
        <v>118</v>
      </c>
      <c r="B119" t="s">
        <v>196</v>
      </c>
      <c r="C119">
        <v>703.57539999999995</v>
      </c>
      <c r="D119">
        <v>281.2</v>
      </c>
      <c r="E119">
        <v>-0.78982153748529504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1</v>
      </c>
      <c r="L119" t="s">
        <v>56</v>
      </c>
      <c r="M119" t="s">
        <v>19</v>
      </c>
      <c r="N119">
        <v>1</v>
      </c>
      <c r="O119" t="s">
        <v>113</v>
      </c>
      <c r="P119" t="s">
        <v>19</v>
      </c>
      <c r="Q119">
        <v>0.73699999999999999</v>
      </c>
      <c r="R119" t="s">
        <v>23</v>
      </c>
      <c r="S119">
        <v>4</v>
      </c>
    </row>
    <row r="120" spans="1:19">
      <c r="A120">
        <v>119</v>
      </c>
      <c r="B120" t="s">
        <v>197</v>
      </c>
      <c r="C120">
        <v>127.0502</v>
      </c>
      <c r="D120">
        <v>122.1</v>
      </c>
      <c r="E120">
        <v>-0.90834185547394997</v>
      </c>
      <c r="F120" t="s">
        <v>18</v>
      </c>
      <c r="G120" t="s">
        <v>19</v>
      </c>
      <c r="H120">
        <v>1</v>
      </c>
      <c r="I120" t="s">
        <v>59</v>
      </c>
      <c r="J120" t="s">
        <v>19</v>
      </c>
      <c r="K120">
        <v>0.93</v>
      </c>
      <c r="L120" t="s">
        <v>151</v>
      </c>
      <c r="M120" t="s">
        <v>19</v>
      </c>
      <c r="N120">
        <v>0.56000000000000005</v>
      </c>
      <c r="O120" t="s">
        <v>152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120</v>
      </c>
      <c r="B121" t="s">
        <v>198</v>
      </c>
      <c r="C121">
        <v>1221.9911999999999</v>
      </c>
      <c r="D121">
        <v>283.10000000000002</v>
      </c>
      <c r="E121">
        <v>-0.62678338153591495</v>
      </c>
      <c r="F121" t="s">
        <v>18</v>
      </c>
      <c r="G121" t="s">
        <v>19</v>
      </c>
      <c r="H121">
        <v>0.98</v>
      </c>
      <c r="I121" t="s">
        <v>48</v>
      </c>
      <c r="J121" t="s">
        <v>19</v>
      </c>
      <c r="K121">
        <v>0.97</v>
      </c>
      <c r="L121" t="s">
        <v>49</v>
      </c>
      <c r="M121" t="s">
        <v>19</v>
      </c>
      <c r="N121">
        <v>1</v>
      </c>
      <c r="O121" t="s">
        <v>50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199</v>
      </c>
      <c r="C122">
        <v>345.09739999999999</v>
      </c>
      <c r="D122">
        <v>184.4</v>
      </c>
      <c r="E122">
        <v>-0.71208083604142303</v>
      </c>
      <c r="F122" t="s">
        <v>18</v>
      </c>
      <c r="G122" t="s">
        <v>19</v>
      </c>
      <c r="H122">
        <v>1</v>
      </c>
      <c r="I122" t="s">
        <v>99</v>
      </c>
      <c r="J122" t="s">
        <v>19</v>
      </c>
      <c r="K122">
        <v>0.8</v>
      </c>
      <c r="L122" t="s">
        <v>100</v>
      </c>
      <c r="M122" t="s">
        <v>19</v>
      </c>
      <c r="N122">
        <v>0.99</v>
      </c>
      <c r="O122" t="s">
        <v>101</v>
      </c>
      <c r="P122" t="s">
        <v>19</v>
      </c>
      <c r="Q122">
        <v>0.998</v>
      </c>
      <c r="R122" t="s">
        <v>23</v>
      </c>
      <c r="S122">
        <v>4</v>
      </c>
    </row>
    <row r="123" spans="1:19">
      <c r="A123">
        <v>122</v>
      </c>
      <c r="B123" t="s">
        <v>200</v>
      </c>
      <c r="C123">
        <v>183.03139999999999</v>
      </c>
      <c r="D123">
        <v>137.69999999999999</v>
      </c>
      <c r="E123">
        <v>-0.82703593922710195</v>
      </c>
      <c r="F123" t="s">
        <v>18</v>
      </c>
      <c r="G123" t="s">
        <v>19</v>
      </c>
      <c r="H123">
        <v>1</v>
      </c>
      <c r="I123" t="s">
        <v>33</v>
      </c>
      <c r="J123" t="s">
        <v>19</v>
      </c>
      <c r="K123">
        <v>0.72</v>
      </c>
      <c r="L123" t="s">
        <v>201</v>
      </c>
      <c r="M123" t="s">
        <v>19</v>
      </c>
      <c r="N123">
        <v>0.72</v>
      </c>
      <c r="O123" t="s">
        <v>202</v>
      </c>
      <c r="P123" t="s">
        <v>19</v>
      </c>
      <c r="Q123">
        <v>0.95799999999999996</v>
      </c>
      <c r="R123" t="s">
        <v>23</v>
      </c>
      <c r="S123">
        <v>4</v>
      </c>
    </row>
    <row r="124" spans="1:19">
      <c r="A124">
        <v>123</v>
      </c>
      <c r="B124" t="s">
        <v>203</v>
      </c>
      <c r="C124">
        <v>123.04430000000001</v>
      </c>
      <c r="D124">
        <v>121.5</v>
      </c>
      <c r="E124">
        <v>-0.90691465080333</v>
      </c>
      <c r="F124" t="s">
        <v>18</v>
      </c>
      <c r="G124" t="s">
        <v>19</v>
      </c>
      <c r="H124">
        <v>1</v>
      </c>
      <c r="I124" t="s">
        <v>33</v>
      </c>
      <c r="J124" t="s">
        <v>19</v>
      </c>
      <c r="K124">
        <v>0.65</v>
      </c>
      <c r="L124" t="s">
        <v>201</v>
      </c>
      <c r="M124" t="s">
        <v>19</v>
      </c>
      <c r="N124">
        <v>0.88</v>
      </c>
      <c r="O124" t="s">
        <v>202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204</v>
      </c>
      <c r="C125">
        <v>833.65120000000002</v>
      </c>
      <c r="D125">
        <v>298.8</v>
      </c>
      <c r="E125">
        <v>-0.72038515347537702</v>
      </c>
      <c r="F125" t="s">
        <v>18</v>
      </c>
      <c r="G125" t="s">
        <v>19</v>
      </c>
      <c r="H125">
        <v>1</v>
      </c>
      <c r="I125" t="s">
        <v>20</v>
      </c>
      <c r="J125" t="s">
        <v>19</v>
      </c>
      <c r="K125">
        <v>1</v>
      </c>
      <c r="L125" t="s">
        <v>56</v>
      </c>
      <c r="M125" t="s">
        <v>19</v>
      </c>
      <c r="N125">
        <v>1</v>
      </c>
      <c r="O125" t="s">
        <v>113</v>
      </c>
      <c r="P125" t="s">
        <v>19</v>
      </c>
      <c r="Q125">
        <v>0.67600000000000005</v>
      </c>
      <c r="R125" t="s">
        <v>23</v>
      </c>
      <c r="S125">
        <v>4</v>
      </c>
    </row>
    <row r="126" spans="1:19">
      <c r="A126">
        <v>125</v>
      </c>
      <c r="B126" t="s">
        <v>205</v>
      </c>
      <c r="C126">
        <v>233.0247</v>
      </c>
      <c r="D126">
        <v>146.9</v>
      </c>
      <c r="E126">
        <v>-0.76451582421168496</v>
      </c>
      <c r="F126" t="s">
        <v>18</v>
      </c>
      <c r="G126" t="s">
        <v>19</v>
      </c>
      <c r="H126">
        <v>1</v>
      </c>
      <c r="I126" t="s">
        <v>43</v>
      </c>
      <c r="J126" t="s">
        <v>19</v>
      </c>
      <c r="K126">
        <v>0.75</v>
      </c>
      <c r="L126" t="s">
        <v>44</v>
      </c>
      <c r="M126" t="s">
        <v>19</v>
      </c>
      <c r="N126">
        <v>1</v>
      </c>
      <c r="O126" t="s">
        <v>45</v>
      </c>
      <c r="P126" t="s">
        <v>19</v>
      </c>
      <c r="Q126">
        <v>0.996</v>
      </c>
      <c r="R126" t="s">
        <v>23</v>
      </c>
      <c r="S126">
        <v>4</v>
      </c>
    </row>
    <row r="127" spans="1:19">
      <c r="A127">
        <v>126</v>
      </c>
      <c r="B127" t="s">
        <v>206</v>
      </c>
      <c r="C127">
        <v>343.03179999999998</v>
      </c>
      <c r="D127">
        <v>176.2</v>
      </c>
      <c r="E127">
        <v>-0.64878718568377303</v>
      </c>
      <c r="F127" t="s">
        <v>18</v>
      </c>
      <c r="G127" t="s">
        <v>19</v>
      </c>
      <c r="H127">
        <v>1</v>
      </c>
      <c r="I127" t="s">
        <v>52</v>
      </c>
      <c r="J127" t="s">
        <v>19</v>
      </c>
      <c r="K127">
        <v>0.93</v>
      </c>
      <c r="L127" t="s">
        <v>131</v>
      </c>
      <c r="M127" t="s">
        <v>19</v>
      </c>
      <c r="N127">
        <v>0.89</v>
      </c>
      <c r="O127" t="s">
        <v>207</v>
      </c>
      <c r="P127" t="s">
        <v>19</v>
      </c>
      <c r="Q127">
        <v>0.91800000000000004</v>
      </c>
      <c r="R127" t="s">
        <v>23</v>
      </c>
      <c r="S127">
        <v>4</v>
      </c>
    </row>
    <row r="128" spans="1:19">
      <c r="A128">
        <v>127</v>
      </c>
      <c r="B128" t="s">
        <v>208</v>
      </c>
      <c r="C128">
        <v>347.04340000000002</v>
      </c>
      <c r="D128">
        <v>171.4</v>
      </c>
      <c r="E128">
        <v>-0.65590802600854703</v>
      </c>
      <c r="F128" t="s">
        <v>18</v>
      </c>
      <c r="G128" t="s">
        <v>19</v>
      </c>
      <c r="H128">
        <v>1</v>
      </c>
      <c r="I128" t="s">
        <v>52</v>
      </c>
      <c r="J128" t="s">
        <v>19</v>
      </c>
      <c r="K128">
        <v>0.97</v>
      </c>
      <c r="L128" t="s">
        <v>53</v>
      </c>
      <c r="M128" t="s">
        <v>19</v>
      </c>
      <c r="N128">
        <v>0.84</v>
      </c>
      <c r="O128" t="s">
        <v>83</v>
      </c>
      <c r="P128" t="s">
        <v>19</v>
      </c>
      <c r="Q128">
        <v>0.71499999999999997</v>
      </c>
      <c r="R128" t="s">
        <v>23</v>
      </c>
      <c r="S128">
        <v>4</v>
      </c>
    </row>
    <row r="129" spans="1:19">
      <c r="A129">
        <v>128</v>
      </c>
      <c r="B129" t="s">
        <v>209</v>
      </c>
      <c r="C129">
        <v>780.55190000000005</v>
      </c>
      <c r="D129">
        <v>284.2</v>
      </c>
      <c r="E129">
        <v>-0.68037327874901599</v>
      </c>
      <c r="F129" t="s">
        <v>18</v>
      </c>
      <c r="G129" t="s">
        <v>19</v>
      </c>
      <c r="H129">
        <v>1</v>
      </c>
      <c r="I129" t="s">
        <v>20</v>
      </c>
      <c r="J129" t="s">
        <v>19</v>
      </c>
      <c r="K129">
        <v>1</v>
      </c>
      <c r="L129" t="s">
        <v>21</v>
      </c>
      <c r="M129" t="s">
        <v>19</v>
      </c>
      <c r="N129">
        <v>1</v>
      </c>
      <c r="O129" t="s">
        <v>110</v>
      </c>
      <c r="P129" t="s">
        <v>19</v>
      </c>
      <c r="Q129">
        <v>0.60499999999999998</v>
      </c>
      <c r="R129" t="s">
        <v>23</v>
      </c>
      <c r="S129">
        <v>4</v>
      </c>
    </row>
    <row r="130" spans="1:19">
      <c r="A130">
        <v>129</v>
      </c>
      <c r="B130" t="s">
        <v>210</v>
      </c>
      <c r="C130">
        <v>472.15809999999999</v>
      </c>
      <c r="D130">
        <v>201.7</v>
      </c>
      <c r="E130">
        <v>-0.63091096772024002</v>
      </c>
      <c r="F130" t="s">
        <v>18</v>
      </c>
      <c r="G130" t="s">
        <v>19</v>
      </c>
      <c r="H130">
        <v>1</v>
      </c>
      <c r="I130" t="s">
        <v>39</v>
      </c>
      <c r="J130" t="s">
        <v>19</v>
      </c>
      <c r="K130">
        <v>0.99</v>
      </c>
      <c r="L130" t="s">
        <v>40</v>
      </c>
      <c r="M130" t="s">
        <v>19</v>
      </c>
      <c r="N130">
        <v>1</v>
      </c>
      <c r="O130" t="s">
        <v>41</v>
      </c>
      <c r="P130" t="s">
        <v>19</v>
      </c>
      <c r="Q130">
        <v>1</v>
      </c>
      <c r="R130" t="s">
        <v>23</v>
      </c>
      <c r="S130">
        <v>4</v>
      </c>
    </row>
    <row r="131" spans="1:19">
      <c r="A131">
        <v>130</v>
      </c>
      <c r="B131" t="s">
        <v>211</v>
      </c>
      <c r="C131">
        <v>164.05719999999999</v>
      </c>
      <c r="D131">
        <v>136.1</v>
      </c>
      <c r="E131">
        <v>-0.87402161863468597</v>
      </c>
      <c r="F131" t="s">
        <v>18</v>
      </c>
      <c r="G131" t="s">
        <v>19</v>
      </c>
      <c r="H131">
        <v>1</v>
      </c>
      <c r="I131" t="s">
        <v>59</v>
      </c>
      <c r="J131" t="s">
        <v>19</v>
      </c>
      <c r="K131">
        <v>0.74</v>
      </c>
      <c r="L131" t="s">
        <v>70</v>
      </c>
      <c r="M131" t="s">
        <v>19</v>
      </c>
      <c r="N131">
        <v>0.67</v>
      </c>
      <c r="O131" t="s">
        <v>71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212</v>
      </c>
      <c r="C132">
        <v>1046.5423000000001</v>
      </c>
      <c r="D132">
        <v>314</v>
      </c>
      <c r="E132">
        <v>-0.37378118738865901</v>
      </c>
      <c r="F132" t="s">
        <v>18</v>
      </c>
      <c r="G132" t="s">
        <v>19</v>
      </c>
      <c r="H132">
        <v>1</v>
      </c>
      <c r="I132" t="s">
        <v>39</v>
      </c>
      <c r="J132" t="s">
        <v>19</v>
      </c>
      <c r="K132">
        <v>0.99</v>
      </c>
      <c r="L132" t="s">
        <v>40</v>
      </c>
      <c r="M132" t="s">
        <v>19</v>
      </c>
      <c r="N132">
        <v>1</v>
      </c>
      <c r="O132" t="s">
        <v>41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213</v>
      </c>
      <c r="C133">
        <v>890.58870000000002</v>
      </c>
      <c r="D133">
        <v>301.2</v>
      </c>
      <c r="E133">
        <v>-0.59431147862915201</v>
      </c>
      <c r="F133" t="s">
        <v>18</v>
      </c>
      <c r="G133" t="s">
        <v>19</v>
      </c>
      <c r="H133">
        <v>1</v>
      </c>
      <c r="I133" t="s">
        <v>20</v>
      </c>
      <c r="J133" t="s">
        <v>19</v>
      </c>
      <c r="K133">
        <v>0.95</v>
      </c>
      <c r="L133" t="s">
        <v>21</v>
      </c>
      <c r="M133" t="s">
        <v>19</v>
      </c>
      <c r="N133">
        <v>1</v>
      </c>
      <c r="O133" t="s">
        <v>37</v>
      </c>
      <c r="P133" t="s">
        <v>19</v>
      </c>
      <c r="Q133">
        <v>0.99099999999999999</v>
      </c>
      <c r="R133" t="s">
        <v>23</v>
      </c>
      <c r="S133">
        <v>4</v>
      </c>
    </row>
    <row r="134" spans="1:19">
      <c r="A134">
        <v>133</v>
      </c>
      <c r="B134" t="s">
        <v>214</v>
      </c>
      <c r="C134">
        <v>546.35350000000005</v>
      </c>
      <c r="D134">
        <v>242.2</v>
      </c>
      <c r="E134">
        <v>-0.74346795152382605</v>
      </c>
      <c r="F134" t="s">
        <v>18</v>
      </c>
      <c r="G134" t="s">
        <v>19</v>
      </c>
      <c r="H134">
        <v>1</v>
      </c>
      <c r="I134" t="s">
        <v>20</v>
      </c>
      <c r="J134" t="s">
        <v>19</v>
      </c>
      <c r="K134">
        <v>1</v>
      </c>
      <c r="L134" t="s">
        <v>21</v>
      </c>
      <c r="M134" t="s">
        <v>19</v>
      </c>
      <c r="N134">
        <v>1</v>
      </c>
      <c r="O134" t="s">
        <v>110</v>
      </c>
      <c r="P134" t="s">
        <v>19</v>
      </c>
      <c r="Q134">
        <v>0.995</v>
      </c>
      <c r="R134" t="s">
        <v>23</v>
      </c>
      <c r="S134">
        <v>4</v>
      </c>
    </row>
    <row r="135" spans="1:19">
      <c r="A135">
        <v>134</v>
      </c>
      <c r="B135" t="s">
        <v>215</v>
      </c>
      <c r="C135">
        <v>365.04579999999999</v>
      </c>
      <c r="D135">
        <v>179.9</v>
      </c>
      <c r="E135">
        <v>-0.63820741175510398</v>
      </c>
      <c r="F135" t="s">
        <v>18</v>
      </c>
      <c r="G135" t="s">
        <v>19</v>
      </c>
      <c r="H135">
        <v>1</v>
      </c>
      <c r="I135" t="s">
        <v>59</v>
      </c>
      <c r="J135" t="s">
        <v>19</v>
      </c>
      <c r="K135">
        <v>0.68</v>
      </c>
      <c r="L135" t="s">
        <v>151</v>
      </c>
      <c r="M135" t="s">
        <v>19</v>
      </c>
      <c r="N135">
        <v>0.98</v>
      </c>
      <c r="O135" t="s">
        <v>152</v>
      </c>
      <c r="P135" t="s">
        <v>19</v>
      </c>
      <c r="Q135">
        <v>0.999</v>
      </c>
      <c r="R135" t="s">
        <v>23</v>
      </c>
      <c r="S135">
        <v>4</v>
      </c>
    </row>
    <row r="136" spans="1:19">
      <c r="A136">
        <v>135</v>
      </c>
      <c r="B136" t="s">
        <v>216</v>
      </c>
      <c r="C136">
        <v>351.21710000000002</v>
      </c>
      <c r="D136">
        <v>193.3</v>
      </c>
      <c r="E136">
        <v>-0.82494787326726304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1</v>
      </c>
      <c r="L136" t="s">
        <v>30</v>
      </c>
      <c r="M136" t="s">
        <v>19</v>
      </c>
      <c r="N136">
        <v>0.99</v>
      </c>
      <c r="O136" t="s">
        <v>96</v>
      </c>
      <c r="P136" t="s">
        <v>19</v>
      </c>
      <c r="Q136">
        <v>0.98399999999999999</v>
      </c>
      <c r="R136" t="s">
        <v>23</v>
      </c>
      <c r="S136">
        <v>4</v>
      </c>
    </row>
    <row r="137" spans="1:19">
      <c r="A137">
        <v>136</v>
      </c>
      <c r="B137" t="s">
        <v>217</v>
      </c>
      <c r="C137">
        <v>746.56989999999996</v>
      </c>
      <c r="D137">
        <v>274.60000000000002</v>
      </c>
      <c r="E137">
        <v>-0.73631594603546102</v>
      </c>
      <c r="F137" t="s">
        <v>18</v>
      </c>
      <c r="G137" t="s">
        <v>19</v>
      </c>
      <c r="H137">
        <v>1</v>
      </c>
      <c r="I137" t="s">
        <v>20</v>
      </c>
      <c r="J137" t="s">
        <v>19</v>
      </c>
      <c r="K137">
        <v>0.93</v>
      </c>
      <c r="L137" t="s">
        <v>21</v>
      </c>
      <c r="M137" t="s">
        <v>19</v>
      </c>
      <c r="N137">
        <v>1</v>
      </c>
      <c r="O137" t="s">
        <v>22</v>
      </c>
      <c r="P137" t="s">
        <v>19</v>
      </c>
      <c r="Q137">
        <v>0.96799999999999997</v>
      </c>
      <c r="R137" t="s">
        <v>23</v>
      </c>
      <c r="S137">
        <v>4</v>
      </c>
    </row>
    <row r="138" spans="1:19">
      <c r="A138">
        <v>137</v>
      </c>
      <c r="B138" t="s">
        <v>218</v>
      </c>
      <c r="C138">
        <v>301.07119999999998</v>
      </c>
      <c r="D138">
        <v>177.9</v>
      </c>
      <c r="E138">
        <v>-0.73503837410538597</v>
      </c>
      <c r="F138" t="s">
        <v>18</v>
      </c>
      <c r="G138" t="s">
        <v>19</v>
      </c>
      <c r="H138">
        <v>1</v>
      </c>
      <c r="I138" t="s">
        <v>99</v>
      </c>
      <c r="J138" t="s">
        <v>19</v>
      </c>
      <c r="K138">
        <v>0.74</v>
      </c>
      <c r="L138" t="s">
        <v>100</v>
      </c>
      <c r="M138" t="s">
        <v>19</v>
      </c>
      <c r="N138">
        <v>0.99</v>
      </c>
      <c r="O138" t="s">
        <v>101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138</v>
      </c>
      <c r="B139" t="s">
        <v>219</v>
      </c>
      <c r="C139">
        <v>846.52369999999996</v>
      </c>
      <c r="D139">
        <v>291.60000000000002</v>
      </c>
      <c r="E139">
        <v>-0.57851233890744402</v>
      </c>
      <c r="F139" t="s">
        <v>18</v>
      </c>
      <c r="G139" t="s">
        <v>19</v>
      </c>
      <c r="H139">
        <v>1</v>
      </c>
      <c r="I139" t="s">
        <v>20</v>
      </c>
      <c r="J139" t="s">
        <v>19</v>
      </c>
      <c r="K139">
        <v>1</v>
      </c>
      <c r="L139" t="s">
        <v>21</v>
      </c>
      <c r="M139" t="s">
        <v>19</v>
      </c>
      <c r="N139">
        <v>1</v>
      </c>
      <c r="O139" t="s">
        <v>37</v>
      </c>
      <c r="P139" t="s">
        <v>19</v>
      </c>
      <c r="Q139">
        <v>0.89800000000000002</v>
      </c>
      <c r="R139" t="s">
        <v>23</v>
      </c>
      <c r="S139">
        <v>4</v>
      </c>
    </row>
    <row r="140" spans="1:19">
      <c r="A140">
        <v>139</v>
      </c>
      <c r="B140" t="s">
        <v>42</v>
      </c>
      <c r="C140">
        <v>260.05349999999999</v>
      </c>
      <c r="D140">
        <v>155.6</v>
      </c>
      <c r="E140">
        <v>-0.76313676572323197</v>
      </c>
      <c r="F140" t="s">
        <v>18</v>
      </c>
      <c r="G140" t="s">
        <v>19</v>
      </c>
      <c r="H140">
        <v>1</v>
      </c>
      <c r="I140" t="s">
        <v>43</v>
      </c>
      <c r="J140" t="s">
        <v>19</v>
      </c>
      <c r="K140">
        <v>0.68</v>
      </c>
      <c r="L140" t="s">
        <v>44</v>
      </c>
      <c r="M140" t="s">
        <v>19</v>
      </c>
      <c r="N140">
        <v>1</v>
      </c>
      <c r="O140" t="s">
        <v>45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220</v>
      </c>
      <c r="C141">
        <v>283.01949999999999</v>
      </c>
      <c r="D141">
        <v>158.19999999999999</v>
      </c>
      <c r="E141">
        <v>-0.703494034368362</v>
      </c>
      <c r="F141" t="s">
        <v>18</v>
      </c>
      <c r="G141" t="s">
        <v>19</v>
      </c>
      <c r="H141">
        <v>1</v>
      </c>
      <c r="I141" t="s">
        <v>43</v>
      </c>
      <c r="J141" t="s">
        <v>19</v>
      </c>
      <c r="K141">
        <v>0.98</v>
      </c>
      <c r="L141" t="s">
        <v>44</v>
      </c>
      <c r="M141" t="s">
        <v>19</v>
      </c>
      <c r="N141">
        <v>1</v>
      </c>
      <c r="O141" t="s">
        <v>45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221</v>
      </c>
      <c r="C142">
        <v>538.38720000000001</v>
      </c>
      <c r="D142">
        <v>240.5</v>
      </c>
      <c r="E142">
        <v>-0.78606273907018898</v>
      </c>
      <c r="F142" t="s">
        <v>18</v>
      </c>
      <c r="G142" t="s">
        <v>19</v>
      </c>
      <c r="H142">
        <v>1</v>
      </c>
      <c r="I142" t="s">
        <v>20</v>
      </c>
      <c r="J142" t="s">
        <v>19</v>
      </c>
      <c r="K142">
        <v>1</v>
      </c>
      <c r="L142" t="s">
        <v>21</v>
      </c>
      <c r="M142" t="s">
        <v>19</v>
      </c>
      <c r="N142">
        <v>1</v>
      </c>
      <c r="O142" t="s">
        <v>110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222</v>
      </c>
      <c r="C143">
        <v>203.084</v>
      </c>
      <c r="D143">
        <v>149.1</v>
      </c>
      <c r="E143">
        <v>-0.857246170230894</v>
      </c>
      <c r="F143" t="s">
        <v>18</v>
      </c>
      <c r="G143" t="s">
        <v>19</v>
      </c>
      <c r="H143">
        <v>1</v>
      </c>
      <c r="I143" t="s">
        <v>59</v>
      </c>
      <c r="J143" t="s">
        <v>19</v>
      </c>
      <c r="K143">
        <v>0.75</v>
      </c>
      <c r="L143" t="s">
        <v>91</v>
      </c>
      <c r="M143" t="s">
        <v>19</v>
      </c>
      <c r="N143">
        <v>0.98</v>
      </c>
      <c r="O143" t="s">
        <v>223</v>
      </c>
      <c r="P143" t="s">
        <v>19</v>
      </c>
      <c r="Q143">
        <v>0.90500000000000003</v>
      </c>
      <c r="R143" t="s">
        <v>23</v>
      </c>
      <c r="S143">
        <v>4</v>
      </c>
    </row>
    <row r="144" spans="1:19">
      <c r="A144">
        <v>143</v>
      </c>
      <c r="B144" t="s">
        <v>224</v>
      </c>
      <c r="C144">
        <v>1321.9848</v>
      </c>
      <c r="D144">
        <v>296.39</v>
      </c>
      <c r="E144">
        <v>-0.50873533564163198</v>
      </c>
      <c r="F144" t="s">
        <v>18</v>
      </c>
      <c r="G144" t="s">
        <v>19</v>
      </c>
      <c r="H144">
        <v>0.996</v>
      </c>
      <c r="I144" t="s">
        <v>48</v>
      </c>
      <c r="J144" t="s">
        <v>19</v>
      </c>
      <c r="K144">
        <v>0.86</v>
      </c>
      <c r="L144" t="s">
        <v>49</v>
      </c>
      <c r="M144" t="s">
        <v>19</v>
      </c>
      <c r="N144">
        <v>1</v>
      </c>
      <c r="O144" t="s">
        <v>50</v>
      </c>
      <c r="P144" t="s">
        <v>19</v>
      </c>
      <c r="Q144">
        <v>1</v>
      </c>
      <c r="R144" t="s">
        <v>23</v>
      </c>
      <c r="S144">
        <v>4</v>
      </c>
    </row>
    <row r="145" spans="1:19">
      <c r="A145">
        <v>144</v>
      </c>
      <c r="B145" t="s">
        <v>225</v>
      </c>
      <c r="C145">
        <v>212.0436</v>
      </c>
      <c r="D145">
        <v>144.80000000000001</v>
      </c>
      <c r="E145">
        <v>-0.80684231166401299</v>
      </c>
      <c r="F145" t="s">
        <v>18</v>
      </c>
      <c r="G145" t="s">
        <v>19</v>
      </c>
      <c r="H145">
        <v>1</v>
      </c>
      <c r="I145" t="s">
        <v>39</v>
      </c>
      <c r="J145" t="s">
        <v>19</v>
      </c>
      <c r="K145">
        <v>0.9</v>
      </c>
      <c r="L145" t="s">
        <v>40</v>
      </c>
      <c r="M145" t="s">
        <v>19</v>
      </c>
      <c r="N145">
        <v>1</v>
      </c>
      <c r="O145" t="s">
        <v>41</v>
      </c>
      <c r="P145" t="s">
        <v>19</v>
      </c>
      <c r="Q145">
        <v>0.97</v>
      </c>
      <c r="R145" t="s">
        <v>23</v>
      </c>
      <c r="S145">
        <v>4</v>
      </c>
    </row>
    <row r="146" spans="1:19">
      <c r="A146">
        <v>145</v>
      </c>
      <c r="B146" t="s">
        <v>226</v>
      </c>
      <c r="C146">
        <v>846.58330000000001</v>
      </c>
      <c r="D146">
        <v>299.5</v>
      </c>
      <c r="E146">
        <v>-0.63804579241320902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1</v>
      </c>
      <c r="L146" t="s">
        <v>21</v>
      </c>
      <c r="M146" t="s">
        <v>19</v>
      </c>
      <c r="N146">
        <v>0.99</v>
      </c>
      <c r="O146" t="s">
        <v>110</v>
      </c>
      <c r="P146" t="s">
        <v>19</v>
      </c>
      <c r="Q146">
        <v>0.871</v>
      </c>
      <c r="R146" t="s">
        <v>23</v>
      </c>
      <c r="S146">
        <v>4</v>
      </c>
    </row>
    <row r="147" spans="1:19">
      <c r="A147">
        <v>146</v>
      </c>
      <c r="B147" t="s">
        <v>227</v>
      </c>
      <c r="C147">
        <v>174.0898</v>
      </c>
      <c r="D147">
        <v>135.5</v>
      </c>
      <c r="E147">
        <v>-0.89541969985947401</v>
      </c>
      <c r="F147" t="s">
        <v>18</v>
      </c>
      <c r="G147" t="s">
        <v>19</v>
      </c>
      <c r="H147">
        <v>1</v>
      </c>
      <c r="I147" t="s">
        <v>39</v>
      </c>
      <c r="J147" t="s">
        <v>19</v>
      </c>
      <c r="K147">
        <v>0.69</v>
      </c>
      <c r="L147" t="s">
        <v>40</v>
      </c>
      <c r="M147" t="s">
        <v>19</v>
      </c>
      <c r="N147">
        <v>1</v>
      </c>
      <c r="O147" t="s">
        <v>41</v>
      </c>
      <c r="P147" t="s">
        <v>19</v>
      </c>
      <c r="Q147">
        <v>0.998</v>
      </c>
      <c r="R147" t="s">
        <v>23</v>
      </c>
      <c r="S147">
        <v>4</v>
      </c>
    </row>
    <row r="148" spans="1:19">
      <c r="A148">
        <v>147</v>
      </c>
      <c r="B148" t="s">
        <v>228</v>
      </c>
      <c r="C148">
        <v>162.07470000000001</v>
      </c>
      <c r="D148">
        <v>135</v>
      </c>
      <c r="E148">
        <v>-0.89373518281266195</v>
      </c>
      <c r="F148" t="s">
        <v>18</v>
      </c>
      <c r="G148" t="s">
        <v>19</v>
      </c>
      <c r="H148">
        <v>1</v>
      </c>
      <c r="I148" t="s">
        <v>39</v>
      </c>
      <c r="J148" t="s">
        <v>19</v>
      </c>
      <c r="K148">
        <v>0.85</v>
      </c>
      <c r="L148" t="s">
        <v>40</v>
      </c>
      <c r="M148" t="s">
        <v>19</v>
      </c>
      <c r="N148">
        <v>1</v>
      </c>
      <c r="O148" t="s">
        <v>41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162</v>
      </c>
      <c r="C149">
        <v>630.06730000000005</v>
      </c>
      <c r="D149">
        <v>218.2</v>
      </c>
      <c r="E149">
        <v>-0.363797147548439</v>
      </c>
      <c r="F149" t="s">
        <v>18</v>
      </c>
      <c r="G149" t="s">
        <v>19</v>
      </c>
      <c r="H149">
        <v>1</v>
      </c>
      <c r="I149" t="s">
        <v>52</v>
      </c>
      <c r="J149" t="s">
        <v>19</v>
      </c>
      <c r="K149">
        <v>1</v>
      </c>
      <c r="L149" t="s">
        <v>131</v>
      </c>
      <c r="M149" t="s">
        <v>19</v>
      </c>
      <c r="N149">
        <v>0.83</v>
      </c>
      <c r="O149" t="s">
        <v>163</v>
      </c>
      <c r="P149" t="s">
        <v>19</v>
      </c>
      <c r="Q149">
        <v>1</v>
      </c>
      <c r="R149" t="s">
        <v>23</v>
      </c>
      <c r="S149">
        <v>4</v>
      </c>
    </row>
    <row r="150" spans="1:19">
      <c r="A150">
        <v>149</v>
      </c>
      <c r="B150" t="s">
        <v>229</v>
      </c>
      <c r="C150">
        <v>790.63250000000005</v>
      </c>
      <c r="D150">
        <v>297.60000000000002</v>
      </c>
      <c r="E150">
        <v>-0.74971776548170499</v>
      </c>
      <c r="F150" t="s">
        <v>18</v>
      </c>
      <c r="G150" t="s">
        <v>19</v>
      </c>
      <c r="H150">
        <v>1</v>
      </c>
      <c r="I150" t="s">
        <v>20</v>
      </c>
      <c r="J150" t="s">
        <v>19</v>
      </c>
      <c r="K150">
        <v>1</v>
      </c>
      <c r="L150" t="s">
        <v>21</v>
      </c>
      <c r="M150" t="s">
        <v>19</v>
      </c>
      <c r="N150">
        <v>0.56999999999999995</v>
      </c>
      <c r="O150" t="s">
        <v>110</v>
      </c>
      <c r="P150" t="s">
        <v>19</v>
      </c>
      <c r="Q150">
        <v>0.98599999999999999</v>
      </c>
      <c r="R150" t="s">
        <v>23</v>
      </c>
      <c r="S150">
        <v>4</v>
      </c>
    </row>
    <row r="151" spans="1:19">
      <c r="A151">
        <v>150</v>
      </c>
      <c r="B151" t="s">
        <v>230</v>
      </c>
      <c r="C151">
        <v>767.60429999999997</v>
      </c>
      <c r="D151">
        <v>286.5</v>
      </c>
      <c r="E151">
        <v>-0.74722994636590601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0.99</v>
      </c>
      <c r="L151" t="s">
        <v>56</v>
      </c>
      <c r="M151" t="s">
        <v>19</v>
      </c>
      <c r="N151">
        <v>0.78</v>
      </c>
      <c r="O151" t="s">
        <v>113</v>
      </c>
      <c r="P151" t="s">
        <v>19</v>
      </c>
      <c r="Q151">
        <v>0.81200000000000006</v>
      </c>
      <c r="R151" t="s">
        <v>23</v>
      </c>
      <c r="S151">
        <v>4</v>
      </c>
    </row>
    <row r="152" spans="1:19">
      <c r="A152">
        <v>151</v>
      </c>
      <c r="B152" t="s">
        <v>206</v>
      </c>
      <c r="C152">
        <v>321.04880000000003</v>
      </c>
      <c r="D152">
        <v>163.80000000000001</v>
      </c>
      <c r="E152">
        <v>-0.69033234650311204</v>
      </c>
      <c r="F152" t="s">
        <v>18</v>
      </c>
      <c r="G152" t="s">
        <v>19</v>
      </c>
      <c r="H152">
        <v>1</v>
      </c>
      <c r="I152" t="s">
        <v>52</v>
      </c>
      <c r="J152" t="s">
        <v>19</v>
      </c>
      <c r="K152">
        <v>0.92</v>
      </c>
      <c r="L152" t="s">
        <v>131</v>
      </c>
      <c r="M152" t="s">
        <v>19</v>
      </c>
      <c r="N152">
        <v>0.98</v>
      </c>
      <c r="O152" t="s">
        <v>207</v>
      </c>
      <c r="P152" t="s">
        <v>19</v>
      </c>
      <c r="Q152">
        <v>0.81</v>
      </c>
      <c r="R152" t="s">
        <v>23</v>
      </c>
      <c r="S152">
        <v>4</v>
      </c>
    </row>
    <row r="153" spans="1:19">
      <c r="A153">
        <v>152</v>
      </c>
      <c r="B153" t="s">
        <v>231</v>
      </c>
      <c r="C153">
        <v>140.06870000000001</v>
      </c>
      <c r="D153">
        <v>133.1</v>
      </c>
      <c r="E153">
        <v>-0.91230602432600005</v>
      </c>
      <c r="F153" t="s">
        <v>18</v>
      </c>
      <c r="G153" t="s">
        <v>19</v>
      </c>
      <c r="H153">
        <v>1</v>
      </c>
      <c r="I153" t="s">
        <v>39</v>
      </c>
      <c r="J153" t="s">
        <v>19</v>
      </c>
      <c r="K153">
        <v>0.98</v>
      </c>
      <c r="L153" t="s">
        <v>40</v>
      </c>
      <c r="M153" t="s">
        <v>19</v>
      </c>
      <c r="N153">
        <v>1</v>
      </c>
      <c r="O153" t="s">
        <v>41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232</v>
      </c>
      <c r="C154">
        <v>790.53380000000004</v>
      </c>
      <c r="D154">
        <v>284.89999999999998</v>
      </c>
      <c r="E154">
        <v>-0.65112796915604998</v>
      </c>
      <c r="F154" t="s">
        <v>18</v>
      </c>
      <c r="G154" t="s">
        <v>19</v>
      </c>
      <c r="H154">
        <v>1</v>
      </c>
      <c r="I154" t="s">
        <v>20</v>
      </c>
      <c r="J154" t="s">
        <v>19</v>
      </c>
      <c r="K154">
        <v>1</v>
      </c>
      <c r="L154" t="s">
        <v>21</v>
      </c>
      <c r="M154" t="s">
        <v>19</v>
      </c>
      <c r="N154">
        <v>1</v>
      </c>
      <c r="O154" t="s">
        <v>22</v>
      </c>
      <c r="P154" t="s">
        <v>19</v>
      </c>
      <c r="Q154">
        <v>0.64300000000000002</v>
      </c>
      <c r="R154" t="s">
        <v>23</v>
      </c>
      <c r="S154">
        <v>4</v>
      </c>
    </row>
    <row r="155" spans="1:19">
      <c r="A155">
        <v>154</v>
      </c>
      <c r="B155" t="s">
        <v>233</v>
      </c>
      <c r="C155">
        <v>605.00689999999997</v>
      </c>
      <c r="D155">
        <v>216.4</v>
      </c>
      <c r="E155">
        <v>-0.33137838524089602</v>
      </c>
      <c r="F155" t="s">
        <v>18</v>
      </c>
      <c r="G155" t="s">
        <v>19</v>
      </c>
      <c r="H155">
        <v>1</v>
      </c>
      <c r="I155" t="s">
        <v>52</v>
      </c>
      <c r="J155" t="s">
        <v>19</v>
      </c>
      <c r="K155">
        <v>0.98</v>
      </c>
      <c r="L155" t="s">
        <v>131</v>
      </c>
      <c r="M155" t="s">
        <v>19</v>
      </c>
      <c r="N155">
        <v>0.98</v>
      </c>
      <c r="O155" t="s">
        <v>163</v>
      </c>
      <c r="P155" t="s">
        <v>19</v>
      </c>
      <c r="Q155">
        <v>1</v>
      </c>
      <c r="R155" t="s">
        <v>23</v>
      </c>
      <c r="S155">
        <v>4</v>
      </c>
    </row>
    <row r="156" spans="1:19">
      <c r="A156">
        <v>155</v>
      </c>
      <c r="B156" t="s">
        <v>176</v>
      </c>
      <c r="C156">
        <v>212.09270000000001</v>
      </c>
      <c r="D156">
        <v>153.4</v>
      </c>
      <c r="E156">
        <v>-0.85588748896483902</v>
      </c>
      <c r="F156" t="s">
        <v>18</v>
      </c>
      <c r="G156" t="s">
        <v>19</v>
      </c>
      <c r="H156">
        <v>1</v>
      </c>
      <c r="I156" t="s">
        <v>39</v>
      </c>
      <c r="J156" t="s">
        <v>19</v>
      </c>
      <c r="K156">
        <v>0.72</v>
      </c>
      <c r="L156" t="s">
        <v>40</v>
      </c>
      <c r="M156" t="s">
        <v>19</v>
      </c>
      <c r="N156">
        <v>0.81</v>
      </c>
      <c r="O156" t="s">
        <v>41</v>
      </c>
      <c r="P156" t="s">
        <v>19</v>
      </c>
      <c r="Q156">
        <v>0.92300000000000004</v>
      </c>
      <c r="R156" t="s">
        <v>23</v>
      </c>
      <c r="S156">
        <v>4</v>
      </c>
    </row>
    <row r="157" spans="1:19">
      <c r="A157">
        <v>156</v>
      </c>
      <c r="B157" t="s">
        <v>62</v>
      </c>
      <c r="C157">
        <v>550.22239999999999</v>
      </c>
      <c r="D157">
        <v>220.8</v>
      </c>
      <c r="E157">
        <v>-0.60804812380717999</v>
      </c>
      <c r="F157" t="s">
        <v>18</v>
      </c>
      <c r="G157" t="s">
        <v>19</v>
      </c>
      <c r="H157">
        <v>1</v>
      </c>
      <c r="I157" t="s">
        <v>43</v>
      </c>
      <c r="J157" t="s">
        <v>19</v>
      </c>
      <c r="K157">
        <v>0.7</v>
      </c>
      <c r="L157" t="s">
        <v>44</v>
      </c>
      <c r="M157" t="s">
        <v>19</v>
      </c>
      <c r="N157">
        <v>1</v>
      </c>
      <c r="O157" t="s">
        <v>45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157</v>
      </c>
      <c r="B158" t="s">
        <v>234</v>
      </c>
      <c r="C158">
        <v>353.2328</v>
      </c>
      <c r="D158">
        <v>192.7</v>
      </c>
      <c r="E158">
        <v>-0.83839723956560896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1</v>
      </c>
      <c r="L158" t="s">
        <v>30</v>
      </c>
      <c r="M158" t="s">
        <v>19</v>
      </c>
      <c r="N158">
        <v>1</v>
      </c>
      <c r="O158" t="s">
        <v>96</v>
      </c>
      <c r="P158" t="s">
        <v>19</v>
      </c>
      <c r="Q158">
        <v>0.94499999999999995</v>
      </c>
      <c r="R158" t="s">
        <v>23</v>
      </c>
      <c r="S158">
        <v>4</v>
      </c>
    </row>
    <row r="159" spans="1:19">
      <c r="A159">
        <v>158</v>
      </c>
      <c r="B159" t="s">
        <v>235</v>
      </c>
      <c r="C159">
        <v>807.43650000000002</v>
      </c>
      <c r="D159">
        <v>281.8</v>
      </c>
      <c r="E159">
        <v>-0.53495522704713505</v>
      </c>
      <c r="F159" t="s">
        <v>18</v>
      </c>
      <c r="G159" t="s">
        <v>19</v>
      </c>
      <c r="H159">
        <v>1</v>
      </c>
      <c r="I159" t="s">
        <v>39</v>
      </c>
      <c r="J159" t="s">
        <v>19</v>
      </c>
      <c r="K159">
        <v>0.97</v>
      </c>
      <c r="L159" t="s">
        <v>40</v>
      </c>
      <c r="M159" t="s">
        <v>19</v>
      </c>
      <c r="N159">
        <v>0.88</v>
      </c>
      <c r="O159" t="s">
        <v>41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236</v>
      </c>
      <c r="C160">
        <v>365.11</v>
      </c>
      <c r="D160">
        <v>179.7</v>
      </c>
      <c r="E160">
        <v>-0.70233572912195497</v>
      </c>
      <c r="F160" t="s">
        <v>18</v>
      </c>
      <c r="G160" t="s">
        <v>19</v>
      </c>
      <c r="H160">
        <v>1</v>
      </c>
      <c r="I160" t="s">
        <v>43</v>
      </c>
      <c r="J160" t="s">
        <v>19</v>
      </c>
      <c r="K160">
        <v>1</v>
      </c>
      <c r="L160" t="s">
        <v>44</v>
      </c>
      <c r="M160" t="s">
        <v>19</v>
      </c>
      <c r="N160">
        <v>1</v>
      </c>
      <c r="O160" t="s">
        <v>45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160</v>
      </c>
      <c r="B161" t="s">
        <v>228</v>
      </c>
      <c r="C161">
        <v>160.06129999999999</v>
      </c>
      <c r="D161">
        <v>130.80000000000001</v>
      </c>
      <c r="E161">
        <v>-0.88258324844486002</v>
      </c>
      <c r="F161" t="s">
        <v>18</v>
      </c>
      <c r="G161" t="s">
        <v>19</v>
      </c>
      <c r="H161">
        <v>1</v>
      </c>
      <c r="I161" t="s">
        <v>39</v>
      </c>
      <c r="J161" t="s">
        <v>19</v>
      </c>
      <c r="K161">
        <v>0.69</v>
      </c>
      <c r="L161" t="s">
        <v>40</v>
      </c>
      <c r="M161" t="s">
        <v>19</v>
      </c>
      <c r="N161">
        <v>1</v>
      </c>
      <c r="O161" t="s">
        <v>41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237</v>
      </c>
      <c r="C162">
        <v>176.03919999999999</v>
      </c>
      <c r="D162">
        <v>136.30000000000001</v>
      </c>
      <c r="E162">
        <v>-0.84264309355000899</v>
      </c>
      <c r="F162" t="s">
        <v>18</v>
      </c>
      <c r="G162" t="s">
        <v>19</v>
      </c>
      <c r="H162">
        <v>1</v>
      </c>
      <c r="I162" t="s">
        <v>39</v>
      </c>
      <c r="J162" t="s">
        <v>19</v>
      </c>
      <c r="K162">
        <v>0.84</v>
      </c>
      <c r="L162" t="s">
        <v>40</v>
      </c>
      <c r="M162" t="s">
        <v>19</v>
      </c>
      <c r="N162">
        <v>1</v>
      </c>
      <c r="O162" t="s">
        <v>41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238</v>
      </c>
      <c r="C163">
        <v>253.00890000000001</v>
      </c>
      <c r="D163">
        <v>153.4</v>
      </c>
      <c r="E163">
        <v>-0.72640242736667904</v>
      </c>
      <c r="F163" t="s">
        <v>18</v>
      </c>
      <c r="G163" t="s">
        <v>19</v>
      </c>
      <c r="H163">
        <v>1</v>
      </c>
      <c r="I163" t="s">
        <v>43</v>
      </c>
      <c r="J163" t="s">
        <v>19</v>
      </c>
      <c r="K163">
        <v>0.88</v>
      </c>
      <c r="L163" t="s">
        <v>44</v>
      </c>
      <c r="M163" t="s">
        <v>19</v>
      </c>
      <c r="N163">
        <v>1</v>
      </c>
      <c r="O163" t="s">
        <v>45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163</v>
      </c>
      <c r="B164" t="s">
        <v>239</v>
      </c>
      <c r="C164">
        <v>190.0121</v>
      </c>
      <c r="D164">
        <v>136.19999999999999</v>
      </c>
      <c r="E164">
        <v>-0.79994162525127899</v>
      </c>
      <c r="F164" t="s">
        <v>18</v>
      </c>
      <c r="G164" t="s">
        <v>19</v>
      </c>
      <c r="H164">
        <v>1</v>
      </c>
      <c r="I164" t="s">
        <v>59</v>
      </c>
      <c r="J164" t="s">
        <v>19</v>
      </c>
      <c r="K164">
        <v>0.73</v>
      </c>
      <c r="L164" t="s">
        <v>70</v>
      </c>
      <c r="M164" t="s">
        <v>19</v>
      </c>
      <c r="N164">
        <v>0.68</v>
      </c>
      <c r="O164" t="s">
        <v>71</v>
      </c>
      <c r="P164" t="s">
        <v>19</v>
      </c>
      <c r="Q164">
        <v>0.995</v>
      </c>
      <c r="R164" t="s">
        <v>23</v>
      </c>
      <c r="S164">
        <v>4</v>
      </c>
    </row>
    <row r="165" spans="1:19">
      <c r="A165">
        <v>164</v>
      </c>
      <c r="B165" t="s">
        <v>64</v>
      </c>
      <c r="C165">
        <v>198.0009</v>
      </c>
      <c r="D165">
        <v>135.4</v>
      </c>
      <c r="E165">
        <v>-0.77982171528663002</v>
      </c>
      <c r="F165" t="s">
        <v>18</v>
      </c>
      <c r="G165" t="s">
        <v>19</v>
      </c>
      <c r="H165">
        <v>1</v>
      </c>
      <c r="I165" t="s">
        <v>39</v>
      </c>
      <c r="J165" t="s">
        <v>19</v>
      </c>
      <c r="K165">
        <v>0.86</v>
      </c>
      <c r="L165" t="s">
        <v>40</v>
      </c>
      <c r="M165" t="s">
        <v>19</v>
      </c>
      <c r="N165">
        <v>1</v>
      </c>
      <c r="O165" t="s">
        <v>41</v>
      </c>
      <c r="P165" t="s">
        <v>19</v>
      </c>
      <c r="Q165">
        <v>0.85099999999999998</v>
      </c>
      <c r="R165" t="s">
        <v>23</v>
      </c>
      <c r="S165">
        <v>4</v>
      </c>
    </row>
    <row r="166" spans="1:19">
      <c r="A166">
        <v>165</v>
      </c>
      <c r="B166" t="s">
        <v>240</v>
      </c>
      <c r="C166">
        <v>604.34590000000003</v>
      </c>
      <c r="D166">
        <v>237.7</v>
      </c>
      <c r="E166">
        <v>-0.67111642605891597</v>
      </c>
      <c r="F166" t="s">
        <v>18</v>
      </c>
      <c r="G166" t="s">
        <v>19</v>
      </c>
      <c r="H166">
        <v>1</v>
      </c>
      <c r="I166" t="s">
        <v>39</v>
      </c>
      <c r="J166" t="s">
        <v>19</v>
      </c>
      <c r="K166">
        <v>0.95</v>
      </c>
      <c r="L166" t="s">
        <v>40</v>
      </c>
      <c r="M166" t="s">
        <v>19</v>
      </c>
      <c r="N166">
        <v>1</v>
      </c>
      <c r="O166" t="s">
        <v>41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241</v>
      </c>
      <c r="C167">
        <v>195.0043</v>
      </c>
      <c r="D167">
        <v>137.19999999999999</v>
      </c>
      <c r="E167">
        <v>-0.78656757476491601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0.75</v>
      </c>
      <c r="L167" t="s">
        <v>21</v>
      </c>
      <c r="M167" t="s">
        <v>19</v>
      </c>
      <c r="N167">
        <v>0.96</v>
      </c>
      <c r="O167" t="s">
        <v>94</v>
      </c>
      <c r="P167" t="s">
        <v>19</v>
      </c>
      <c r="Q167">
        <v>0.97699999999999998</v>
      </c>
      <c r="R167" t="s">
        <v>23</v>
      </c>
      <c r="S167">
        <v>4</v>
      </c>
    </row>
    <row r="168" spans="1:19">
      <c r="A168">
        <v>167</v>
      </c>
      <c r="B168" t="s">
        <v>242</v>
      </c>
      <c r="C168">
        <v>738.64530000000002</v>
      </c>
      <c r="D168">
        <v>287.8</v>
      </c>
      <c r="E168">
        <v>-0.82056417336696097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1</v>
      </c>
      <c r="L168" t="s">
        <v>56</v>
      </c>
      <c r="M168" t="s">
        <v>19</v>
      </c>
      <c r="N168">
        <v>0.93</v>
      </c>
      <c r="O168" t="s">
        <v>113</v>
      </c>
      <c r="P168" t="s">
        <v>19</v>
      </c>
      <c r="Q168">
        <v>0.58299999999999996</v>
      </c>
      <c r="R168" t="s">
        <v>23</v>
      </c>
      <c r="S168">
        <v>4</v>
      </c>
    </row>
    <row r="169" spans="1:19">
      <c r="A169">
        <v>168</v>
      </c>
      <c r="B169" t="s">
        <v>243</v>
      </c>
      <c r="C169">
        <v>146.04589999999999</v>
      </c>
      <c r="D169">
        <v>125.1</v>
      </c>
      <c r="E169">
        <v>-0.88283217020011795</v>
      </c>
      <c r="F169" t="s">
        <v>18</v>
      </c>
      <c r="G169" t="s">
        <v>19</v>
      </c>
      <c r="H169">
        <v>1</v>
      </c>
      <c r="I169" t="s">
        <v>39</v>
      </c>
      <c r="J169" t="s">
        <v>19</v>
      </c>
      <c r="K169">
        <v>0.95</v>
      </c>
      <c r="L169" t="s">
        <v>40</v>
      </c>
      <c r="M169" t="s">
        <v>19</v>
      </c>
      <c r="N169">
        <v>1</v>
      </c>
      <c r="O169" t="s">
        <v>41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244</v>
      </c>
      <c r="C170">
        <v>197.06610000000001</v>
      </c>
      <c r="D170">
        <v>141</v>
      </c>
      <c r="E170">
        <v>-0.84606546801984495</v>
      </c>
      <c r="F170" t="s">
        <v>18</v>
      </c>
      <c r="G170" t="s">
        <v>19</v>
      </c>
      <c r="H170">
        <v>1</v>
      </c>
      <c r="I170" t="s">
        <v>43</v>
      </c>
      <c r="J170" t="s">
        <v>19</v>
      </c>
      <c r="K170">
        <v>0.62</v>
      </c>
      <c r="L170" t="s">
        <v>44</v>
      </c>
      <c r="M170" t="s">
        <v>19</v>
      </c>
      <c r="N170">
        <v>1</v>
      </c>
      <c r="O170" t="s">
        <v>45</v>
      </c>
      <c r="P170" t="s">
        <v>19</v>
      </c>
      <c r="Q170">
        <v>0.88500000000000001</v>
      </c>
      <c r="R170" t="s">
        <v>23</v>
      </c>
      <c r="S170">
        <v>4</v>
      </c>
    </row>
    <row r="171" spans="1:19">
      <c r="A171">
        <v>170</v>
      </c>
      <c r="B171" t="s">
        <v>245</v>
      </c>
      <c r="C171">
        <v>381.07819999999998</v>
      </c>
      <c r="D171">
        <v>177.7</v>
      </c>
      <c r="E171">
        <v>-0.65270640478070197</v>
      </c>
      <c r="F171" t="s">
        <v>18</v>
      </c>
      <c r="G171" t="s">
        <v>19</v>
      </c>
      <c r="H171">
        <v>1</v>
      </c>
      <c r="I171" t="s">
        <v>43</v>
      </c>
      <c r="J171" t="s">
        <v>19</v>
      </c>
      <c r="K171">
        <v>0.91</v>
      </c>
      <c r="L171" t="s">
        <v>44</v>
      </c>
      <c r="M171" t="s">
        <v>19</v>
      </c>
      <c r="N171">
        <v>1</v>
      </c>
      <c r="O171" t="s">
        <v>45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246</v>
      </c>
      <c r="C172">
        <v>777.69169999999997</v>
      </c>
      <c r="D172">
        <v>216.6</v>
      </c>
      <c r="E172">
        <v>-0.823366840545532</v>
      </c>
      <c r="F172" t="s">
        <v>18</v>
      </c>
      <c r="G172" t="s">
        <v>19</v>
      </c>
      <c r="H172">
        <v>1</v>
      </c>
      <c r="I172" t="s">
        <v>39</v>
      </c>
      <c r="J172" t="s">
        <v>19</v>
      </c>
      <c r="K172">
        <v>0.93</v>
      </c>
      <c r="L172" t="s">
        <v>40</v>
      </c>
      <c r="M172" t="s">
        <v>19</v>
      </c>
      <c r="N172">
        <v>0.97</v>
      </c>
      <c r="O172" t="s">
        <v>41</v>
      </c>
      <c r="P172" t="s">
        <v>19</v>
      </c>
      <c r="Q172">
        <v>1</v>
      </c>
      <c r="R172" t="s">
        <v>23</v>
      </c>
      <c r="S172">
        <v>4</v>
      </c>
    </row>
    <row r="173" spans="1:19">
      <c r="A173">
        <v>172</v>
      </c>
      <c r="B173" t="s">
        <v>247</v>
      </c>
      <c r="C173">
        <v>815.70060000000001</v>
      </c>
      <c r="D173">
        <v>304.39999999999998</v>
      </c>
      <c r="E173">
        <v>-0.78982793033946996</v>
      </c>
      <c r="F173" t="s">
        <v>18</v>
      </c>
      <c r="G173" t="s">
        <v>19</v>
      </c>
      <c r="H173">
        <v>1</v>
      </c>
      <c r="I173" t="s">
        <v>20</v>
      </c>
      <c r="J173" t="s">
        <v>19</v>
      </c>
      <c r="K173">
        <v>1</v>
      </c>
      <c r="L173" t="s">
        <v>56</v>
      </c>
      <c r="M173" t="s">
        <v>19</v>
      </c>
      <c r="N173">
        <v>1</v>
      </c>
      <c r="O173" t="s">
        <v>113</v>
      </c>
      <c r="P173" t="s">
        <v>19</v>
      </c>
      <c r="Q173">
        <v>0.89200000000000002</v>
      </c>
      <c r="R173" t="s">
        <v>23</v>
      </c>
      <c r="S173">
        <v>4</v>
      </c>
    </row>
    <row r="174" spans="1:19">
      <c r="A174">
        <v>173</v>
      </c>
      <c r="B174" t="s">
        <v>248</v>
      </c>
      <c r="C174">
        <v>203.084</v>
      </c>
      <c r="D174">
        <v>142.6</v>
      </c>
      <c r="E174">
        <v>-0.857246170230894</v>
      </c>
      <c r="F174" t="s">
        <v>18</v>
      </c>
      <c r="G174" t="s">
        <v>19</v>
      </c>
      <c r="H174">
        <v>1</v>
      </c>
      <c r="I174" t="s">
        <v>59</v>
      </c>
      <c r="J174" t="s">
        <v>19</v>
      </c>
      <c r="K174">
        <v>0.8</v>
      </c>
      <c r="L174" t="s">
        <v>91</v>
      </c>
      <c r="M174" t="s">
        <v>19</v>
      </c>
      <c r="N174">
        <v>0.86</v>
      </c>
      <c r="O174" t="s">
        <v>223</v>
      </c>
      <c r="P174" t="s">
        <v>19</v>
      </c>
      <c r="Q174">
        <v>0.95499999999999996</v>
      </c>
      <c r="R174" t="s">
        <v>23</v>
      </c>
      <c r="S174">
        <v>4</v>
      </c>
    </row>
    <row r="175" spans="1:19">
      <c r="A175">
        <v>174</v>
      </c>
      <c r="B175" t="s">
        <v>249</v>
      </c>
      <c r="C175">
        <v>368.03829999999999</v>
      </c>
      <c r="D175">
        <v>170.4</v>
      </c>
      <c r="E175">
        <v>-0.62736613013970599</v>
      </c>
      <c r="F175" t="s">
        <v>18</v>
      </c>
      <c r="G175" t="s">
        <v>19</v>
      </c>
      <c r="H175">
        <v>1</v>
      </c>
      <c r="I175" t="s">
        <v>52</v>
      </c>
      <c r="J175" t="s">
        <v>19</v>
      </c>
      <c r="K175">
        <v>1</v>
      </c>
      <c r="L175" t="s">
        <v>53</v>
      </c>
      <c r="M175" t="s">
        <v>19</v>
      </c>
      <c r="N175">
        <v>1</v>
      </c>
      <c r="O175" t="s">
        <v>54</v>
      </c>
      <c r="P175" t="s">
        <v>19</v>
      </c>
      <c r="Q175">
        <v>0.61599999999999999</v>
      </c>
      <c r="R175" t="s">
        <v>23</v>
      </c>
      <c r="S175">
        <v>4</v>
      </c>
    </row>
    <row r="176" spans="1:19">
      <c r="A176">
        <v>175</v>
      </c>
      <c r="B176" t="s">
        <v>250</v>
      </c>
      <c r="C176">
        <v>1142.1866</v>
      </c>
      <c r="D176">
        <v>204.3</v>
      </c>
      <c r="E176">
        <v>-0.91128936075256195</v>
      </c>
      <c r="F176" t="s">
        <v>25</v>
      </c>
      <c r="G176" t="s">
        <v>19</v>
      </c>
      <c r="H176">
        <v>0.81599999999999995</v>
      </c>
      <c r="I176" t="s">
        <v>26</v>
      </c>
      <c r="J176" t="s">
        <v>19</v>
      </c>
      <c r="K176">
        <v>0.99</v>
      </c>
      <c r="L176" t="s">
        <v>27</v>
      </c>
      <c r="M176" t="s">
        <v>19</v>
      </c>
      <c r="N176">
        <v>0.99</v>
      </c>
      <c r="O176" t="s">
        <v>28</v>
      </c>
      <c r="P176" t="s">
        <v>19</v>
      </c>
      <c r="Q176">
        <v>1</v>
      </c>
      <c r="R176" t="s">
        <v>23</v>
      </c>
      <c r="S176">
        <v>4</v>
      </c>
    </row>
    <row r="177" spans="1:19">
      <c r="A177">
        <v>176</v>
      </c>
      <c r="B177" t="s">
        <v>233</v>
      </c>
      <c r="C177">
        <v>587.02940000000001</v>
      </c>
      <c r="D177">
        <v>215.7</v>
      </c>
      <c r="E177">
        <v>-0.37395119735163002</v>
      </c>
      <c r="F177" t="s">
        <v>18</v>
      </c>
      <c r="G177" t="s">
        <v>19</v>
      </c>
      <c r="H177">
        <v>1</v>
      </c>
      <c r="I177" t="s">
        <v>52</v>
      </c>
      <c r="J177" t="s">
        <v>19</v>
      </c>
      <c r="K177">
        <v>1</v>
      </c>
      <c r="L177" t="s">
        <v>131</v>
      </c>
      <c r="M177" t="s">
        <v>19</v>
      </c>
      <c r="N177">
        <v>0.98</v>
      </c>
      <c r="O177" t="s">
        <v>163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177</v>
      </c>
      <c r="B178" t="s">
        <v>251</v>
      </c>
      <c r="C178">
        <v>775.60090000000002</v>
      </c>
      <c r="D178">
        <v>288.7</v>
      </c>
      <c r="E178">
        <v>-0.73490132729637003</v>
      </c>
      <c r="F178" t="s">
        <v>18</v>
      </c>
      <c r="G178" t="s">
        <v>19</v>
      </c>
      <c r="H178">
        <v>1</v>
      </c>
      <c r="I178" t="s">
        <v>20</v>
      </c>
      <c r="J178" t="s">
        <v>19</v>
      </c>
      <c r="K178">
        <v>1</v>
      </c>
      <c r="L178" t="s">
        <v>56</v>
      </c>
      <c r="M178" t="s">
        <v>19</v>
      </c>
      <c r="N178">
        <v>0.89</v>
      </c>
      <c r="O178" t="s">
        <v>113</v>
      </c>
      <c r="P178" t="s">
        <v>19</v>
      </c>
      <c r="Q178">
        <v>0.68400000000000005</v>
      </c>
      <c r="R178" t="s">
        <v>23</v>
      </c>
      <c r="S178">
        <v>4</v>
      </c>
    </row>
    <row r="179" spans="1:19">
      <c r="A179">
        <v>178</v>
      </c>
      <c r="B179" t="s">
        <v>252</v>
      </c>
      <c r="C179">
        <v>902.49239999999998</v>
      </c>
      <c r="D179">
        <v>294.89999999999998</v>
      </c>
      <c r="E179">
        <v>-0.48472037955969</v>
      </c>
      <c r="F179" t="s">
        <v>18</v>
      </c>
      <c r="G179" t="s">
        <v>19</v>
      </c>
      <c r="H179">
        <v>0.998</v>
      </c>
      <c r="I179" t="s">
        <v>20</v>
      </c>
      <c r="J179" t="s">
        <v>19</v>
      </c>
      <c r="K179">
        <v>0.94</v>
      </c>
      <c r="L179" t="s">
        <v>21</v>
      </c>
      <c r="M179" t="s">
        <v>19</v>
      </c>
      <c r="N179">
        <v>1</v>
      </c>
      <c r="O179" t="s">
        <v>37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253</v>
      </c>
      <c r="C180">
        <v>752.52059999999994</v>
      </c>
      <c r="D180">
        <v>278</v>
      </c>
      <c r="E180">
        <v>-0.68037168053535901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1</v>
      </c>
      <c r="L180" t="s">
        <v>21</v>
      </c>
      <c r="M180" t="s">
        <v>19</v>
      </c>
      <c r="N180">
        <v>1</v>
      </c>
      <c r="O180" t="s">
        <v>110</v>
      </c>
      <c r="P180" t="s">
        <v>19</v>
      </c>
      <c r="Q180">
        <v>0.71199999999999997</v>
      </c>
      <c r="R180" t="s">
        <v>23</v>
      </c>
      <c r="S180">
        <v>4</v>
      </c>
    </row>
    <row r="181" spans="1:19">
      <c r="A181">
        <v>180</v>
      </c>
      <c r="B181" t="s">
        <v>254</v>
      </c>
      <c r="C181">
        <v>351.22930000000002</v>
      </c>
      <c r="D181">
        <v>183.9</v>
      </c>
      <c r="E181">
        <v>-0.83713425133385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0.98</v>
      </c>
      <c r="L181" t="s">
        <v>30</v>
      </c>
      <c r="M181" t="s">
        <v>19</v>
      </c>
      <c r="N181">
        <v>0.82</v>
      </c>
      <c r="O181" t="s">
        <v>67</v>
      </c>
      <c r="P181" t="s">
        <v>19</v>
      </c>
      <c r="Q181">
        <v>0.90900000000000003</v>
      </c>
      <c r="R181" t="s">
        <v>23</v>
      </c>
      <c r="S181">
        <v>4</v>
      </c>
    </row>
    <row r="182" spans="1:19">
      <c r="A182">
        <v>181</v>
      </c>
      <c r="B182" t="s">
        <v>209</v>
      </c>
      <c r="C182">
        <v>804.57839999999999</v>
      </c>
      <c r="D182">
        <v>290.8</v>
      </c>
      <c r="E182">
        <v>-0.68004644408472403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1</v>
      </c>
      <c r="L182" t="s">
        <v>21</v>
      </c>
      <c r="M182" t="s">
        <v>19</v>
      </c>
      <c r="N182">
        <v>1</v>
      </c>
      <c r="O182" t="s">
        <v>110</v>
      </c>
      <c r="P182" t="s">
        <v>19</v>
      </c>
      <c r="Q182">
        <v>0.88500000000000001</v>
      </c>
      <c r="R182" t="s">
        <v>23</v>
      </c>
      <c r="S182">
        <v>4</v>
      </c>
    </row>
    <row r="183" spans="1:19">
      <c r="A183">
        <v>182</v>
      </c>
      <c r="B183" t="s">
        <v>255</v>
      </c>
      <c r="C183">
        <v>511.38709999999998</v>
      </c>
      <c r="D183">
        <v>233.2</v>
      </c>
      <c r="E183">
        <v>-0.81610975251857099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1</v>
      </c>
      <c r="L183" t="s">
        <v>21</v>
      </c>
      <c r="M183" t="s">
        <v>19</v>
      </c>
      <c r="N183">
        <v>0.92</v>
      </c>
      <c r="O183" t="s">
        <v>110</v>
      </c>
      <c r="P183" t="s">
        <v>19</v>
      </c>
      <c r="Q183">
        <v>0.96</v>
      </c>
      <c r="R183" t="s">
        <v>23</v>
      </c>
      <c r="S183">
        <v>4</v>
      </c>
    </row>
    <row r="184" spans="1:19">
      <c r="A184">
        <v>183</v>
      </c>
      <c r="B184" t="s">
        <v>256</v>
      </c>
      <c r="C184">
        <v>730.57079999999996</v>
      </c>
      <c r="D184">
        <v>271.7</v>
      </c>
      <c r="E184">
        <v>-0.75507977183099195</v>
      </c>
      <c r="F184" t="s">
        <v>18</v>
      </c>
      <c r="G184" t="s">
        <v>19</v>
      </c>
      <c r="H184">
        <v>1</v>
      </c>
      <c r="I184" t="s">
        <v>20</v>
      </c>
      <c r="J184" t="s">
        <v>19</v>
      </c>
      <c r="K184">
        <v>1</v>
      </c>
      <c r="L184" t="s">
        <v>21</v>
      </c>
      <c r="M184" t="s">
        <v>19</v>
      </c>
      <c r="N184">
        <v>1</v>
      </c>
      <c r="O184" t="s">
        <v>22</v>
      </c>
      <c r="P184" t="s">
        <v>19</v>
      </c>
      <c r="Q184">
        <v>0.96899999999999997</v>
      </c>
      <c r="R184" t="s">
        <v>23</v>
      </c>
      <c r="S184">
        <v>4</v>
      </c>
    </row>
    <row r="185" spans="1:19">
      <c r="A185">
        <v>184</v>
      </c>
      <c r="B185" t="s">
        <v>257</v>
      </c>
      <c r="C185">
        <v>560.36919999999998</v>
      </c>
      <c r="D185">
        <v>250.2</v>
      </c>
      <c r="E185">
        <v>-0.743518694802901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1</v>
      </c>
      <c r="L185" t="s">
        <v>21</v>
      </c>
      <c r="M185" t="s">
        <v>19</v>
      </c>
      <c r="N185">
        <v>1</v>
      </c>
      <c r="O185" t="s">
        <v>110</v>
      </c>
      <c r="P185" t="s">
        <v>19</v>
      </c>
      <c r="Q185">
        <v>0.98399999999999999</v>
      </c>
      <c r="R185" t="s">
        <v>23</v>
      </c>
      <c r="S185">
        <v>4</v>
      </c>
    </row>
    <row r="186" spans="1:19">
      <c r="A186">
        <v>185</v>
      </c>
      <c r="B186" t="s">
        <v>258</v>
      </c>
      <c r="C186">
        <v>287.10079999999999</v>
      </c>
      <c r="D186">
        <v>170.2</v>
      </c>
      <c r="E186">
        <v>-0.78023705102435803</v>
      </c>
      <c r="F186" t="s">
        <v>18</v>
      </c>
      <c r="G186" t="s">
        <v>19</v>
      </c>
      <c r="H186">
        <v>1</v>
      </c>
      <c r="I186" t="s">
        <v>39</v>
      </c>
      <c r="J186" t="s">
        <v>19</v>
      </c>
      <c r="K186">
        <v>0.71</v>
      </c>
      <c r="L186" t="s">
        <v>40</v>
      </c>
      <c r="M186" t="s">
        <v>19</v>
      </c>
      <c r="N186">
        <v>1</v>
      </c>
      <c r="O186" t="s">
        <v>41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259</v>
      </c>
      <c r="C187">
        <v>824.55709999999999</v>
      </c>
      <c r="D187">
        <v>290.3</v>
      </c>
      <c r="E187">
        <v>-0.63643918827529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1</v>
      </c>
      <c r="L187" t="s">
        <v>21</v>
      </c>
      <c r="M187" t="s">
        <v>19</v>
      </c>
      <c r="N187">
        <v>1</v>
      </c>
      <c r="O187" t="s">
        <v>110</v>
      </c>
      <c r="P187" t="s">
        <v>19</v>
      </c>
      <c r="Q187">
        <v>0.85499999999999998</v>
      </c>
      <c r="R187" t="s">
        <v>23</v>
      </c>
      <c r="S187">
        <v>4</v>
      </c>
    </row>
    <row r="188" spans="1:19">
      <c r="A188">
        <v>187</v>
      </c>
      <c r="B188" t="s">
        <v>260</v>
      </c>
      <c r="C188">
        <v>1671.8264999999999</v>
      </c>
      <c r="D188">
        <v>265</v>
      </c>
      <c r="E188">
        <v>-0.95981891441715605</v>
      </c>
      <c r="F188" t="s">
        <v>25</v>
      </c>
      <c r="G188" t="s">
        <v>19</v>
      </c>
      <c r="H188">
        <v>0.93</v>
      </c>
      <c r="I188" t="s">
        <v>26</v>
      </c>
      <c r="J188" t="s">
        <v>19</v>
      </c>
      <c r="K188">
        <v>0.88</v>
      </c>
      <c r="L188" t="s">
        <v>27</v>
      </c>
      <c r="M188" t="s">
        <v>19</v>
      </c>
      <c r="N188">
        <v>0.92</v>
      </c>
      <c r="O188" t="s">
        <v>28</v>
      </c>
      <c r="P188" t="s">
        <v>19</v>
      </c>
      <c r="Q188">
        <v>0.998</v>
      </c>
      <c r="R188" t="s">
        <v>23</v>
      </c>
      <c r="S188">
        <v>4</v>
      </c>
    </row>
    <row r="189" spans="1:19">
      <c r="A189">
        <v>188</v>
      </c>
      <c r="B189" t="s">
        <v>261</v>
      </c>
      <c r="C189">
        <v>826.57280000000003</v>
      </c>
      <c r="D189">
        <v>292.2</v>
      </c>
      <c r="E189">
        <v>-0.64988855457363603</v>
      </c>
      <c r="F189" t="s">
        <v>18</v>
      </c>
      <c r="G189" t="s">
        <v>19</v>
      </c>
      <c r="H189">
        <v>1</v>
      </c>
      <c r="I189" t="s">
        <v>20</v>
      </c>
      <c r="J189" t="s">
        <v>19</v>
      </c>
      <c r="K189">
        <v>1</v>
      </c>
      <c r="L189" t="s">
        <v>21</v>
      </c>
      <c r="M189" t="s">
        <v>19</v>
      </c>
      <c r="N189">
        <v>1</v>
      </c>
      <c r="O189" t="s">
        <v>110</v>
      </c>
      <c r="P189" t="s">
        <v>19</v>
      </c>
      <c r="Q189">
        <v>0.90400000000000003</v>
      </c>
      <c r="R189" t="s">
        <v>23</v>
      </c>
      <c r="S189">
        <v>4</v>
      </c>
    </row>
    <row r="190" spans="1:19">
      <c r="A190">
        <v>189</v>
      </c>
      <c r="B190" t="s">
        <v>262</v>
      </c>
      <c r="C190">
        <v>831.66219999999998</v>
      </c>
      <c r="D190">
        <v>301.39999999999998</v>
      </c>
      <c r="E190">
        <v>-0.73360597524083504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1</v>
      </c>
      <c r="L190" t="s">
        <v>56</v>
      </c>
      <c r="M190" t="s">
        <v>19</v>
      </c>
      <c r="N190">
        <v>1</v>
      </c>
      <c r="O190" t="s">
        <v>113</v>
      </c>
      <c r="P190" t="s">
        <v>19</v>
      </c>
      <c r="Q190">
        <v>0.82799999999999996</v>
      </c>
      <c r="R190" t="s">
        <v>23</v>
      </c>
      <c r="S190">
        <v>4</v>
      </c>
    </row>
    <row r="191" spans="1:19">
      <c r="A191">
        <v>190</v>
      </c>
      <c r="B191" t="s">
        <v>263</v>
      </c>
      <c r="C191">
        <v>426.99090000000001</v>
      </c>
      <c r="D191">
        <v>178.1</v>
      </c>
      <c r="E191">
        <v>-0.51414249152298896</v>
      </c>
      <c r="F191" t="s">
        <v>18</v>
      </c>
      <c r="G191" t="s">
        <v>19</v>
      </c>
      <c r="H191">
        <v>1</v>
      </c>
      <c r="I191" t="s">
        <v>52</v>
      </c>
      <c r="J191" t="s">
        <v>19</v>
      </c>
      <c r="K191">
        <v>0.89</v>
      </c>
      <c r="L191" t="s">
        <v>131</v>
      </c>
      <c r="M191" t="s">
        <v>19</v>
      </c>
      <c r="N191">
        <v>0.92</v>
      </c>
      <c r="O191" t="s">
        <v>132</v>
      </c>
      <c r="P191" t="s">
        <v>19</v>
      </c>
      <c r="Q191">
        <v>0.98899999999999999</v>
      </c>
      <c r="R191" t="s">
        <v>23</v>
      </c>
      <c r="S191">
        <v>4</v>
      </c>
    </row>
    <row r="192" spans="1:19">
      <c r="A192">
        <v>191</v>
      </c>
      <c r="B192" t="s">
        <v>264</v>
      </c>
      <c r="C192">
        <v>606.08119999999997</v>
      </c>
      <c r="D192">
        <v>227.7</v>
      </c>
      <c r="E192">
        <v>-0.40447887351513101</v>
      </c>
      <c r="F192" t="s">
        <v>18</v>
      </c>
      <c r="G192" t="s">
        <v>19</v>
      </c>
      <c r="H192">
        <v>1</v>
      </c>
      <c r="I192" t="s">
        <v>52</v>
      </c>
      <c r="J192" t="s">
        <v>19</v>
      </c>
      <c r="K192">
        <v>0.98</v>
      </c>
      <c r="L192" t="s">
        <v>53</v>
      </c>
      <c r="M192" t="s">
        <v>19</v>
      </c>
      <c r="N192">
        <v>0.77</v>
      </c>
      <c r="O192" t="s">
        <v>265</v>
      </c>
      <c r="P192" t="s">
        <v>19</v>
      </c>
      <c r="Q192">
        <v>0.93700000000000006</v>
      </c>
      <c r="R192" t="s">
        <v>23</v>
      </c>
      <c r="S192">
        <v>4</v>
      </c>
    </row>
    <row r="193" spans="1:19">
      <c r="A193">
        <v>192</v>
      </c>
      <c r="B193" t="s">
        <v>242</v>
      </c>
      <c r="C193">
        <v>772.61109999999996</v>
      </c>
      <c r="D193">
        <v>288.2</v>
      </c>
      <c r="E193">
        <v>-0.74843959422150896</v>
      </c>
      <c r="F193" t="s">
        <v>18</v>
      </c>
      <c r="G193" t="s">
        <v>19</v>
      </c>
      <c r="H193">
        <v>1</v>
      </c>
      <c r="I193" t="s">
        <v>20</v>
      </c>
      <c r="J193" t="s">
        <v>19</v>
      </c>
      <c r="K193">
        <v>1</v>
      </c>
      <c r="L193" t="s">
        <v>56</v>
      </c>
      <c r="M193" t="s">
        <v>19</v>
      </c>
      <c r="N193">
        <v>0.98</v>
      </c>
      <c r="O193" t="s">
        <v>113</v>
      </c>
      <c r="P193" t="s">
        <v>19</v>
      </c>
      <c r="Q193">
        <v>0.64700000000000002</v>
      </c>
      <c r="R193" t="s">
        <v>23</v>
      </c>
      <c r="S193">
        <v>4</v>
      </c>
    </row>
    <row r="194" spans="1:19">
      <c r="A194">
        <v>193</v>
      </c>
      <c r="B194" t="s">
        <v>266</v>
      </c>
      <c r="C194">
        <v>574.38480000000004</v>
      </c>
      <c r="D194">
        <v>253.4</v>
      </c>
      <c r="E194">
        <v>-0.74346954973725599</v>
      </c>
      <c r="F194" t="s">
        <v>18</v>
      </c>
      <c r="G194" t="s">
        <v>19</v>
      </c>
      <c r="H194">
        <v>1</v>
      </c>
      <c r="I194" t="s">
        <v>20</v>
      </c>
      <c r="J194" t="s">
        <v>19</v>
      </c>
      <c r="K194">
        <v>1</v>
      </c>
      <c r="L194" t="s">
        <v>21</v>
      </c>
      <c r="M194" t="s">
        <v>19</v>
      </c>
      <c r="N194">
        <v>1</v>
      </c>
      <c r="O194" t="s">
        <v>110</v>
      </c>
      <c r="P194" t="s">
        <v>19</v>
      </c>
      <c r="Q194">
        <v>0.879</v>
      </c>
      <c r="R194" t="s">
        <v>23</v>
      </c>
      <c r="S194">
        <v>4</v>
      </c>
    </row>
    <row r="195" spans="1:19">
      <c r="A195">
        <v>194</v>
      </c>
      <c r="B195" t="s">
        <v>147</v>
      </c>
      <c r="C195">
        <v>962.45150000000001</v>
      </c>
      <c r="D195">
        <v>328.8</v>
      </c>
      <c r="E195">
        <v>-0.37687293143721901</v>
      </c>
      <c r="F195" t="s">
        <v>18</v>
      </c>
      <c r="G195" t="s">
        <v>19</v>
      </c>
      <c r="H195">
        <v>0.998</v>
      </c>
      <c r="I195" t="s">
        <v>43</v>
      </c>
      <c r="J195" t="s">
        <v>19</v>
      </c>
      <c r="K195">
        <v>0.98</v>
      </c>
      <c r="L195" t="s">
        <v>44</v>
      </c>
      <c r="M195" t="s">
        <v>19</v>
      </c>
      <c r="N195">
        <v>1</v>
      </c>
      <c r="O195" t="s">
        <v>45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195</v>
      </c>
      <c r="B196" t="s">
        <v>267</v>
      </c>
      <c r="C196">
        <v>253.16640000000001</v>
      </c>
      <c r="D196">
        <v>162.1</v>
      </c>
      <c r="E196">
        <v>-0.88372657043956304</v>
      </c>
      <c r="F196" t="s">
        <v>18</v>
      </c>
      <c r="G196" t="s">
        <v>19</v>
      </c>
      <c r="H196">
        <v>1</v>
      </c>
      <c r="I196" t="s">
        <v>125</v>
      </c>
      <c r="J196" t="s">
        <v>19</v>
      </c>
      <c r="K196">
        <v>0.66</v>
      </c>
      <c r="L196" t="s">
        <v>126</v>
      </c>
      <c r="M196" t="s">
        <v>19</v>
      </c>
      <c r="N196">
        <v>0.97</v>
      </c>
      <c r="O196" t="s">
        <v>127</v>
      </c>
      <c r="P196" t="s">
        <v>19</v>
      </c>
      <c r="Q196">
        <v>0.92800000000000005</v>
      </c>
      <c r="R196" t="s">
        <v>23</v>
      </c>
      <c r="S196">
        <v>4</v>
      </c>
    </row>
    <row r="197" spans="1:19">
      <c r="A197">
        <v>196</v>
      </c>
      <c r="B197" t="s">
        <v>268</v>
      </c>
      <c r="C197">
        <v>267.04739999999998</v>
      </c>
      <c r="D197">
        <v>151.69999999999999</v>
      </c>
      <c r="E197">
        <v>-0.74922771326208704</v>
      </c>
      <c r="F197" t="s">
        <v>18</v>
      </c>
      <c r="G197" t="s">
        <v>19</v>
      </c>
      <c r="H197">
        <v>1</v>
      </c>
      <c r="I197" t="s">
        <v>39</v>
      </c>
      <c r="J197" t="s">
        <v>19</v>
      </c>
      <c r="K197">
        <v>0.72</v>
      </c>
      <c r="L197" t="s">
        <v>40</v>
      </c>
      <c r="M197" t="s">
        <v>19</v>
      </c>
      <c r="N197">
        <v>0.98</v>
      </c>
      <c r="O197" t="s">
        <v>41</v>
      </c>
      <c r="P197" t="s">
        <v>19</v>
      </c>
      <c r="Q197">
        <v>0.96299999999999997</v>
      </c>
      <c r="R197" t="s">
        <v>23</v>
      </c>
      <c r="S197">
        <v>4</v>
      </c>
    </row>
    <row r="198" spans="1:19">
      <c r="A198">
        <v>197</v>
      </c>
      <c r="B198" t="s">
        <v>269</v>
      </c>
      <c r="C198">
        <v>198.0532</v>
      </c>
      <c r="D198">
        <v>143.6</v>
      </c>
      <c r="E198">
        <v>-0.83206331962131197</v>
      </c>
      <c r="F198" t="s">
        <v>18</v>
      </c>
      <c r="G198" t="s">
        <v>19</v>
      </c>
      <c r="H198">
        <v>1</v>
      </c>
      <c r="I198" t="s">
        <v>59</v>
      </c>
      <c r="J198" t="s">
        <v>19</v>
      </c>
      <c r="K198">
        <v>0.77</v>
      </c>
      <c r="L198" t="s">
        <v>91</v>
      </c>
      <c r="M198" t="s">
        <v>19</v>
      </c>
      <c r="N198">
        <v>0.89</v>
      </c>
      <c r="O198" t="s">
        <v>223</v>
      </c>
      <c r="P198" t="s">
        <v>19</v>
      </c>
      <c r="Q198">
        <v>0.80600000000000005</v>
      </c>
      <c r="R198" t="s">
        <v>23</v>
      </c>
      <c r="S198">
        <v>4</v>
      </c>
    </row>
    <row r="199" spans="1:19">
      <c r="A199">
        <v>198</v>
      </c>
      <c r="B199" t="s">
        <v>270</v>
      </c>
      <c r="C199">
        <v>833.6721</v>
      </c>
      <c r="D199">
        <v>303.39999999999998</v>
      </c>
      <c r="E199">
        <v>-0.74126181754036202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1</v>
      </c>
      <c r="L199" t="s">
        <v>56</v>
      </c>
      <c r="M199" t="s">
        <v>19</v>
      </c>
      <c r="N199">
        <v>1</v>
      </c>
      <c r="O199" t="s">
        <v>113</v>
      </c>
      <c r="P199" t="s">
        <v>19</v>
      </c>
      <c r="Q199">
        <v>0.71199999999999997</v>
      </c>
      <c r="R199" t="s">
        <v>23</v>
      </c>
      <c r="S199">
        <v>4</v>
      </c>
    </row>
    <row r="200" spans="1:19">
      <c r="A200">
        <v>199</v>
      </c>
      <c r="B200" t="s">
        <v>271</v>
      </c>
      <c r="C200">
        <v>496.30410000000001</v>
      </c>
      <c r="D200">
        <v>224.5</v>
      </c>
      <c r="E200">
        <v>-0.74995070510180994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0.99</v>
      </c>
      <c r="L200" t="s">
        <v>56</v>
      </c>
      <c r="M200" t="s">
        <v>19</v>
      </c>
      <c r="N200">
        <v>0.6</v>
      </c>
      <c r="O200" t="s">
        <v>57</v>
      </c>
      <c r="P200" t="s">
        <v>19</v>
      </c>
      <c r="Q200">
        <v>0.96399999999999997</v>
      </c>
      <c r="R200" t="s">
        <v>23</v>
      </c>
      <c r="S200">
        <v>4</v>
      </c>
    </row>
    <row r="201" spans="1:19">
      <c r="A201">
        <v>200</v>
      </c>
      <c r="B201" t="s">
        <v>272</v>
      </c>
      <c r="C201">
        <v>938.58630000000005</v>
      </c>
      <c r="D201">
        <v>309.3</v>
      </c>
      <c r="E201">
        <v>-0.53831966627706196</v>
      </c>
      <c r="F201" t="s">
        <v>18</v>
      </c>
      <c r="G201" t="s">
        <v>19</v>
      </c>
      <c r="H201">
        <v>1</v>
      </c>
      <c r="I201" t="s">
        <v>20</v>
      </c>
      <c r="J201" t="s">
        <v>19</v>
      </c>
      <c r="K201">
        <v>0.9</v>
      </c>
      <c r="L201" t="s">
        <v>21</v>
      </c>
      <c r="M201" t="s">
        <v>19</v>
      </c>
      <c r="N201">
        <v>1</v>
      </c>
      <c r="O201" t="s">
        <v>37</v>
      </c>
      <c r="P201" t="s">
        <v>19</v>
      </c>
      <c r="Q201">
        <v>0.98299999999999998</v>
      </c>
      <c r="R201" t="s">
        <v>23</v>
      </c>
      <c r="S201">
        <v>4</v>
      </c>
    </row>
    <row r="202" spans="1:19">
      <c r="A202">
        <v>201</v>
      </c>
      <c r="B202" t="s">
        <v>273</v>
      </c>
      <c r="C202">
        <v>1580.8320000000001</v>
      </c>
      <c r="D202">
        <v>393.6</v>
      </c>
      <c r="E202">
        <v>-6.6918997944185293E-2</v>
      </c>
      <c r="F202" t="s">
        <v>18</v>
      </c>
      <c r="G202" t="s">
        <v>19</v>
      </c>
      <c r="H202">
        <v>1</v>
      </c>
      <c r="I202" t="s">
        <v>39</v>
      </c>
      <c r="J202" t="s">
        <v>19</v>
      </c>
      <c r="K202">
        <v>0.84</v>
      </c>
      <c r="L202" t="s">
        <v>40</v>
      </c>
      <c r="M202" t="s">
        <v>19</v>
      </c>
      <c r="N202">
        <v>1</v>
      </c>
      <c r="O202" t="s">
        <v>41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232</v>
      </c>
      <c r="C203">
        <v>768.55190000000005</v>
      </c>
      <c r="D203">
        <v>283.3</v>
      </c>
      <c r="E203">
        <v>-0.69377190176817305</v>
      </c>
      <c r="F203" t="s">
        <v>18</v>
      </c>
      <c r="G203" t="s">
        <v>19</v>
      </c>
      <c r="H203">
        <v>1</v>
      </c>
      <c r="I203" t="s">
        <v>20</v>
      </c>
      <c r="J203" t="s">
        <v>19</v>
      </c>
      <c r="K203">
        <v>0.73</v>
      </c>
      <c r="L203" t="s">
        <v>21</v>
      </c>
      <c r="M203" t="s">
        <v>19</v>
      </c>
      <c r="N203">
        <v>0.96</v>
      </c>
      <c r="O203" t="s">
        <v>22</v>
      </c>
      <c r="P203" t="s">
        <v>19</v>
      </c>
      <c r="Q203">
        <v>0.85699999999999998</v>
      </c>
      <c r="R203" t="s">
        <v>23</v>
      </c>
      <c r="S203">
        <v>4</v>
      </c>
    </row>
    <row r="204" spans="1:19">
      <c r="A204">
        <v>203</v>
      </c>
      <c r="B204" t="s">
        <v>274</v>
      </c>
      <c r="C204">
        <v>1548.4392</v>
      </c>
      <c r="D204">
        <v>393.4</v>
      </c>
      <c r="E204">
        <v>-0.71028724092207096</v>
      </c>
      <c r="F204" t="s">
        <v>18</v>
      </c>
      <c r="G204" t="s">
        <v>19</v>
      </c>
      <c r="H204">
        <v>1</v>
      </c>
      <c r="I204" t="s">
        <v>39</v>
      </c>
      <c r="J204" t="s">
        <v>19</v>
      </c>
      <c r="K204">
        <v>1</v>
      </c>
      <c r="L204" t="s">
        <v>40</v>
      </c>
      <c r="M204" t="s">
        <v>19</v>
      </c>
      <c r="N204">
        <v>1</v>
      </c>
      <c r="O204" t="s">
        <v>41</v>
      </c>
      <c r="P204" t="s">
        <v>19</v>
      </c>
      <c r="Q204">
        <v>1</v>
      </c>
      <c r="R204" t="s">
        <v>23</v>
      </c>
      <c r="S204">
        <v>4</v>
      </c>
    </row>
    <row r="205" spans="1:19">
      <c r="A205">
        <v>204</v>
      </c>
      <c r="B205" t="s">
        <v>275</v>
      </c>
      <c r="C205">
        <v>540.29399999999998</v>
      </c>
      <c r="D205">
        <v>233.2</v>
      </c>
      <c r="E205">
        <v>-0.69073369787247396</v>
      </c>
      <c r="F205" t="s">
        <v>18</v>
      </c>
      <c r="G205" t="s">
        <v>19</v>
      </c>
      <c r="H205">
        <v>0.99199999999999999</v>
      </c>
      <c r="I205" t="s">
        <v>39</v>
      </c>
      <c r="J205" t="s">
        <v>19</v>
      </c>
      <c r="K205">
        <v>0.71</v>
      </c>
      <c r="L205" t="s">
        <v>40</v>
      </c>
      <c r="M205" t="s">
        <v>19</v>
      </c>
      <c r="N205">
        <v>1</v>
      </c>
      <c r="O205" t="s">
        <v>41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276</v>
      </c>
      <c r="C206">
        <v>112.05159999999999</v>
      </c>
      <c r="D206">
        <v>119.8</v>
      </c>
      <c r="E206">
        <v>-0.92648857107523996</v>
      </c>
      <c r="F206" t="s">
        <v>18</v>
      </c>
      <c r="G206" t="s">
        <v>19</v>
      </c>
      <c r="H206">
        <v>1</v>
      </c>
      <c r="I206" t="s">
        <v>39</v>
      </c>
      <c r="J206" t="s">
        <v>19</v>
      </c>
      <c r="K206">
        <v>0.88</v>
      </c>
      <c r="L206" t="s">
        <v>40</v>
      </c>
      <c r="M206" t="s">
        <v>19</v>
      </c>
      <c r="N206">
        <v>1</v>
      </c>
      <c r="O206" t="s">
        <v>41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277</v>
      </c>
      <c r="C207">
        <v>383.21980000000002</v>
      </c>
      <c r="D207">
        <v>193.3</v>
      </c>
      <c r="E207">
        <v>-0.79191519719256598</v>
      </c>
      <c r="F207" t="s">
        <v>18</v>
      </c>
      <c r="G207" t="s">
        <v>19</v>
      </c>
      <c r="H207">
        <v>1</v>
      </c>
      <c r="I207" t="s">
        <v>20</v>
      </c>
      <c r="J207" t="s">
        <v>19</v>
      </c>
      <c r="K207">
        <v>0.95</v>
      </c>
      <c r="L207" t="s">
        <v>30</v>
      </c>
      <c r="M207" t="s">
        <v>19</v>
      </c>
      <c r="N207">
        <v>0.98</v>
      </c>
      <c r="O207" t="s">
        <v>67</v>
      </c>
      <c r="P207" t="s">
        <v>19</v>
      </c>
      <c r="Q207">
        <v>0.85099999999999998</v>
      </c>
      <c r="R207" t="s">
        <v>23</v>
      </c>
      <c r="S207">
        <v>4</v>
      </c>
    </row>
    <row r="208" spans="1:19">
      <c r="A208">
        <v>207</v>
      </c>
      <c r="B208" t="s">
        <v>278</v>
      </c>
      <c r="C208">
        <v>245.0926</v>
      </c>
      <c r="D208">
        <v>161.4</v>
      </c>
      <c r="E208">
        <v>-0.81894138731723798</v>
      </c>
      <c r="F208" t="s">
        <v>18</v>
      </c>
      <c r="G208" t="s">
        <v>19</v>
      </c>
      <c r="H208">
        <v>1</v>
      </c>
      <c r="I208" t="s">
        <v>39</v>
      </c>
      <c r="J208" t="s">
        <v>19</v>
      </c>
      <c r="K208">
        <v>0.89</v>
      </c>
      <c r="L208" t="s">
        <v>40</v>
      </c>
      <c r="M208" t="s">
        <v>19</v>
      </c>
      <c r="N208">
        <v>0.98</v>
      </c>
      <c r="O208" t="s">
        <v>41</v>
      </c>
      <c r="P208" t="s">
        <v>19</v>
      </c>
      <c r="Q208">
        <v>0.98799999999999999</v>
      </c>
      <c r="R208" t="s">
        <v>23</v>
      </c>
      <c r="S208">
        <v>4</v>
      </c>
    </row>
    <row r="209" spans="1:19">
      <c r="A209">
        <v>208</v>
      </c>
      <c r="B209" t="s">
        <v>279</v>
      </c>
      <c r="C209">
        <v>844.66420000000005</v>
      </c>
      <c r="D209">
        <v>301.89999999999998</v>
      </c>
      <c r="E209">
        <v>-0.72108856719955805</v>
      </c>
      <c r="F209" t="s">
        <v>18</v>
      </c>
      <c r="G209" t="s">
        <v>19</v>
      </c>
      <c r="H209">
        <v>1</v>
      </c>
      <c r="I209" t="s">
        <v>20</v>
      </c>
      <c r="J209" t="s">
        <v>19</v>
      </c>
      <c r="K209">
        <v>1</v>
      </c>
      <c r="L209" t="s">
        <v>56</v>
      </c>
      <c r="M209" t="s">
        <v>19</v>
      </c>
      <c r="N209">
        <v>1</v>
      </c>
      <c r="O209" t="s">
        <v>57</v>
      </c>
      <c r="P209" t="s">
        <v>19</v>
      </c>
      <c r="Q209">
        <v>0.76</v>
      </c>
      <c r="R209" t="s">
        <v>23</v>
      </c>
      <c r="S209">
        <v>4</v>
      </c>
    </row>
    <row r="210" spans="1:19">
      <c r="A210">
        <v>209</v>
      </c>
      <c r="B210" t="s">
        <v>280</v>
      </c>
      <c r="C210">
        <v>260.99990000000003</v>
      </c>
      <c r="D210">
        <v>147.30000000000001</v>
      </c>
      <c r="E210">
        <v>-0.70848006098782401</v>
      </c>
      <c r="F210" t="s">
        <v>18</v>
      </c>
      <c r="G210" t="s">
        <v>19</v>
      </c>
      <c r="H210">
        <v>1</v>
      </c>
      <c r="I210" t="s">
        <v>39</v>
      </c>
      <c r="J210" t="s">
        <v>19</v>
      </c>
      <c r="K210">
        <v>0.66</v>
      </c>
      <c r="L210" t="s">
        <v>40</v>
      </c>
      <c r="M210" t="s">
        <v>19</v>
      </c>
      <c r="N210">
        <v>1</v>
      </c>
      <c r="O210" t="s">
        <v>41</v>
      </c>
      <c r="P210" t="s">
        <v>19</v>
      </c>
      <c r="Q210">
        <v>0.91800000000000004</v>
      </c>
      <c r="R210" t="s">
        <v>23</v>
      </c>
      <c r="S210">
        <v>4</v>
      </c>
    </row>
    <row r="211" spans="1:19">
      <c r="A211">
        <v>210</v>
      </c>
      <c r="B211" t="s">
        <v>281</v>
      </c>
      <c r="C211">
        <v>817.71619999999996</v>
      </c>
      <c r="D211">
        <v>306.5</v>
      </c>
      <c r="E211">
        <v>-0.80317740829286799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1</v>
      </c>
      <c r="L211" t="s">
        <v>56</v>
      </c>
      <c r="M211" t="s">
        <v>19</v>
      </c>
      <c r="N211">
        <v>1</v>
      </c>
      <c r="O211" t="s">
        <v>113</v>
      </c>
      <c r="P211" t="s">
        <v>19</v>
      </c>
      <c r="Q211">
        <v>0.746</v>
      </c>
      <c r="R211" t="s">
        <v>23</v>
      </c>
      <c r="S211">
        <v>4</v>
      </c>
    </row>
    <row r="212" spans="1:19">
      <c r="A212">
        <v>211</v>
      </c>
      <c r="B212" t="s">
        <v>282</v>
      </c>
      <c r="C212">
        <v>347.2208</v>
      </c>
      <c r="D212">
        <v>187</v>
      </c>
      <c r="E212">
        <v>-0.83310994969821195</v>
      </c>
      <c r="F212" t="s">
        <v>18</v>
      </c>
      <c r="G212" t="s">
        <v>19</v>
      </c>
      <c r="H212">
        <v>1</v>
      </c>
      <c r="I212" t="s">
        <v>20</v>
      </c>
      <c r="J212" t="s">
        <v>19</v>
      </c>
      <c r="K212">
        <v>1</v>
      </c>
      <c r="L212" t="s">
        <v>85</v>
      </c>
      <c r="M212" t="s">
        <v>19</v>
      </c>
      <c r="N212">
        <v>0.87</v>
      </c>
      <c r="O212" t="s">
        <v>156</v>
      </c>
      <c r="P212" t="s">
        <v>19</v>
      </c>
      <c r="Q212">
        <v>0.85899999999999999</v>
      </c>
      <c r="R212" t="s">
        <v>23</v>
      </c>
      <c r="S212">
        <v>4</v>
      </c>
    </row>
    <row r="213" spans="1:19">
      <c r="A213">
        <v>212</v>
      </c>
      <c r="B213" t="s">
        <v>283</v>
      </c>
      <c r="C213">
        <v>788.52300000000002</v>
      </c>
      <c r="D213">
        <v>282.3</v>
      </c>
      <c r="E213">
        <v>-0.64257313175335196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1</v>
      </c>
      <c r="L213" t="s">
        <v>21</v>
      </c>
      <c r="M213" t="s">
        <v>19</v>
      </c>
      <c r="N213">
        <v>1</v>
      </c>
      <c r="O213" t="s">
        <v>22</v>
      </c>
      <c r="P213" t="s">
        <v>19</v>
      </c>
      <c r="Q213">
        <v>0.94899999999999995</v>
      </c>
      <c r="R213" t="s">
        <v>23</v>
      </c>
      <c r="S213">
        <v>4</v>
      </c>
    </row>
    <row r="214" spans="1:19">
      <c r="A214">
        <v>213</v>
      </c>
      <c r="B214" t="s">
        <v>284</v>
      </c>
      <c r="C214">
        <v>673.77670000000001</v>
      </c>
      <c r="D214">
        <v>194.5</v>
      </c>
      <c r="E214">
        <v>-2.4393333132138699E-2</v>
      </c>
      <c r="F214" t="s">
        <v>18</v>
      </c>
      <c r="G214" t="s">
        <v>19</v>
      </c>
      <c r="H214">
        <v>0.98399999999999999</v>
      </c>
      <c r="I214" t="s">
        <v>39</v>
      </c>
      <c r="J214" t="s">
        <v>19</v>
      </c>
      <c r="K214">
        <v>0.64</v>
      </c>
      <c r="L214" t="s">
        <v>40</v>
      </c>
      <c r="M214" t="s">
        <v>19</v>
      </c>
      <c r="N214">
        <v>0.94</v>
      </c>
      <c r="O214" t="s">
        <v>41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285</v>
      </c>
      <c r="C215">
        <v>509.3329</v>
      </c>
      <c r="D215">
        <v>224.3</v>
      </c>
      <c r="E215">
        <v>-0.76420337346911504</v>
      </c>
      <c r="F215" t="s">
        <v>18</v>
      </c>
      <c r="G215" t="s">
        <v>19</v>
      </c>
      <c r="H215">
        <v>1</v>
      </c>
      <c r="I215" t="s">
        <v>20</v>
      </c>
      <c r="J215" t="s">
        <v>19</v>
      </c>
      <c r="K215">
        <v>0.97</v>
      </c>
      <c r="L215" t="s">
        <v>21</v>
      </c>
      <c r="M215" t="s">
        <v>19</v>
      </c>
      <c r="N215">
        <v>0.84</v>
      </c>
      <c r="O215" t="s">
        <v>22</v>
      </c>
      <c r="P215" t="s">
        <v>19</v>
      </c>
      <c r="Q215">
        <v>0.622</v>
      </c>
      <c r="R215" t="s">
        <v>23</v>
      </c>
      <c r="S215">
        <v>4</v>
      </c>
    </row>
    <row r="216" spans="1:19">
      <c r="A216">
        <v>215</v>
      </c>
      <c r="B216" t="s">
        <v>286</v>
      </c>
      <c r="C216">
        <v>809.65359999999998</v>
      </c>
      <c r="D216">
        <v>299</v>
      </c>
      <c r="E216">
        <v>-0.74957971978915305</v>
      </c>
      <c r="F216" t="s">
        <v>18</v>
      </c>
      <c r="G216" t="s">
        <v>19</v>
      </c>
      <c r="H216">
        <v>1</v>
      </c>
      <c r="I216" t="s">
        <v>20</v>
      </c>
      <c r="J216" t="s">
        <v>19</v>
      </c>
      <c r="K216">
        <v>1</v>
      </c>
      <c r="L216" t="s">
        <v>56</v>
      </c>
      <c r="M216" t="s">
        <v>19</v>
      </c>
      <c r="N216">
        <v>0.88</v>
      </c>
      <c r="O216" t="s">
        <v>113</v>
      </c>
      <c r="P216" t="s">
        <v>19</v>
      </c>
      <c r="Q216">
        <v>0.61599999999999999</v>
      </c>
      <c r="R216" t="s">
        <v>23</v>
      </c>
      <c r="S216">
        <v>4</v>
      </c>
    </row>
    <row r="217" spans="1:19">
      <c r="A217">
        <v>216</v>
      </c>
      <c r="B217" t="s">
        <v>287</v>
      </c>
      <c r="C217">
        <v>485.24590000000001</v>
      </c>
      <c r="D217">
        <v>216.3</v>
      </c>
      <c r="E217">
        <v>-0.70409775952435905</v>
      </c>
      <c r="F217" t="s">
        <v>18</v>
      </c>
      <c r="G217" t="s">
        <v>19</v>
      </c>
      <c r="H217">
        <v>1</v>
      </c>
      <c r="I217" t="s">
        <v>43</v>
      </c>
      <c r="J217" t="s">
        <v>19</v>
      </c>
      <c r="K217">
        <v>0.73</v>
      </c>
      <c r="L217" t="s">
        <v>44</v>
      </c>
      <c r="M217" t="s">
        <v>19</v>
      </c>
      <c r="N217">
        <v>1</v>
      </c>
      <c r="O217" t="s">
        <v>45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244</v>
      </c>
      <c r="C218">
        <v>195.05019999999999</v>
      </c>
      <c r="D218">
        <v>132.6</v>
      </c>
      <c r="E218">
        <v>-0.83241632503185803</v>
      </c>
      <c r="F218" t="s">
        <v>18</v>
      </c>
      <c r="G218" t="s">
        <v>19</v>
      </c>
      <c r="H218">
        <v>1</v>
      </c>
      <c r="I218" t="s">
        <v>43</v>
      </c>
      <c r="J218" t="s">
        <v>19</v>
      </c>
      <c r="K218">
        <v>0.91</v>
      </c>
      <c r="L218" t="s">
        <v>44</v>
      </c>
      <c r="M218" t="s">
        <v>19</v>
      </c>
      <c r="N218">
        <v>1</v>
      </c>
      <c r="O218" t="s">
        <v>45</v>
      </c>
      <c r="P218" t="s">
        <v>19</v>
      </c>
      <c r="Q218">
        <v>0.97299999999999998</v>
      </c>
      <c r="R218" t="s">
        <v>23</v>
      </c>
      <c r="S218">
        <v>4</v>
      </c>
    </row>
    <row r="219" spans="1:19">
      <c r="A219">
        <v>218</v>
      </c>
      <c r="B219" t="s">
        <v>262</v>
      </c>
      <c r="C219">
        <v>809.65120000000002</v>
      </c>
      <c r="D219">
        <v>297.2</v>
      </c>
      <c r="E219">
        <v>-0.74718239951380405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1</v>
      </c>
      <c r="L219" t="s">
        <v>56</v>
      </c>
      <c r="M219" t="s">
        <v>19</v>
      </c>
      <c r="N219">
        <v>0.99</v>
      </c>
      <c r="O219" t="s">
        <v>113</v>
      </c>
      <c r="P219" t="s">
        <v>19</v>
      </c>
      <c r="Q219">
        <v>0.90400000000000003</v>
      </c>
      <c r="R219" t="s">
        <v>23</v>
      </c>
      <c r="S219">
        <v>4</v>
      </c>
    </row>
    <row r="220" spans="1:19">
      <c r="A220">
        <v>219</v>
      </c>
      <c r="B220" t="s">
        <v>266</v>
      </c>
      <c r="C220">
        <v>552.40290000000005</v>
      </c>
      <c r="D220">
        <v>247.5</v>
      </c>
      <c r="E220">
        <v>-0.78611348234949197</v>
      </c>
      <c r="F220" t="s">
        <v>18</v>
      </c>
      <c r="G220" t="s">
        <v>19</v>
      </c>
      <c r="H220">
        <v>1</v>
      </c>
      <c r="I220" t="s">
        <v>20</v>
      </c>
      <c r="J220" t="s">
        <v>19</v>
      </c>
      <c r="K220">
        <v>1</v>
      </c>
      <c r="L220" t="s">
        <v>21</v>
      </c>
      <c r="M220" t="s">
        <v>19</v>
      </c>
      <c r="N220">
        <v>1</v>
      </c>
      <c r="O220" t="s">
        <v>110</v>
      </c>
      <c r="P220" t="s">
        <v>19</v>
      </c>
      <c r="Q220">
        <v>0.99199999999999999</v>
      </c>
      <c r="R220" t="s">
        <v>23</v>
      </c>
      <c r="S220">
        <v>4</v>
      </c>
    </row>
    <row r="221" spans="1:19">
      <c r="A221">
        <v>220</v>
      </c>
      <c r="B221" t="s">
        <v>288</v>
      </c>
      <c r="C221">
        <v>848.57569999999998</v>
      </c>
      <c r="D221">
        <v>294.60000000000002</v>
      </c>
      <c r="E221">
        <v>-0.62822117437122005</v>
      </c>
      <c r="F221" t="s">
        <v>18</v>
      </c>
      <c r="G221" t="s">
        <v>19</v>
      </c>
      <c r="H221">
        <v>1</v>
      </c>
      <c r="I221" t="s">
        <v>20</v>
      </c>
      <c r="J221" t="s">
        <v>19</v>
      </c>
      <c r="K221">
        <v>0.98</v>
      </c>
      <c r="L221" t="s">
        <v>21</v>
      </c>
      <c r="M221" t="s">
        <v>19</v>
      </c>
      <c r="N221">
        <v>1</v>
      </c>
      <c r="O221" t="s">
        <v>110</v>
      </c>
      <c r="P221" t="s">
        <v>19</v>
      </c>
      <c r="Q221">
        <v>0.86599999999999999</v>
      </c>
      <c r="R221" t="s">
        <v>23</v>
      </c>
      <c r="S221">
        <v>4</v>
      </c>
    </row>
    <row r="222" spans="1:19">
      <c r="A222">
        <v>221</v>
      </c>
      <c r="B222" t="s">
        <v>289</v>
      </c>
      <c r="C222">
        <v>2143.9155999999998</v>
      </c>
      <c r="D222">
        <v>372.2</v>
      </c>
      <c r="E222">
        <v>-0.52180692421961805</v>
      </c>
      <c r="F222" t="s">
        <v>18</v>
      </c>
      <c r="G222" t="s">
        <v>19</v>
      </c>
      <c r="H222">
        <v>1</v>
      </c>
      <c r="I222" t="s">
        <v>48</v>
      </c>
      <c r="J222" t="s">
        <v>19</v>
      </c>
      <c r="K222">
        <v>0.99</v>
      </c>
      <c r="L222" t="s">
        <v>49</v>
      </c>
      <c r="M222" t="s">
        <v>19</v>
      </c>
      <c r="N222">
        <v>1</v>
      </c>
      <c r="O222" t="s">
        <v>50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222</v>
      </c>
      <c r="B223" t="s">
        <v>290</v>
      </c>
      <c r="C223">
        <v>994.64400000000001</v>
      </c>
      <c r="D223">
        <v>323.7</v>
      </c>
      <c r="E223">
        <v>-0.53342833380838806</v>
      </c>
      <c r="F223" t="s">
        <v>18</v>
      </c>
      <c r="G223" t="s">
        <v>19</v>
      </c>
      <c r="H223">
        <v>1</v>
      </c>
      <c r="I223" t="s">
        <v>39</v>
      </c>
      <c r="J223" t="s">
        <v>19</v>
      </c>
      <c r="K223">
        <v>0.99</v>
      </c>
      <c r="L223" t="s">
        <v>138</v>
      </c>
      <c r="M223" t="s">
        <v>19</v>
      </c>
      <c r="N223">
        <v>0.83</v>
      </c>
      <c r="O223" t="s">
        <v>184</v>
      </c>
      <c r="P223" t="s">
        <v>19</v>
      </c>
      <c r="Q223">
        <v>0.97899999999999998</v>
      </c>
      <c r="R223" t="s">
        <v>23</v>
      </c>
      <c r="S223">
        <v>4</v>
      </c>
    </row>
    <row r="224" spans="1:19">
      <c r="A224">
        <v>223</v>
      </c>
      <c r="B224" t="s">
        <v>291</v>
      </c>
      <c r="C224">
        <v>242.10050000000001</v>
      </c>
      <c r="D224">
        <v>150.80000000000001</v>
      </c>
      <c r="E224">
        <v>-0.83018222231188998</v>
      </c>
      <c r="F224" t="s">
        <v>18</v>
      </c>
      <c r="G224" t="s">
        <v>19</v>
      </c>
      <c r="H224">
        <v>1</v>
      </c>
      <c r="I224" t="s">
        <v>43</v>
      </c>
      <c r="J224" t="s">
        <v>19</v>
      </c>
      <c r="K224">
        <v>0.72</v>
      </c>
      <c r="L224" t="s">
        <v>44</v>
      </c>
      <c r="M224" t="s">
        <v>19</v>
      </c>
      <c r="N224">
        <v>1</v>
      </c>
      <c r="O224" t="s">
        <v>186</v>
      </c>
      <c r="P224" t="s">
        <v>19</v>
      </c>
      <c r="Q224">
        <v>0.60099999999999998</v>
      </c>
      <c r="R224" t="s">
        <v>23</v>
      </c>
      <c r="S224">
        <v>4</v>
      </c>
    </row>
    <row r="225" spans="1:19">
      <c r="A225">
        <v>224</v>
      </c>
      <c r="B225" t="s">
        <v>292</v>
      </c>
      <c r="C225">
        <v>2054.1534999999999</v>
      </c>
      <c r="D225">
        <v>454.4</v>
      </c>
      <c r="E225">
        <v>-0.85993096916263301</v>
      </c>
      <c r="F225" t="s">
        <v>18</v>
      </c>
      <c r="G225" t="s">
        <v>19</v>
      </c>
      <c r="H225">
        <v>1</v>
      </c>
      <c r="I225" t="s">
        <v>39</v>
      </c>
      <c r="J225" t="s">
        <v>19</v>
      </c>
      <c r="K225">
        <v>1</v>
      </c>
      <c r="L225" t="s">
        <v>40</v>
      </c>
      <c r="M225" t="s">
        <v>19</v>
      </c>
      <c r="N225">
        <v>1</v>
      </c>
      <c r="O225" t="s">
        <v>41</v>
      </c>
      <c r="P225" t="s">
        <v>19</v>
      </c>
      <c r="Q225">
        <v>1</v>
      </c>
      <c r="R225" t="s">
        <v>23</v>
      </c>
      <c r="S225">
        <v>4</v>
      </c>
    </row>
    <row r="226" spans="1:19">
      <c r="A226">
        <v>225</v>
      </c>
      <c r="B226" t="s">
        <v>293</v>
      </c>
      <c r="C226">
        <v>1222.1437000000001</v>
      </c>
      <c r="D226">
        <v>229.2</v>
      </c>
      <c r="E226">
        <v>-0.77911310736863004</v>
      </c>
      <c r="F226" t="s">
        <v>25</v>
      </c>
      <c r="G226" t="s">
        <v>19</v>
      </c>
      <c r="H226">
        <v>0.98799999999999999</v>
      </c>
      <c r="I226" t="s">
        <v>26</v>
      </c>
      <c r="J226" t="s">
        <v>19</v>
      </c>
      <c r="K226">
        <v>0.99</v>
      </c>
      <c r="L226" t="s">
        <v>27</v>
      </c>
      <c r="M226" t="s">
        <v>19</v>
      </c>
      <c r="N226">
        <v>0.91</v>
      </c>
      <c r="O226" t="s">
        <v>28</v>
      </c>
      <c r="P226" t="s">
        <v>19</v>
      </c>
      <c r="Q226">
        <v>1</v>
      </c>
      <c r="R226" t="s">
        <v>23</v>
      </c>
      <c r="S226">
        <v>4</v>
      </c>
    </row>
    <row r="227" spans="1:19">
      <c r="A227">
        <v>226</v>
      </c>
      <c r="B227" t="s">
        <v>280</v>
      </c>
      <c r="C227">
        <v>241.03110000000001</v>
      </c>
      <c r="D227">
        <v>149.80000000000001</v>
      </c>
      <c r="E227">
        <v>-0.76197626293330201</v>
      </c>
      <c r="F227" t="s">
        <v>18</v>
      </c>
      <c r="G227" t="s">
        <v>19</v>
      </c>
      <c r="H227">
        <v>1</v>
      </c>
      <c r="I227" t="s">
        <v>39</v>
      </c>
      <c r="J227" t="s">
        <v>19</v>
      </c>
      <c r="K227">
        <v>0.76</v>
      </c>
      <c r="L227" t="s">
        <v>40</v>
      </c>
      <c r="M227" t="s">
        <v>19</v>
      </c>
      <c r="N227">
        <v>1</v>
      </c>
      <c r="O227" t="s">
        <v>41</v>
      </c>
      <c r="P227" t="s">
        <v>19</v>
      </c>
      <c r="Q227">
        <v>0.995</v>
      </c>
      <c r="R227" t="s">
        <v>23</v>
      </c>
      <c r="S227">
        <v>4</v>
      </c>
    </row>
    <row r="228" spans="1:19">
      <c r="A228">
        <v>227</v>
      </c>
      <c r="B228" t="s">
        <v>294</v>
      </c>
      <c r="C228">
        <v>120.06610000000001</v>
      </c>
      <c r="D228">
        <v>127.3</v>
      </c>
      <c r="E228">
        <v>-0.93203996572630399</v>
      </c>
      <c r="F228" t="s">
        <v>18</v>
      </c>
      <c r="G228" t="s">
        <v>19</v>
      </c>
      <c r="H228">
        <v>1</v>
      </c>
      <c r="I228" t="s">
        <v>39</v>
      </c>
      <c r="J228" t="s">
        <v>19</v>
      </c>
      <c r="K228">
        <v>1</v>
      </c>
      <c r="L228" t="s">
        <v>40</v>
      </c>
      <c r="M228" t="s">
        <v>19</v>
      </c>
      <c r="N228">
        <v>1</v>
      </c>
      <c r="O228" t="s">
        <v>41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232</v>
      </c>
      <c r="C229">
        <v>744.55539999999996</v>
      </c>
      <c r="D229">
        <v>273.39999999999998</v>
      </c>
      <c r="E229">
        <v>-0.72406523987478999</v>
      </c>
      <c r="F229" t="s">
        <v>18</v>
      </c>
      <c r="G229" t="s">
        <v>19</v>
      </c>
      <c r="H229">
        <v>1</v>
      </c>
      <c r="I229" t="s">
        <v>20</v>
      </c>
      <c r="J229" t="s">
        <v>19</v>
      </c>
      <c r="K229">
        <v>0.73</v>
      </c>
      <c r="L229" t="s">
        <v>21</v>
      </c>
      <c r="M229" t="s">
        <v>19</v>
      </c>
      <c r="N229">
        <v>0.97</v>
      </c>
      <c r="O229" t="s">
        <v>22</v>
      </c>
      <c r="P229" t="s">
        <v>19</v>
      </c>
      <c r="Q229">
        <v>0.98599999999999999</v>
      </c>
      <c r="R229" t="s">
        <v>23</v>
      </c>
      <c r="S229">
        <v>4</v>
      </c>
    </row>
    <row r="230" spans="1:19">
      <c r="A230">
        <v>229</v>
      </c>
      <c r="B230" t="s">
        <v>295</v>
      </c>
      <c r="C230">
        <v>1053.5733</v>
      </c>
      <c r="D230">
        <v>312.89999999999998</v>
      </c>
      <c r="E230">
        <v>-0.39693071085139298</v>
      </c>
      <c r="F230" t="s">
        <v>18</v>
      </c>
      <c r="G230" t="s">
        <v>19</v>
      </c>
      <c r="H230">
        <v>1</v>
      </c>
      <c r="I230" t="s">
        <v>39</v>
      </c>
      <c r="J230" t="s">
        <v>19</v>
      </c>
      <c r="K230">
        <v>0.99</v>
      </c>
      <c r="L230" t="s">
        <v>40</v>
      </c>
      <c r="M230" t="s">
        <v>19</v>
      </c>
      <c r="N230">
        <v>1</v>
      </c>
      <c r="O230" t="s">
        <v>41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296</v>
      </c>
      <c r="C231">
        <v>1102.2080000000001</v>
      </c>
      <c r="D231">
        <v>200.7</v>
      </c>
      <c r="E231">
        <v>-0.97732754327216798</v>
      </c>
      <c r="F231" t="s">
        <v>25</v>
      </c>
      <c r="G231" t="s">
        <v>19</v>
      </c>
      <c r="H231">
        <v>0.78200000000000003</v>
      </c>
      <c r="I231" t="s">
        <v>26</v>
      </c>
      <c r="J231" t="s">
        <v>19</v>
      </c>
      <c r="K231">
        <v>0.9</v>
      </c>
      <c r="L231" t="s">
        <v>27</v>
      </c>
      <c r="M231" t="s">
        <v>19</v>
      </c>
      <c r="N231">
        <v>0.99</v>
      </c>
      <c r="O231" t="s">
        <v>28</v>
      </c>
      <c r="P231" t="s">
        <v>19</v>
      </c>
      <c r="Q231">
        <v>1</v>
      </c>
      <c r="R231" t="s">
        <v>23</v>
      </c>
      <c r="S231">
        <v>4</v>
      </c>
    </row>
    <row r="232" spans="1:19">
      <c r="A232">
        <v>231</v>
      </c>
      <c r="B232" t="s">
        <v>297</v>
      </c>
      <c r="C232">
        <v>728.55970000000002</v>
      </c>
      <c r="D232">
        <v>270.10000000000002</v>
      </c>
      <c r="E232">
        <v>-0.74622526939390399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0.99</v>
      </c>
      <c r="L232" t="s">
        <v>21</v>
      </c>
      <c r="M232" t="s">
        <v>19</v>
      </c>
      <c r="N232">
        <v>1</v>
      </c>
      <c r="O232" t="s">
        <v>22</v>
      </c>
      <c r="P232" t="s">
        <v>19</v>
      </c>
      <c r="Q232">
        <v>0.99199999999999999</v>
      </c>
      <c r="R232" t="s">
        <v>23</v>
      </c>
      <c r="S232">
        <v>4</v>
      </c>
    </row>
    <row r="233" spans="1:19">
      <c r="A233">
        <v>232</v>
      </c>
      <c r="B233" t="s">
        <v>298</v>
      </c>
      <c r="C233">
        <v>766.53620000000001</v>
      </c>
      <c r="D233">
        <v>285.8</v>
      </c>
      <c r="E233">
        <v>-0.68032253546982702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1</v>
      </c>
      <c r="L233" t="s">
        <v>21</v>
      </c>
      <c r="M233" t="s">
        <v>19</v>
      </c>
      <c r="N233">
        <v>1</v>
      </c>
      <c r="O233" t="s">
        <v>22</v>
      </c>
      <c r="P233" t="s">
        <v>19</v>
      </c>
      <c r="Q233">
        <v>0.75</v>
      </c>
      <c r="R233" t="s">
        <v>23</v>
      </c>
      <c r="S233">
        <v>4</v>
      </c>
    </row>
    <row r="234" spans="1:19">
      <c r="A234">
        <v>233</v>
      </c>
      <c r="B234" t="s">
        <v>299</v>
      </c>
      <c r="C234">
        <v>241.21729999999999</v>
      </c>
      <c r="D234">
        <v>165.1</v>
      </c>
      <c r="E234">
        <v>-0.94796836096608705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0.99</v>
      </c>
      <c r="L234" t="s">
        <v>30</v>
      </c>
      <c r="M234" t="s">
        <v>19</v>
      </c>
      <c r="N234">
        <v>1</v>
      </c>
      <c r="O234" t="s">
        <v>67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234</v>
      </c>
      <c r="B235" t="s">
        <v>264</v>
      </c>
      <c r="C235">
        <v>628.06290000000001</v>
      </c>
      <c r="D235">
        <v>222.5</v>
      </c>
      <c r="E235">
        <v>-0.36163516421345299</v>
      </c>
      <c r="F235" t="s">
        <v>18</v>
      </c>
      <c r="G235" t="s">
        <v>19</v>
      </c>
      <c r="H235">
        <v>1</v>
      </c>
      <c r="I235" t="s">
        <v>52</v>
      </c>
      <c r="J235" t="s">
        <v>19</v>
      </c>
      <c r="K235">
        <v>1</v>
      </c>
      <c r="L235" t="s">
        <v>53</v>
      </c>
      <c r="M235" t="s">
        <v>19</v>
      </c>
      <c r="N235">
        <v>0.62</v>
      </c>
      <c r="O235" t="s">
        <v>265</v>
      </c>
      <c r="P235" t="s">
        <v>19</v>
      </c>
      <c r="Q235">
        <v>0.98599999999999999</v>
      </c>
      <c r="R235" t="s">
        <v>23</v>
      </c>
      <c r="S235">
        <v>4</v>
      </c>
    </row>
    <row r="236" spans="1:19">
      <c r="A236">
        <v>235</v>
      </c>
      <c r="B236" t="s">
        <v>300</v>
      </c>
      <c r="C236">
        <v>828.69280000000003</v>
      </c>
      <c r="D236">
        <v>305.89999999999998</v>
      </c>
      <c r="E236">
        <v>-0.76752146450701297</v>
      </c>
      <c r="F236" t="s">
        <v>18</v>
      </c>
      <c r="G236" t="s">
        <v>19</v>
      </c>
      <c r="H236">
        <v>1</v>
      </c>
      <c r="I236" t="s">
        <v>20</v>
      </c>
      <c r="J236" t="s">
        <v>19</v>
      </c>
      <c r="K236">
        <v>1</v>
      </c>
      <c r="L236" t="s">
        <v>56</v>
      </c>
      <c r="M236" t="s">
        <v>19</v>
      </c>
      <c r="N236">
        <v>1</v>
      </c>
      <c r="O236" t="s">
        <v>57</v>
      </c>
      <c r="P236" t="s">
        <v>19</v>
      </c>
      <c r="Q236">
        <v>0.72899999999999998</v>
      </c>
      <c r="R236" t="s">
        <v>23</v>
      </c>
      <c r="S236">
        <v>4</v>
      </c>
    </row>
    <row r="237" spans="1:19">
      <c r="A237">
        <v>236</v>
      </c>
      <c r="B237" t="s">
        <v>301</v>
      </c>
      <c r="C237">
        <v>789.47220000000004</v>
      </c>
      <c r="D237">
        <v>274.8</v>
      </c>
      <c r="E237">
        <v>-0.59071330067251904</v>
      </c>
      <c r="F237" t="s">
        <v>18</v>
      </c>
      <c r="G237" t="s">
        <v>19</v>
      </c>
      <c r="H237">
        <v>1</v>
      </c>
      <c r="I237" t="s">
        <v>39</v>
      </c>
      <c r="J237" t="s">
        <v>19</v>
      </c>
      <c r="K237">
        <v>0.77</v>
      </c>
      <c r="L237" t="s">
        <v>40</v>
      </c>
      <c r="M237" t="s">
        <v>19</v>
      </c>
      <c r="N237">
        <v>0.95</v>
      </c>
      <c r="O237" t="s">
        <v>41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302</v>
      </c>
      <c r="C238">
        <v>277.21640000000002</v>
      </c>
      <c r="D238">
        <v>174.5</v>
      </c>
      <c r="E238">
        <v>-0.90687349680530405</v>
      </c>
      <c r="F238" t="s">
        <v>18</v>
      </c>
      <c r="G238" t="s">
        <v>19</v>
      </c>
      <c r="H238">
        <v>1</v>
      </c>
      <c r="I238" t="s">
        <v>20</v>
      </c>
      <c r="J238" t="s">
        <v>19</v>
      </c>
      <c r="K238">
        <v>1</v>
      </c>
      <c r="L238" t="s">
        <v>30</v>
      </c>
      <c r="M238" t="s">
        <v>19</v>
      </c>
      <c r="N238">
        <v>1</v>
      </c>
      <c r="O238" t="s">
        <v>181</v>
      </c>
      <c r="P238" t="s">
        <v>19</v>
      </c>
      <c r="Q238">
        <v>0.94099999999999995</v>
      </c>
      <c r="R238" t="s">
        <v>23</v>
      </c>
      <c r="S238">
        <v>4</v>
      </c>
    </row>
    <row r="239" spans="1:19">
      <c r="A239">
        <v>238</v>
      </c>
      <c r="B239" t="s">
        <v>303</v>
      </c>
      <c r="C239">
        <v>814.53380000000004</v>
      </c>
      <c r="D239">
        <v>287.60000000000002</v>
      </c>
      <c r="E239">
        <v>-0.62433072311773696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0.99</v>
      </c>
      <c r="L239" t="s">
        <v>21</v>
      </c>
      <c r="M239" t="s">
        <v>19</v>
      </c>
      <c r="N239">
        <v>1</v>
      </c>
      <c r="O239" t="s">
        <v>22</v>
      </c>
      <c r="P239" t="s">
        <v>19</v>
      </c>
      <c r="Q239">
        <v>0.67500000000000004</v>
      </c>
      <c r="R239" t="s">
        <v>23</v>
      </c>
      <c r="S239">
        <v>4</v>
      </c>
    </row>
    <row r="240" spans="1:19">
      <c r="A240">
        <v>239</v>
      </c>
      <c r="B240" t="s">
        <v>304</v>
      </c>
      <c r="C240">
        <v>347.2586</v>
      </c>
      <c r="D240">
        <v>200.4</v>
      </c>
      <c r="E240">
        <v>-0.87086774403570599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1</v>
      </c>
      <c r="L240" t="s">
        <v>30</v>
      </c>
      <c r="M240" t="s">
        <v>19</v>
      </c>
      <c r="N240">
        <v>0.94</v>
      </c>
      <c r="O240" t="s">
        <v>67</v>
      </c>
      <c r="P240" t="s">
        <v>19</v>
      </c>
      <c r="Q240">
        <v>0.77300000000000002</v>
      </c>
      <c r="R240" t="s">
        <v>23</v>
      </c>
      <c r="S240">
        <v>4</v>
      </c>
    </row>
    <row r="241" spans="1:19">
      <c r="A241">
        <v>240</v>
      </c>
      <c r="B241" t="s">
        <v>246</v>
      </c>
      <c r="C241">
        <v>775.67960000000005</v>
      </c>
      <c r="D241">
        <v>208</v>
      </c>
      <c r="E241">
        <v>-0.81351345466043801</v>
      </c>
      <c r="F241" t="s">
        <v>18</v>
      </c>
      <c r="G241" t="s">
        <v>19</v>
      </c>
      <c r="H241">
        <v>1</v>
      </c>
      <c r="I241" t="s">
        <v>39</v>
      </c>
      <c r="J241" t="s">
        <v>19</v>
      </c>
      <c r="K241">
        <v>0.94</v>
      </c>
      <c r="L241" t="s">
        <v>40</v>
      </c>
      <c r="M241" t="s">
        <v>19</v>
      </c>
      <c r="N241">
        <v>0.97</v>
      </c>
      <c r="O241" t="s">
        <v>41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241</v>
      </c>
      <c r="B242" t="s">
        <v>305</v>
      </c>
      <c r="C242">
        <v>1431.9549999999999</v>
      </c>
      <c r="D242">
        <v>213.3</v>
      </c>
      <c r="E242">
        <v>-0.35614789787950901</v>
      </c>
      <c r="F242" t="s">
        <v>25</v>
      </c>
      <c r="G242" t="s">
        <v>19</v>
      </c>
      <c r="H242">
        <v>1</v>
      </c>
      <c r="I242" t="s">
        <v>26</v>
      </c>
      <c r="J242" t="s">
        <v>19</v>
      </c>
      <c r="K242">
        <v>1</v>
      </c>
      <c r="L242" t="s">
        <v>27</v>
      </c>
      <c r="M242" t="s">
        <v>19</v>
      </c>
      <c r="N242">
        <v>1</v>
      </c>
      <c r="O242" t="s">
        <v>28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242</v>
      </c>
      <c r="B243" t="s">
        <v>306</v>
      </c>
      <c r="C243">
        <v>846.65909999999997</v>
      </c>
      <c r="D243">
        <v>298.89999999999998</v>
      </c>
      <c r="E243">
        <v>-0.71376115777775295</v>
      </c>
      <c r="F243" t="s">
        <v>18</v>
      </c>
      <c r="G243" t="s">
        <v>19</v>
      </c>
      <c r="H243">
        <v>1</v>
      </c>
      <c r="I243" t="s">
        <v>20</v>
      </c>
      <c r="J243" t="s">
        <v>19</v>
      </c>
      <c r="K243">
        <v>1</v>
      </c>
      <c r="L243" t="s">
        <v>56</v>
      </c>
      <c r="M243" t="s">
        <v>19</v>
      </c>
      <c r="N243">
        <v>1</v>
      </c>
      <c r="O243" t="s">
        <v>57</v>
      </c>
      <c r="P243" t="s">
        <v>19</v>
      </c>
      <c r="Q243">
        <v>0.85299999999999998</v>
      </c>
      <c r="R243" t="s">
        <v>23</v>
      </c>
      <c r="S243">
        <v>4</v>
      </c>
    </row>
    <row r="244" spans="1:19">
      <c r="A244">
        <v>243</v>
      </c>
      <c r="B244" t="s">
        <v>307</v>
      </c>
      <c r="C244">
        <v>1921.9465</v>
      </c>
      <c r="D244">
        <v>364.49</v>
      </c>
      <c r="E244">
        <v>-0.80054694862064901</v>
      </c>
      <c r="F244" t="s">
        <v>18</v>
      </c>
      <c r="G244" t="s">
        <v>19</v>
      </c>
      <c r="H244">
        <v>1</v>
      </c>
      <c r="I244" t="s">
        <v>48</v>
      </c>
      <c r="J244" t="s">
        <v>19</v>
      </c>
      <c r="K244">
        <v>0.99</v>
      </c>
      <c r="L244" t="s">
        <v>49</v>
      </c>
      <c r="M244" t="s">
        <v>19</v>
      </c>
      <c r="N244">
        <v>1</v>
      </c>
      <c r="O244" t="s">
        <v>50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244</v>
      </c>
      <c r="B245" t="s">
        <v>255</v>
      </c>
      <c r="C245">
        <v>563.3614</v>
      </c>
      <c r="D245">
        <v>224.3</v>
      </c>
      <c r="E245">
        <v>-0.73237774815311196</v>
      </c>
      <c r="F245" t="s">
        <v>18</v>
      </c>
      <c r="G245" t="s">
        <v>19</v>
      </c>
      <c r="H245">
        <v>1</v>
      </c>
      <c r="I245" t="s">
        <v>20</v>
      </c>
      <c r="J245" t="s">
        <v>19</v>
      </c>
      <c r="K245">
        <v>0.73</v>
      </c>
      <c r="L245" t="s">
        <v>21</v>
      </c>
      <c r="M245" t="s">
        <v>19</v>
      </c>
      <c r="N245">
        <v>0.94</v>
      </c>
      <c r="O245" t="s">
        <v>110</v>
      </c>
      <c r="P245" t="s">
        <v>19</v>
      </c>
      <c r="Q245">
        <v>0.78200000000000003</v>
      </c>
      <c r="R245" t="s">
        <v>23</v>
      </c>
      <c r="S245">
        <v>4</v>
      </c>
    </row>
    <row r="246" spans="1:19">
      <c r="A246">
        <v>245</v>
      </c>
      <c r="B246" t="s">
        <v>308</v>
      </c>
      <c r="C246">
        <v>762.51170000000002</v>
      </c>
      <c r="D246">
        <v>274.7</v>
      </c>
      <c r="E246">
        <v>-0.66031609866490704</v>
      </c>
      <c r="F246" t="s">
        <v>18</v>
      </c>
      <c r="G246" t="s">
        <v>19</v>
      </c>
      <c r="H246">
        <v>1</v>
      </c>
      <c r="I246" t="s">
        <v>20</v>
      </c>
      <c r="J246" t="s">
        <v>19</v>
      </c>
      <c r="K246">
        <v>1</v>
      </c>
      <c r="L246" t="s">
        <v>21</v>
      </c>
      <c r="M246" t="s">
        <v>19</v>
      </c>
      <c r="N246">
        <v>1</v>
      </c>
      <c r="O246" t="s">
        <v>22</v>
      </c>
      <c r="P246" t="s">
        <v>19</v>
      </c>
      <c r="Q246">
        <v>0.97399999999999998</v>
      </c>
      <c r="R246" t="s">
        <v>23</v>
      </c>
      <c r="S246">
        <v>4</v>
      </c>
    </row>
    <row r="247" spans="1:19">
      <c r="A247">
        <v>246</v>
      </c>
      <c r="B247" t="s">
        <v>304</v>
      </c>
      <c r="C247">
        <v>371.25619999999998</v>
      </c>
      <c r="D247">
        <v>202.3</v>
      </c>
      <c r="E247">
        <v>-0.841673177721873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0.97</v>
      </c>
      <c r="L247" t="s">
        <v>30</v>
      </c>
      <c r="M247" t="s">
        <v>19</v>
      </c>
      <c r="N247">
        <v>0.7</v>
      </c>
      <c r="O247" t="s">
        <v>67</v>
      </c>
      <c r="P247" t="s">
        <v>19</v>
      </c>
      <c r="Q247">
        <v>0.746</v>
      </c>
      <c r="R247" t="s">
        <v>23</v>
      </c>
      <c r="S247">
        <v>4</v>
      </c>
    </row>
    <row r="248" spans="1:19">
      <c r="A248">
        <v>247</v>
      </c>
      <c r="B248" t="s">
        <v>161</v>
      </c>
      <c r="C248">
        <v>726.54809999999998</v>
      </c>
      <c r="D248">
        <v>269</v>
      </c>
      <c r="E248">
        <v>-0.73687132523264198</v>
      </c>
      <c r="F248" t="s">
        <v>18</v>
      </c>
      <c r="G248" t="s">
        <v>19</v>
      </c>
      <c r="H248">
        <v>1</v>
      </c>
      <c r="I248" t="s">
        <v>20</v>
      </c>
      <c r="J248" t="s">
        <v>19</v>
      </c>
      <c r="K248">
        <v>1</v>
      </c>
      <c r="L248" t="s">
        <v>21</v>
      </c>
      <c r="M248" t="s">
        <v>19</v>
      </c>
      <c r="N248">
        <v>1</v>
      </c>
      <c r="O248" t="s">
        <v>22</v>
      </c>
      <c r="P248" t="s">
        <v>19</v>
      </c>
      <c r="Q248">
        <v>0.98399999999999999</v>
      </c>
      <c r="R248" t="s">
        <v>23</v>
      </c>
      <c r="S248">
        <v>4</v>
      </c>
    </row>
    <row r="249" spans="1:19">
      <c r="A249">
        <v>248</v>
      </c>
      <c r="B249" t="s">
        <v>249</v>
      </c>
      <c r="C249">
        <v>348.07089999999999</v>
      </c>
      <c r="D249">
        <v>177.3</v>
      </c>
      <c r="E249">
        <v>-0.68226076891249898</v>
      </c>
      <c r="F249" t="s">
        <v>18</v>
      </c>
      <c r="G249" t="s">
        <v>19</v>
      </c>
      <c r="H249">
        <v>1</v>
      </c>
      <c r="I249" t="s">
        <v>52</v>
      </c>
      <c r="J249" t="s">
        <v>19</v>
      </c>
      <c r="K249">
        <v>0.87</v>
      </c>
      <c r="L249" t="s">
        <v>53</v>
      </c>
      <c r="M249" t="s">
        <v>19</v>
      </c>
      <c r="N249">
        <v>1</v>
      </c>
      <c r="O249" t="s">
        <v>54</v>
      </c>
      <c r="P249" t="s">
        <v>19</v>
      </c>
      <c r="Q249">
        <v>0.59699999999999998</v>
      </c>
      <c r="R249" t="s">
        <v>23</v>
      </c>
      <c r="S249">
        <v>4</v>
      </c>
    </row>
    <row r="250" spans="1:19">
      <c r="A250">
        <v>249</v>
      </c>
      <c r="B250" t="s">
        <v>309</v>
      </c>
      <c r="C250">
        <v>838.53380000000004</v>
      </c>
      <c r="D250">
        <v>290.7</v>
      </c>
      <c r="E250">
        <v>-0.59753347707931004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0.9</v>
      </c>
      <c r="L250" t="s">
        <v>21</v>
      </c>
      <c r="M250" t="s">
        <v>19</v>
      </c>
      <c r="N250">
        <v>1</v>
      </c>
      <c r="O250" t="s">
        <v>22</v>
      </c>
      <c r="P250" t="s">
        <v>19</v>
      </c>
      <c r="Q250">
        <v>0.71499999999999997</v>
      </c>
      <c r="R250" t="s">
        <v>23</v>
      </c>
      <c r="S250">
        <v>4</v>
      </c>
    </row>
    <row r="251" spans="1:19">
      <c r="A251">
        <v>250</v>
      </c>
      <c r="B251" t="s">
        <v>118</v>
      </c>
      <c r="C251">
        <v>170.04169999999999</v>
      </c>
      <c r="D251">
        <v>134.80000000000001</v>
      </c>
      <c r="E251">
        <v>-0.85183961367979999</v>
      </c>
      <c r="F251" t="s">
        <v>18</v>
      </c>
      <c r="G251" t="s">
        <v>19</v>
      </c>
      <c r="H251">
        <v>1</v>
      </c>
      <c r="I251" t="s">
        <v>39</v>
      </c>
      <c r="J251" t="s">
        <v>19</v>
      </c>
      <c r="K251">
        <v>0.88</v>
      </c>
      <c r="L251" t="s">
        <v>40</v>
      </c>
      <c r="M251" t="s">
        <v>19</v>
      </c>
      <c r="N251">
        <v>1</v>
      </c>
      <c r="O251" t="s">
        <v>41</v>
      </c>
      <c r="P251" t="s">
        <v>19</v>
      </c>
      <c r="Q251">
        <v>1</v>
      </c>
      <c r="R251" t="s">
        <v>23</v>
      </c>
      <c r="S251">
        <v>4</v>
      </c>
    </row>
    <row r="252" spans="1:19">
      <c r="A252">
        <v>251</v>
      </c>
      <c r="B252" t="s">
        <v>310</v>
      </c>
      <c r="C252">
        <v>764.52059999999994</v>
      </c>
      <c r="D252">
        <v>278.7</v>
      </c>
      <c r="E252">
        <v>-0.66697305751620195</v>
      </c>
      <c r="F252" t="s">
        <v>18</v>
      </c>
      <c r="G252" t="s">
        <v>19</v>
      </c>
      <c r="H252">
        <v>1</v>
      </c>
      <c r="I252" t="s">
        <v>20</v>
      </c>
      <c r="J252" t="s">
        <v>19</v>
      </c>
      <c r="K252">
        <v>1</v>
      </c>
      <c r="L252" t="s">
        <v>21</v>
      </c>
      <c r="M252" t="s">
        <v>19</v>
      </c>
      <c r="N252">
        <v>1</v>
      </c>
      <c r="O252" t="s">
        <v>22</v>
      </c>
      <c r="P252" t="s">
        <v>19</v>
      </c>
      <c r="Q252">
        <v>0.91900000000000004</v>
      </c>
      <c r="R252" t="s">
        <v>23</v>
      </c>
      <c r="S252">
        <v>4</v>
      </c>
    </row>
    <row r="253" spans="1:19">
      <c r="A253">
        <v>252</v>
      </c>
      <c r="B253" t="s">
        <v>81</v>
      </c>
      <c r="C253">
        <v>556.27710000000002</v>
      </c>
      <c r="D253">
        <v>228.8</v>
      </c>
      <c r="E253">
        <v>-0.65598773690771806</v>
      </c>
      <c r="F253" t="s">
        <v>18</v>
      </c>
      <c r="G253" t="s">
        <v>19</v>
      </c>
      <c r="H253">
        <v>1</v>
      </c>
      <c r="I253" t="s">
        <v>39</v>
      </c>
      <c r="J253" t="s">
        <v>19</v>
      </c>
      <c r="K253">
        <v>0.92</v>
      </c>
      <c r="L253" t="s">
        <v>40</v>
      </c>
      <c r="M253" t="s">
        <v>19</v>
      </c>
      <c r="N253">
        <v>0.99</v>
      </c>
      <c r="O253" t="s">
        <v>41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253</v>
      </c>
      <c r="B254" t="s">
        <v>311</v>
      </c>
      <c r="C254">
        <v>782.65099999999995</v>
      </c>
      <c r="D254">
        <v>295.10000000000002</v>
      </c>
      <c r="E254">
        <v>-0.77712952461729401</v>
      </c>
      <c r="F254" t="s">
        <v>18</v>
      </c>
      <c r="G254" t="s">
        <v>19</v>
      </c>
      <c r="H254">
        <v>1</v>
      </c>
      <c r="I254" t="s">
        <v>20</v>
      </c>
      <c r="J254" t="s">
        <v>19</v>
      </c>
      <c r="K254">
        <v>1</v>
      </c>
      <c r="L254" t="s">
        <v>56</v>
      </c>
      <c r="M254" t="s">
        <v>19</v>
      </c>
      <c r="N254">
        <v>0.99</v>
      </c>
      <c r="O254" t="s">
        <v>57</v>
      </c>
      <c r="P254" t="s">
        <v>19</v>
      </c>
      <c r="Q254">
        <v>0.82</v>
      </c>
      <c r="R254" t="s">
        <v>23</v>
      </c>
      <c r="S254">
        <v>4</v>
      </c>
    </row>
    <row r="255" spans="1:19">
      <c r="A255">
        <v>254</v>
      </c>
      <c r="B255" t="s">
        <v>312</v>
      </c>
      <c r="C255">
        <v>111.0201</v>
      </c>
      <c r="D255">
        <v>113.5</v>
      </c>
      <c r="E255">
        <v>-0.89614029437893805</v>
      </c>
      <c r="F255" t="s">
        <v>18</v>
      </c>
      <c r="G255" t="s">
        <v>19</v>
      </c>
      <c r="H255">
        <v>1</v>
      </c>
      <c r="I255" t="s">
        <v>59</v>
      </c>
      <c r="J255" t="s">
        <v>19</v>
      </c>
      <c r="K255">
        <v>0.67</v>
      </c>
      <c r="L255" t="s">
        <v>151</v>
      </c>
      <c r="M255" t="s">
        <v>19</v>
      </c>
      <c r="N255">
        <v>0.78</v>
      </c>
      <c r="O255" t="s">
        <v>152</v>
      </c>
      <c r="P255" t="s">
        <v>19</v>
      </c>
      <c r="Q255">
        <v>0.999</v>
      </c>
      <c r="R255" t="s">
        <v>23</v>
      </c>
      <c r="S255">
        <v>4</v>
      </c>
    </row>
    <row r="256" spans="1:19">
      <c r="A256">
        <v>255</v>
      </c>
      <c r="B256" t="s">
        <v>313</v>
      </c>
      <c r="C256">
        <v>830.5951</v>
      </c>
      <c r="D256">
        <v>295.5</v>
      </c>
      <c r="E256">
        <v>-0.66769744779276197</v>
      </c>
      <c r="F256" t="s">
        <v>18</v>
      </c>
      <c r="G256" t="s">
        <v>19</v>
      </c>
      <c r="H256">
        <v>1</v>
      </c>
      <c r="I256" t="s">
        <v>20</v>
      </c>
      <c r="J256" t="s">
        <v>19</v>
      </c>
      <c r="K256">
        <v>1</v>
      </c>
      <c r="L256" t="s">
        <v>21</v>
      </c>
      <c r="M256" t="s">
        <v>19</v>
      </c>
      <c r="N256">
        <v>1</v>
      </c>
      <c r="O256" t="s">
        <v>110</v>
      </c>
      <c r="P256" t="s">
        <v>19</v>
      </c>
      <c r="Q256">
        <v>0.88500000000000001</v>
      </c>
      <c r="R256" t="s">
        <v>23</v>
      </c>
      <c r="S256">
        <v>4</v>
      </c>
    </row>
    <row r="257" spans="1:19">
      <c r="A257">
        <v>256</v>
      </c>
      <c r="B257" t="s">
        <v>314</v>
      </c>
      <c r="C257">
        <v>151.06059999999999</v>
      </c>
      <c r="D257">
        <v>126.2</v>
      </c>
      <c r="E257">
        <v>-0.89193299729561204</v>
      </c>
      <c r="F257" t="s">
        <v>18</v>
      </c>
      <c r="G257" t="s">
        <v>19</v>
      </c>
      <c r="H257">
        <v>1</v>
      </c>
      <c r="I257" t="s">
        <v>43</v>
      </c>
      <c r="J257" t="s">
        <v>19</v>
      </c>
      <c r="K257">
        <v>0.81</v>
      </c>
      <c r="L257" t="s">
        <v>44</v>
      </c>
      <c r="M257" t="s">
        <v>19</v>
      </c>
      <c r="N257">
        <v>1</v>
      </c>
      <c r="O257" t="s">
        <v>45</v>
      </c>
      <c r="P257" t="s">
        <v>19</v>
      </c>
      <c r="Q257">
        <v>0.99299999999999999</v>
      </c>
      <c r="R257" t="s">
        <v>23</v>
      </c>
      <c r="S257">
        <v>4</v>
      </c>
    </row>
    <row r="258" spans="1:19">
      <c r="A258">
        <v>257</v>
      </c>
      <c r="B258" t="s">
        <v>315</v>
      </c>
      <c r="C258">
        <v>547.32929999999999</v>
      </c>
      <c r="D258">
        <v>360.4</v>
      </c>
      <c r="E258">
        <v>-0.71817842016184796</v>
      </c>
      <c r="F258" t="s">
        <v>18</v>
      </c>
      <c r="G258" t="s">
        <v>19</v>
      </c>
      <c r="H258">
        <v>1</v>
      </c>
      <c r="I258" t="s">
        <v>39</v>
      </c>
      <c r="J258" t="s">
        <v>19</v>
      </c>
      <c r="K258">
        <v>0.99</v>
      </c>
      <c r="L258" t="s">
        <v>40</v>
      </c>
      <c r="M258" t="s">
        <v>19</v>
      </c>
      <c r="N258">
        <v>0.82</v>
      </c>
      <c r="O258" t="s">
        <v>41</v>
      </c>
      <c r="P258" t="s">
        <v>19</v>
      </c>
      <c r="Q258">
        <v>1</v>
      </c>
      <c r="R258" t="s">
        <v>23</v>
      </c>
      <c r="S258">
        <v>4</v>
      </c>
    </row>
    <row r="259" spans="1:19">
      <c r="A259">
        <v>258</v>
      </c>
      <c r="B259" t="s">
        <v>316</v>
      </c>
      <c r="C259">
        <v>171.00710000000001</v>
      </c>
      <c r="D259">
        <v>126.5</v>
      </c>
      <c r="E259">
        <v>-0.81616169445794595</v>
      </c>
      <c r="F259" t="s">
        <v>18</v>
      </c>
      <c r="G259" t="s">
        <v>19</v>
      </c>
      <c r="H259">
        <v>1</v>
      </c>
      <c r="I259" t="s">
        <v>20</v>
      </c>
      <c r="J259" t="s">
        <v>19</v>
      </c>
      <c r="K259">
        <v>0.86</v>
      </c>
      <c r="L259" t="s">
        <v>21</v>
      </c>
      <c r="M259" t="s">
        <v>19</v>
      </c>
      <c r="N259">
        <v>0.76</v>
      </c>
      <c r="O259" t="s">
        <v>94</v>
      </c>
      <c r="P259" t="s">
        <v>19</v>
      </c>
      <c r="Q259">
        <v>0.96499999999999997</v>
      </c>
      <c r="R259" t="s">
        <v>23</v>
      </c>
      <c r="S259">
        <v>4</v>
      </c>
    </row>
    <row r="260" spans="1:19">
      <c r="A260">
        <v>259</v>
      </c>
      <c r="B260" t="s">
        <v>317</v>
      </c>
      <c r="C260">
        <v>779.44839999999999</v>
      </c>
      <c r="D260">
        <v>274.89999999999998</v>
      </c>
      <c r="E260">
        <v>-0.57810539379079295</v>
      </c>
      <c r="F260" t="s">
        <v>18</v>
      </c>
      <c r="G260" t="s">
        <v>19</v>
      </c>
      <c r="H260">
        <v>1</v>
      </c>
      <c r="I260" t="s">
        <v>39</v>
      </c>
      <c r="J260" t="s">
        <v>19</v>
      </c>
      <c r="K260">
        <v>0.86</v>
      </c>
      <c r="L260" t="s">
        <v>40</v>
      </c>
      <c r="M260" t="s">
        <v>19</v>
      </c>
      <c r="N260">
        <v>0.96</v>
      </c>
      <c r="O260" t="s">
        <v>41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260</v>
      </c>
      <c r="B261" t="s">
        <v>312</v>
      </c>
      <c r="C261">
        <v>113.0351</v>
      </c>
      <c r="D261">
        <v>126.2</v>
      </c>
      <c r="E261">
        <v>-0.90889044226362603</v>
      </c>
      <c r="F261" t="s">
        <v>18</v>
      </c>
      <c r="G261" t="s">
        <v>19</v>
      </c>
      <c r="H261">
        <v>1</v>
      </c>
      <c r="I261" t="s">
        <v>59</v>
      </c>
      <c r="J261" t="s">
        <v>19</v>
      </c>
      <c r="K261">
        <v>0.77</v>
      </c>
      <c r="L261" t="s">
        <v>151</v>
      </c>
      <c r="M261" t="s">
        <v>19</v>
      </c>
      <c r="N261">
        <v>0.7</v>
      </c>
      <c r="O261" t="s">
        <v>152</v>
      </c>
      <c r="P261" t="s">
        <v>19</v>
      </c>
      <c r="Q261">
        <v>1</v>
      </c>
      <c r="R261" t="s">
        <v>23</v>
      </c>
      <c r="S261">
        <v>4</v>
      </c>
    </row>
    <row r="262" spans="1:19">
      <c r="A262">
        <v>261</v>
      </c>
      <c r="B262" t="s">
        <v>318</v>
      </c>
      <c r="C262">
        <v>2421.9144999999999</v>
      </c>
      <c r="D262">
        <v>411.2</v>
      </c>
      <c r="E262">
        <v>-0.21030671914922999</v>
      </c>
      <c r="F262" t="s">
        <v>18</v>
      </c>
      <c r="G262" t="s">
        <v>19</v>
      </c>
      <c r="H262">
        <v>0.998</v>
      </c>
      <c r="I262" t="s">
        <v>48</v>
      </c>
      <c r="J262" t="s">
        <v>19</v>
      </c>
      <c r="K262">
        <v>1</v>
      </c>
      <c r="L262" t="s">
        <v>49</v>
      </c>
      <c r="M262" t="s">
        <v>19</v>
      </c>
      <c r="N262">
        <v>1</v>
      </c>
      <c r="O262" t="s">
        <v>50</v>
      </c>
      <c r="P262" t="s">
        <v>19</v>
      </c>
      <c r="Q262">
        <v>1</v>
      </c>
      <c r="R262" t="s">
        <v>23</v>
      </c>
      <c r="S262">
        <v>4</v>
      </c>
    </row>
    <row r="263" spans="1:19">
      <c r="A263">
        <v>262</v>
      </c>
      <c r="B263" t="s">
        <v>319</v>
      </c>
      <c r="C263">
        <v>202.08680000000001</v>
      </c>
      <c r="D263">
        <v>145.80000000000001</v>
      </c>
      <c r="E263">
        <v>-0.86115959580379797</v>
      </c>
      <c r="F263" t="s">
        <v>18</v>
      </c>
      <c r="G263" t="s">
        <v>19</v>
      </c>
      <c r="H263">
        <v>1</v>
      </c>
      <c r="I263" t="s">
        <v>59</v>
      </c>
      <c r="J263" t="s">
        <v>19</v>
      </c>
      <c r="K263">
        <v>0.75</v>
      </c>
      <c r="L263" t="s">
        <v>91</v>
      </c>
      <c r="M263" t="s">
        <v>19</v>
      </c>
      <c r="N263">
        <v>0.95</v>
      </c>
      <c r="O263" t="s">
        <v>223</v>
      </c>
      <c r="P263" t="s">
        <v>19</v>
      </c>
      <c r="Q263">
        <v>0.91100000000000003</v>
      </c>
      <c r="R263" t="s">
        <v>23</v>
      </c>
      <c r="S263">
        <v>4</v>
      </c>
    </row>
    <row r="264" spans="1:19">
      <c r="A264">
        <v>263</v>
      </c>
      <c r="B264" t="s">
        <v>320</v>
      </c>
      <c r="C264">
        <v>244.08160000000001</v>
      </c>
      <c r="D264">
        <v>150</v>
      </c>
      <c r="E264">
        <v>-0.80907022130662698</v>
      </c>
      <c r="F264" t="s">
        <v>18</v>
      </c>
      <c r="G264" t="s">
        <v>19</v>
      </c>
      <c r="H264">
        <v>1</v>
      </c>
      <c r="I264" t="s">
        <v>43</v>
      </c>
      <c r="J264" t="s">
        <v>19</v>
      </c>
      <c r="K264">
        <v>0.84</v>
      </c>
      <c r="L264" t="s">
        <v>44</v>
      </c>
      <c r="M264" t="s">
        <v>19</v>
      </c>
      <c r="N264">
        <v>1</v>
      </c>
      <c r="O264" t="s">
        <v>45</v>
      </c>
      <c r="P264" t="s">
        <v>19</v>
      </c>
      <c r="Q264">
        <v>0.95299999999999996</v>
      </c>
      <c r="R264" t="s">
        <v>23</v>
      </c>
      <c r="S264">
        <v>4</v>
      </c>
    </row>
    <row r="265" spans="1:19">
      <c r="A265">
        <v>264</v>
      </c>
      <c r="B265" t="s">
        <v>321</v>
      </c>
      <c r="C265">
        <v>271.26249999999999</v>
      </c>
      <c r="D265">
        <v>189.6</v>
      </c>
      <c r="E265">
        <v>-0.95962133527137905</v>
      </c>
      <c r="F265" t="s">
        <v>18</v>
      </c>
      <c r="G265" t="s">
        <v>19</v>
      </c>
      <c r="H265">
        <v>1</v>
      </c>
      <c r="I265" t="s">
        <v>20</v>
      </c>
      <c r="J265" t="s">
        <v>19</v>
      </c>
      <c r="K265">
        <v>0.94</v>
      </c>
      <c r="L265" t="s">
        <v>30</v>
      </c>
      <c r="M265" t="s">
        <v>19</v>
      </c>
      <c r="N265">
        <v>0.9</v>
      </c>
      <c r="O265" t="s">
        <v>67</v>
      </c>
      <c r="P265" t="s">
        <v>19</v>
      </c>
      <c r="Q265">
        <v>0.97299999999999998</v>
      </c>
      <c r="R265" t="s">
        <v>23</v>
      </c>
      <c r="S265">
        <v>4</v>
      </c>
    </row>
    <row r="266" spans="1:19">
      <c r="A266">
        <v>265</v>
      </c>
      <c r="B266" t="s">
        <v>322</v>
      </c>
      <c r="C266">
        <v>209.09129999999999</v>
      </c>
      <c r="D266">
        <v>149.6</v>
      </c>
      <c r="E266">
        <v>-0.857838707892284</v>
      </c>
      <c r="F266" t="s">
        <v>18</v>
      </c>
      <c r="G266" t="s">
        <v>19</v>
      </c>
      <c r="H266">
        <v>1</v>
      </c>
      <c r="I266" t="s">
        <v>43</v>
      </c>
      <c r="J266" t="s">
        <v>19</v>
      </c>
      <c r="K266">
        <v>0.85</v>
      </c>
      <c r="L266" t="s">
        <v>44</v>
      </c>
      <c r="M266" t="s">
        <v>19</v>
      </c>
      <c r="N266">
        <v>1</v>
      </c>
      <c r="O266" t="s">
        <v>167</v>
      </c>
      <c r="P266" t="s">
        <v>19</v>
      </c>
      <c r="Q266">
        <v>0.88100000000000001</v>
      </c>
      <c r="R266" t="s">
        <v>23</v>
      </c>
      <c r="S266">
        <v>4</v>
      </c>
    </row>
    <row r="267" spans="1:19">
      <c r="A267">
        <v>266</v>
      </c>
      <c r="B267" t="s">
        <v>323</v>
      </c>
      <c r="C267">
        <v>153.0538</v>
      </c>
      <c r="D267">
        <v>127.4</v>
      </c>
      <c r="E267">
        <v>-0.88290748601212998</v>
      </c>
      <c r="F267" t="s">
        <v>18</v>
      </c>
      <c r="G267" t="s">
        <v>19</v>
      </c>
      <c r="H267">
        <v>1</v>
      </c>
      <c r="I267" t="s">
        <v>39</v>
      </c>
      <c r="J267" t="s">
        <v>19</v>
      </c>
      <c r="K267">
        <v>0.94</v>
      </c>
      <c r="L267" t="s">
        <v>40</v>
      </c>
      <c r="M267" t="s">
        <v>19</v>
      </c>
      <c r="N267">
        <v>1</v>
      </c>
      <c r="O267" t="s">
        <v>41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267</v>
      </c>
      <c r="B268" t="s">
        <v>324</v>
      </c>
      <c r="C268">
        <v>578.24580000000003</v>
      </c>
      <c r="D268">
        <v>221</v>
      </c>
      <c r="E268">
        <v>-0.60015854278083203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0.65</v>
      </c>
      <c r="L268" t="s">
        <v>85</v>
      </c>
      <c r="M268" t="s">
        <v>19</v>
      </c>
      <c r="N268">
        <v>0.84</v>
      </c>
      <c r="O268" t="s">
        <v>86</v>
      </c>
      <c r="P268" t="s">
        <v>19</v>
      </c>
      <c r="Q268">
        <v>0.92200000000000004</v>
      </c>
      <c r="R268" t="s">
        <v>23</v>
      </c>
      <c r="S268">
        <v>4</v>
      </c>
    </row>
    <row r="269" spans="1:19">
      <c r="A269">
        <v>268</v>
      </c>
      <c r="B269" t="s">
        <v>325</v>
      </c>
      <c r="C269">
        <v>753.6105</v>
      </c>
      <c r="D269">
        <v>285.39999999999998</v>
      </c>
      <c r="E269">
        <v>-0.76905475059970696</v>
      </c>
      <c r="F269" t="s">
        <v>18</v>
      </c>
      <c r="G269" t="s">
        <v>19</v>
      </c>
      <c r="H269">
        <v>1</v>
      </c>
      <c r="I269" t="s">
        <v>20</v>
      </c>
      <c r="J269" t="s">
        <v>19</v>
      </c>
      <c r="K269">
        <v>1</v>
      </c>
      <c r="L269" t="s">
        <v>21</v>
      </c>
      <c r="M269" t="s">
        <v>19</v>
      </c>
      <c r="N269">
        <v>0.7</v>
      </c>
      <c r="O269" t="s">
        <v>110</v>
      </c>
      <c r="P269" t="s">
        <v>19</v>
      </c>
      <c r="Q269">
        <v>0.76500000000000001</v>
      </c>
      <c r="R269" t="s">
        <v>23</v>
      </c>
      <c r="S269">
        <v>4</v>
      </c>
    </row>
    <row r="270" spans="1:19">
      <c r="A270">
        <v>269</v>
      </c>
      <c r="B270" t="s">
        <v>325</v>
      </c>
      <c r="C270">
        <v>811.61839999999995</v>
      </c>
      <c r="D270">
        <v>292.60000000000002</v>
      </c>
      <c r="E270">
        <v>-0.71218591858007596</v>
      </c>
      <c r="F270" t="s">
        <v>18</v>
      </c>
      <c r="G270" t="s">
        <v>19</v>
      </c>
      <c r="H270">
        <v>1</v>
      </c>
      <c r="I270" t="s">
        <v>20</v>
      </c>
      <c r="J270" t="s">
        <v>19</v>
      </c>
      <c r="K270">
        <v>1</v>
      </c>
      <c r="L270" t="s">
        <v>21</v>
      </c>
      <c r="M270" t="s">
        <v>19</v>
      </c>
      <c r="N270">
        <v>0.57999999999999996</v>
      </c>
      <c r="O270" t="s">
        <v>110</v>
      </c>
      <c r="P270" t="s">
        <v>19</v>
      </c>
      <c r="Q270">
        <v>0.98</v>
      </c>
      <c r="R270" t="s">
        <v>23</v>
      </c>
      <c r="S270">
        <v>4</v>
      </c>
    </row>
    <row r="271" spans="1:19">
      <c r="A271">
        <v>270</v>
      </c>
      <c r="B271" t="s">
        <v>326</v>
      </c>
      <c r="C271">
        <v>829.83569999999997</v>
      </c>
      <c r="D271">
        <v>424.7</v>
      </c>
      <c r="E271">
        <v>-0.90914535731951696</v>
      </c>
      <c r="F271" t="s">
        <v>18</v>
      </c>
      <c r="G271" t="s">
        <v>19</v>
      </c>
      <c r="H271">
        <v>1</v>
      </c>
      <c r="I271" t="s">
        <v>39</v>
      </c>
      <c r="J271" t="s">
        <v>19</v>
      </c>
      <c r="K271">
        <v>1</v>
      </c>
      <c r="L271" t="s">
        <v>138</v>
      </c>
      <c r="M271" t="s">
        <v>19</v>
      </c>
      <c r="N271">
        <v>0.73</v>
      </c>
      <c r="O271" t="s">
        <v>184</v>
      </c>
      <c r="P271" t="s">
        <v>19</v>
      </c>
      <c r="Q271">
        <v>0.93</v>
      </c>
      <c r="R271" t="s">
        <v>23</v>
      </c>
      <c r="S271">
        <v>4</v>
      </c>
    </row>
    <row r="272" spans="1:19">
      <c r="A272">
        <v>271</v>
      </c>
      <c r="B272" t="s">
        <v>187</v>
      </c>
      <c r="C272">
        <v>182.04519999999999</v>
      </c>
      <c r="D272">
        <v>130.9</v>
      </c>
      <c r="E272">
        <v>-0.84193708272891898</v>
      </c>
      <c r="F272" t="s">
        <v>18</v>
      </c>
      <c r="G272" t="s">
        <v>19</v>
      </c>
      <c r="H272">
        <v>1</v>
      </c>
      <c r="I272" t="s">
        <v>59</v>
      </c>
      <c r="J272" t="s">
        <v>19</v>
      </c>
      <c r="K272">
        <v>0.71</v>
      </c>
      <c r="L272" t="s">
        <v>188</v>
      </c>
      <c r="M272" t="s">
        <v>19</v>
      </c>
      <c r="N272">
        <v>0.61</v>
      </c>
      <c r="O272" t="s">
        <v>189</v>
      </c>
      <c r="P272" t="s">
        <v>19</v>
      </c>
      <c r="Q272">
        <v>0.80700000000000005</v>
      </c>
      <c r="R272" t="s">
        <v>23</v>
      </c>
      <c r="S272">
        <v>4</v>
      </c>
    </row>
    <row r="273" spans="1:19">
      <c r="A273">
        <v>272</v>
      </c>
      <c r="B273" t="s">
        <v>327</v>
      </c>
      <c r="C273">
        <v>796.58320000000003</v>
      </c>
      <c r="D273">
        <v>287.10000000000002</v>
      </c>
      <c r="E273">
        <v>-0.693773499981717</v>
      </c>
      <c r="F273" t="s">
        <v>18</v>
      </c>
      <c r="G273" t="s">
        <v>19</v>
      </c>
      <c r="H273">
        <v>1</v>
      </c>
      <c r="I273" t="s">
        <v>20</v>
      </c>
      <c r="J273" t="s">
        <v>19</v>
      </c>
      <c r="K273">
        <v>1</v>
      </c>
      <c r="L273" t="s">
        <v>21</v>
      </c>
      <c r="M273" t="s">
        <v>19</v>
      </c>
      <c r="N273">
        <v>1</v>
      </c>
      <c r="O273" t="s">
        <v>22</v>
      </c>
      <c r="P273" t="s">
        <v>19</v>
      </c>
      <c r="Q273">
        <v>0.52200000000000002</v>
      </c>
      <c r="R273" t="s">
        <v>23</v>
      </c>
      <c r="S273">
        <v>4</v>
      </c>
    </row>
    <row r="274" spans="1:19">
      <c r="A274">
        <v>273</v>
      </c>
      <c r="B274" t="s">
        <v>328</v>
      </c>
      <c r="C274">
        <v>203.05260000000001</v>
      </c>
      <c r="D274">
        <v>147.1</v>
      </c>
      <c r="E274">
        <v>-0.82588122996114099</v>
      </c>
      <c r="F274" t="s">
        <v>18</v>
      </c>
      <c r="G274" t="s">
        <v>19</v>
      </c>
      <c r="H274">
        <v>1</v>
      </c>
      <c r="I274" t="s">
        <v>43</v>
      </c>
      <c r="J274" t="s">
        <v>19</v>
      </c>
      <c r="K274">
        <v>0.82</v>
      </c>
      <c r="L274" t="s">
        <v>44</v>
      </c>
      <c r="M274" t="s">
        <v>19</v>
      </c>
      <c r="N274">
        <v>1</v>
      </c>
      <c r="O274" t="s">
        <v>45</v>
      </c>
      <c r="P274" t="s">
        <v>19</v>
      </c>
      <c r="Q274">
        <v>0.97399999999999998</v>
      </c>
      <c r="R274" t="s">
        <v>23</v>
      </c>
      <c r="S274">
        <v>4</v>
      </c>
    </row>
    <row r="275" spans="1:19">
      <c r="A275">
        <v>274</v>
      </c>
      <c r="B275" t="s">
        <v>170</v>
      </c>
      <c r="C275">
        <v>198.03559999999999</v>
      </c>
      <c r="D275">
        <v>139.30000000000001</v>
      </c>
      <c r="E275">
        <v>-0.81448297093507405</v>
      </c>
      <c r="F275" t="s">
        <v>18</v>
      </c>
      <c r="G275" t="s">
        <v>19</v>
      </c>
      <c r="H275">
        <v>1</v>
      </c>
      <c r="I275" t="s">
        <v>39</v>
      </c>
      <c r="J275" t="s">
        <v>19</v>
      </c>
      <c r="K275">
        <v>0.77</v>
      </c>
      <c r="L275" t="s">
        <v>40</v>
      </c>
      <c r="M275" t="s">
        <v>19</v>
      </c>
      <c r="N275">
        <v>1</v>
      </c>
      <c r="O275" t="s">
        <v>41</v>
      </c>
      <c r="P275" t="s">
        <v>19</v>
      </c>
      <c r="Q275">
        <v>0.93300000000000005</v>
      </c>
      <c r="R275" t="s">
        <v>23</v>
      </c>
      <c r="S275">
        <v>4</v>
      </c>
    </row>
    <row r="276" spans="1:19">
      <c r="A276">
        <v>275</v>
      </c>
      <c r="B276" t="s">
        <v>329</v>
      </c>
      <c r="C276">
        <v>174.05670000000001</v>
      </c>
      <c r="D276">
        <v>132.30000000000001</v>
      </c>
      <c r="E276">
        <v>-0.86235665772798598</v>
      </c>
      <c r="F276" t="s">
        <v>18</v>
      </c>
      <c r="G276" t="s">
        <v>19</v>
      </c>
      <c r="H276">
        <v>1</v>
      </c>
      <c r="I276" t="s">
        <v>59</v>
      </c>
      <c r="J276" t="s">
        <v>19</v>
      </c>
      <c r="K276">
        <v>0.76</v>
      </c>
      <c r="L276" t="s">
        <v>60</v>
      </c>
      <c r="M276" t="s">
        <v>19</v>
      </c>
      <c r="N276">
        <v>0.7</v>
      </c>
      <c r="O276" t="s">
        <v>61</v>
      </c>
      <c r="P276" t="s">
        <v>19</v>
      </c>
      <c r="Q276">
        <v>0.97599999999999998</v>
      </c>
      <c r="R276" t="s">
        <v>23</v>
      </c>
      <c r="S276">
        <v>4</v>
      </c>
    </row>
    <row r="277" spans="1:19">
      <c r="A277">
        <v>276</v>
      </c>
      <c r="B277" t="s">
        <v>217</v>
      </c>
      <c r="C277">
        <v>748.5856</v>
      </c>
      <c r="D277">
        <v>286.10000000000002</v>
      </c>
      <c r="E277">
        <v>-0.74976531233380705</v>
      </c>
      <c r="F277" t="s">
        <v>18</v>
      </c>
      <c r="G277" t="s">
        <v>19</v>
      </c>
      <c r="H277">
        <v>1</v>
      </c>
      <c r="I277" t="s">
        <v>20</v>
      </c>
      <c r="J277" t="s">
        <v>19</v>
      </c>
      <c r="K277">
        <v>1</v>
      </c>
      <c r="L277" t="s">
        <v>21</v>
      </c>
      <c r="M277" t="s">
        <v>19</v>
      </c>
      <c r="N277">
        <v>0.69</v>
      </c>
      <c r="O277" t="s">
        <v>22</v>
      </c>
      <c r="P277" t="s">
        <v>19</v>
      </c>
      <c r="Q277">
        <v>0.64600000000000002</v>
      </c>
      <c r="R277" t="s">
        <v>23</v>
      </c>
      <c r="S277">
        <v>4</v>
      </c>
    </row>
    <row r="278" spans="1:19">
      <c r="A278">
        <v>277</v>
      </c>
      <c r="B278" t="s">
        <v>330</v>
      </c>
      <c r="C278">
        <v>830.67660000000001</v>
      </c>
      <c r="D278">
        <v>298.10000000000002</v>
      </c>
      <c r="E278">
        <v>-0.749106448811517</v>
      </c>
      <c r="F278" t="s">
        <v>18</v>
      </c>
      <c r="G278" t="s">
        <v>19</v>
      </c>
      <c r="H278">
        <v>1</v>
      </c>
      <c r="I278" t="s">
        <v>20</v>
      </c>
      <c r="J278" t="s">
        <v>19</v>
      </c>
      <c r="K278">
        <v>1</v>
      </c>
      <c r="L278" t="s">
        <v>56</v>
      </c>
      <c r="M278" t="s">
        <v>19</v>
      </c>
      <c r="N278">
        <v>0.93</v>
      </c>
      <c r="O278" t="s">
        <v>57</v>
      </c>
      <c r="P278" t="s">
        <v>19</v>
      </c>
      <c r="Q278">
        <v>0.93799999999999994</v>
      </c>
      <c r="R278" t="s">
        <v>23</v>
      </c>
      <c r="S278">
        <v>4</v>
      </c>
    </row>
    <row r="279" spans="1:19">
      <c r="A279">
        <v>278</v>
      </c>
      <c r="B279" t="s">
        <v>65</v>
      </c>
      <c r="C279">
        <v>1543.954</v>
      </c>
      <c r="D279">
        <v>313.8</v>
      </c>
      <c r="E279">
        <v>-0.23009519958577601</v>
      </c>
      <c r="F279" t="s">
        <v>18</v>
      </c>
      <c r="G279" t="s">
        <v>19</v>
      </c>
      <c r="H279">
        <v>1</v>
      </c>
      <c r="I279" t="s">
        <v>48</v>
      </c>
      <c r="J279" t="s">
        <v>19</v>
      </c>
      <c r="K279">
        <v>0.94</v>
      </c>
      <c r="L279" t="s">
        <v>49</v>
      </c>
      <c r="M279" t="s">
        <v>19</v>
      </c>
      <c r="N279">
        <v>1</v>
      </c>
      <c r="O279" t="s">
        <v>50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279</v>
      </c>
      <c r="B280" t="s">
        <v>283</v>
      </c>
      <c r="C280">
        <v>786.50739999999996</v>
      </c>
      <c r="D280">
        <v>277.3</v>
      </c>
      <c r="E280">
        <v>-0.629223653799727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0.99</v>
      </c>
      <c r="L280" t="s">
        <v>21</v>
      </c>
      <c r="M280" t="s">
        <v>19</v>
      </c>
      <c r="N280">
        <v>1</v>
      </c>
      <c r="O280" t="s">
        <v>22</v>
      </c>
      <c r="P280" t="s">
        <v>19</v>
      </c>
      <c r="Q280">
        <v>0.92200000000000004</v>
      </c>
      <c r="R280" t="s">
        <v>23</v>
      </c>
      <c r="S280">
        <v>4</v>
      </c>
    </row>
    <row r="281" spans="1:19">
      <c r="A281">
        <v>280</v>
      </c>
      <c r="B281" t="s">
        <v>104</v>
      </c>
      <c r="C281">
        <v>120.0654</v>
      </c>
      <c r="D281">
        <v>126.1</v>
      </c>
      <c r="E281">
        <v>-0.93134074731264604</v>
      </c>
      <c r="F281" t="s">
        <v>18</v>
      </c>
      <c r="G281" t="s">
        <v>19</v>
      </c>
      <c r="H281">
        <v>1</v>
      </c>
      <c r="I281" t="s">
        <v>39</v>
      </c>
      <c r="J281" t="s">
        <v>19</v>
      </c>
      <c r="K281">
        <v>0.99</v>
      </c>
      <c r="L281" t="s">
        <v>40</v>
      </c>
      <c r="M281" t="s">
        <v>19</v>
      </c>
      <c r="N281">
        <v>1</v>
      </c>
      <c r="O281" t="s">
        <v>41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281</v>
      </c>
      <c r="B282" t="s">
        <v>331</v>
      </c>
      <c r="C282">
        <v>792.67169999999999</v>
      </c>
      <c r="D282">
        <v>297.60000000000002</v>
      </c>
      <c r="E282">
        <v>-0.78664089280994198</v>
      </c>
      <c r="F282" t="s">
        <v>18</v>
      </c>
      <c r="G282" t="s">
        <v>19</v>
      </c>
      <c r="H282">
        <v>1</v>
      </c>
      <c r="I282" t="s">
        <v>20</v>
      </c>
      <c r="J282" t="s">
        <v>19</v>
      </c>
      <c r="K282">
        <v>1</v>
      </c>
      <c r="L282" t="s">
        <v>56</v>
      </c>
      <c r="M282" t="s">
        <v>19</v>
      </c>
      <c r="N282">
        <v>0.97</v>
      </c>
      <c r="O282" t="s">
        <v>57</v>
      </c>
      <c r="P282" t="s">
        <v>19</v>
      </c>
      <c r="Q282">
        <v>0.85199999999999998</v>
      </c>
      <c r="R282" t="s">
        <v>23</v>
      </c>
      <c r="S282">
        <v>4</v>
      </c>
    </row>
    <row r="283" spans="1:19">
      <c r="A283">
        <v>282</v>
      </c>
      <c r="B283" t="s">
        <v>332</v>
      </c>
      <c r="C283">
        <v>288.1207</v>
      </c>
      <c r="D283">
        <v>160.80000000000001</v>
      </c>
      <c r="E283">
        <v>-0.79899827972292303</v>
      </c>
      <c r="F283" t="s">
        <v>18</v>
      </c>
      <c r="G283" t="s">
        <v>19</v>
      </c>
      <c r="H283">
        <v>1</v>
      </c>
      <c r="I283" t="s">
        <v>39</v>
      </c>
      <c r="J283" t="s">
        <v>19</v>
      </c>
      <c r="K283">
        <v>0.76</v>
      </c>
      <c r="L283" t="s">
        <v>40</v>
      </c>
      <c r="M283" t="s">
        <v>19</v>
      </c>
      <c r="N283">
        <v>1</v>
      </c>
      <c r="O283" t="s">
        <v>41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333</v>
      </c>
      <c r="C284">
        <v>307.26369999999997</v>
      </c>
      <c r="D284">
        <v>181.8</v>
      </c>
      <c r="E284">
        <v>-0.92062412635152702</v>
      </c>
      <c r="F284" t="s">
        <v>18</v>
      </c>
      <c r="G284" t="s">
        <v>19</v>
      </c>
      <c r="H284">
        <v>1</v>
      </c>
      <c r="I284" t="s">
        <v>20</v>
      </c>
      <c r="J284" t="s">
        <v>19</v>
      </c>
      <c r="K284">
        <v>0.99</v>
      </c>
      <c r="L284" t="s">
        <v>30</v>
      </c>
      <c r="M284" t="s">
        <v>19</v>
      </c>
      <c r="N284">
        <v>1</v>
      </c>
      <c r="O284" t="s">
        <v>67</v>
      </c>
      <c r="P284" t="s">
        <v>19</v>
      </c>
      <c r="Q284">
        <v>0.99399999999999999</v>
      </c>
      <c r="R284" t="s">
        <v>23</v>
      </c>
      <c r="S284">
        <v>4</v>
      </c>
    </row>
    <row r="285" spans="1:19">
      <c r="A285">
        <v>284</v>
      </c>
      <c r="B285" t="s">
        <v>179</v>
      </c>
      <c r="C285">
        <v>867.23839999999996</v>
      </c>
      <c r="D285">
        <v>258.2</v>
      </c>
      <c r="E285">
        <v>-0.27008330088619897</v>
      </c>
      <c r="F285" t="s">
        <v>18</v>
      </c>
      <c r="G285" t="s">
        <v>19</v>
      </c>
      <c r="H285">
        <v>1</v>
      </c>
      <c r="I285" t="s">
        <v>43</v>
      </c>
      <c r="J285" t="s">
        <v>19</v>
      </c>
      <c r="K285">
        <v>0.95</v>
      </c>
      <c r="L285" t="s">
        <v>44</v>
      </c>
      <c r="M285" t="s">
        <v>19</v>
      </c>
      <c r="N285">
        <v>1</v>
      </c>
      <c r="O285" t="s">
        <v>45</v>
      </c>
      <c r="P285" t="s">
        <v>19</v>
      </c>
      <c r="Q285">
        <v>1</v>
      </c>
      <c r="R285" t="s">
        <v>23</v>
      </c>
      <c r="S285">
        <v>4</v>
      </c>
    </row>
    <row r="286" spans="1:19">
      <c r="A286">
        <v>285</v>
      </c>
      <c r="B286" t="s">
        <v>65</v>
      </c>
      <c r="C286">
        <v>1521.972</v>
      </c>
      <c r="D286">
        <v>316.5</v>
      </c>
      <c r="E286">
        <v>-0.27263924385306398</v>
      </c>
      <c r="F286" t="s">
        <v>18</v>
      </c>
      <c r="G286" t="s">
        <v>19</v>
      </c>
      <c r="H286">
        <v>1</v>
      </c>
      <c r="I286" t="s">
        <v>48</v>
      </c>
      <c r="J286" t="s">
        <v>19</v>
      </c>
      <c r="K286">
        <v>0.96</v>
      </c>
      <c r="L286" t="s">
        <v>49</v>
      </c>
      <c r="M286" t="s">
        <v>19</v>
      </c>
      <c r="N286">
        <v>1</v>
      </c>
      <c r="O286" t="s">
        <v>50</v>
      </c>
      <c r="P286" t="s">
        <v>19</v>
      </c>
      <c r="Q286">
        <v>1</v>
      </c>
      <c r="R286" t="s">
        <v>23</v>
      </c>
      <c r="S286">
        <v>4</v>
      </c>
    </row>
    <row r="287" spans="1:19">
      <c r="A287">
        <v>286</v>
      </c>
      <c r="B287" t="s">
        <v>334</v>
      </c>
      <c r="C287">
        <v>705.39689999999996</v>
      </c>
      <c r="D287">
        <v>261.39999999999998</v>
      </c>
      <c r="E287">
        <v>-0.60928773816624504</v>
      </c>
      <c r="F287" t="s">
        <v>18</v>
      </c>
      <c r="G287" t="s">
        <v>19</v>
      </c>
      <c r="H287">
        <v>1</v>
      </c>
      <c r="I287" t="s">
        <v>39</v>
      </c>
      <c r="J287" t="s">
        <v>19</v>
      </c>
      <c r="K287">
        <v>0.9</v>
      </c>
      <c r="L287" t="s">
        <v>40</v>
      </c>
      <c r="M287" t="s">
        <v>19</v>
      </c>
      <c r="N287">
        <v>1</v>
      </c>
      <c r="O287" t="s">
        <v>41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287</v>
      </c>
      <c r="B288" t="s">
        <v>335</v>
      </c>
      <c r="C288">
        <v>157.0249</v>
      </c>
      <c r="D288">
        <v>138</v>
      </c>
      <c r="E288">
        <v>-0.84957354668949803</v>
      </c>
      <c r="F288" t="s">
        <v>18</v>
      </c>
      <c r="G288" t="s">
        <v>19</v>
      </c>
      <c r="H288">
        <v>1</v>
      </c>
      <c r="I288" t="s">
        <v>59</v>
      </c>
      <c r="J288" t="s">
        <v>19</v>
      </c>
      <c r="K288">
        <v>0.79</v>
      </c>
      <c r="L288" t="s">
        <v>151</v>
      </c>
      <c r="M288" t="s">
        <v>19</v>
      </c>
      <c r="N288">
        <v>0.64</v>
      </c>
      <c r="O288" t="s">
        <v>152</v>
      </c>
      <c r="P288" t="s">
        <v>19</v>
      </c>
      <c r="Q288">
        <v>0.999</v>
      </c>
      <c r="R288" t="s">
        <v>23</v>
      </c>
      <c r="S288">
        <v>4</v>
      </c>
    </row>
    <row r="289" spans="1:19">
      <c r="A289">
        <v>288</v>
      </c>
      <c r="B289" t="s">
        <v>336</v>
      </c>
      <c r="C289">
        <v>894.52369999999996</v>
      </c>
      <c r="D289">
        <v>298.5</v>
      </c>
      <c r="E289">
        <v>-0.52491784683070397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1</v>
      </c>
      <c r="L289" t="s">
        <v>21</v>
      </c>
      <c r="M289" t="s">
        <v>19</v>
      </c>
      <c r="N289">
        <v>1</v>
      </c>
      <c r="O289" t="s">
        <v>37</v>
      </c>
      <c r="P289" t="s">
        <v>19</v>
      </c>
      <c r="Q289">
        <v>1</v>
      </c>
      <c r="R289" t="s">
        <v>23</v>
      </c>
      <c r="S289">
        <v>4</v>
      </c>
    </row>
    <row r="290" spans="1:19">
      <c r="A290">
        <v>289</v>
      </c>
      <c r="B290" t="s">
        <v>135</v>
      </c>
      <c r="C290">
        <v>489.99380000000002</v>
      </c>
      <c r="D290">
        <v>186.4</v>
      </c>
      <c r="E290">
        <v>-0.44669648267165502</v>
      </c>
      <c r="F290" t="s">
        <v>18</v>
      </c>
      <c r="G290" t="s">
        <v>19</v>
      </c>
      <c r="H290">
        <v>1</v>
      </c>
      <c r="I290" t="s">
        <v>52</v>
      </c>
      <c r="J290" t="s">
        <v>19</v>
      </c>
      <c r="K290">
        <v>0.92</v>
      </c>
      <c r="L290" t="s">
        <v>53</v>
      </c>
      <c r="M290" t="s">
        <v>19</v>
      </c>
      <c r="N290">
        <v>0.72</v>
      </c>
      <c r="O290" t="s">
        <v>54</v>
      </c>
      <c r="P290" t="s">
        <v>19</v>
      </c>
      <c r="Q290">
        <v>0.76700000000000002</v>
      </c>
      <c r="R290" t="s">
        <v>23</v>
      </c>
      <c r="S290">
        <v>4</v>
      </c>
    </row>
    <row r="291" spans="1:19">
      <c r="A291">
        <v>290</v>
      </c>
      <c r="B291" t="s">
        <v>337</v>
      </c>
      <c r="C291">
        <v>527.16</v>
      </c>
      <c r="D291">
        <v>211.1</v>
      </c>
      <c r="E291">
        <v>-0.57139849076690996</v>
      </c>
      <c r="F291" t="s">
        <v>18</v>
      </c>
      <c r="G291" t="s">
        <v>19</v>
      </c>
      <c r="H291">
        <v>1</v>
      </c>
      <c r="I291" t="s">
        <v>43</v>
      </c>
      <c r="J291" t="s">
        <v>19</v>
      </c>
      <c r="K291">
        <v>0.97</v>
      </c>
      <c r="L291" t="s">
        <v>44</v>
      </c>
      <c r="M291" t="s">
        <v>19</v>
      </c>
      <c r="N291">
        <v>1</v>
      </c>
      <c r="O291" t="s">
        <v>45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291</v>
      </c>
      <c r="B292" t="s">
        <v>338</v>
      </c>
      <c r="C292">
        <v>198.0487</v>
      </c>
      <c r="D292">
        <v>148.5</v>
      </c>
      <c r="E292">
        <v>-0.82756834410494695</v>
      </c>
      <c r="F292" t="s">
        <v>18</v>
      </c>
      <c r="G292" t="s">
        <v>19</v>
      </c>
      <c r="H292">
        <v>1</v>
      </c>
      <c r="I292" t="s">
        <v>39</v>
      </c>
      <c r="J292" t="s">
        <v>19</v>
      </c>
      <c r="K292">
        <v>0.76</v>
      </c>
      <c r="L292" t="s">
        <v>40</v>
      </c>
      <c r="M292" t="s">
        <v>19</v>
      </c>
      <c r="N292">
        <v>1</v>
      </c>
      <c r="O292" t="s">
        <v>41</v>
      </c>
      <c r="P292" t="s">
        <v>19</v>
      </c>
      <c r="Q292">
        <v>0.92500000000000004</v>
      </c>
      <c r="R292" t="s">
        <v>23</v>
      </c>
      <c r="S292">
        <v>4</v>
      </c>
    </row>
    <row r="293" spans="1:19">
      <c r="A293">
        <v>292</v>
      </c>
      <c r="B293" t="s">
        <v>339</v>
      </c>
      <c r="C293">
        <v>1372.038</v>
      </c>
      <c r="D293">
        <v>240.7</v>
      </c>
      <c r="E293">
        <v>-0.50604833916645497</v>
      </c>
      <c r="F293" t="s">
        <v>25</v>
      </c>
      <c r="G293" t="s">
        <v>19</v>
      </c>
      <c r="H293">
        <v>0.998</v>
      </c>
      <c r="I293" t="s">
        <v>26</v>
      </c>
      <c r="J293" t="s">
        <v>19</v>
      </c>
      <c r="K293">
        <v>0.99</v>
      </c>
      <c r="L293" t="s">
        <v>27</v>
      </c>
      <c r="M293" t="s">
        <v>19</v>
      </c>
      <c r="N293">
        <v>0.99</v>
      </c>
      <c r="O293" t="s">
        <v>28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340</v>
      </c>
      <c r="C294">
        <v>132.10239999999999</v>
      </c>
      <c r="D294">
        <v>133.5</v>
      </c>
      <c r="E294">
        <v>-0.954900811872477</v>
      </c>
      <c r="F294" t="s">
        <v>18</v>
      </c>
      <c r="G294" t="s">
        <v>19</v>
      </c>
      <c r="H294">
        <v>1</v>
      </c>
      <c r="I294" t="s">
        <v>39</v>
      </c>
      <c r="J294" t="s">
        <v>19</v>
      </c>
      <c r="K294">
        <v>1</v>
      </c>
      <c r="L294" t="s">
        <v>40</v>
      </c>
      <c r="M294" t="s">
        <v>19</v>
      </c>
      <c r="N294">
        <v>1</v>
      </c>
      <c r="O294" t="s">
        <v>41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294</v>
      </c>
      <c r="B295" t="s">
        <v>78</v>
      </c>
      <c r="C295">
        <v>829.28250000000003</v>
      </c>
      <c r="D295">
        <v>250.4</v>
      </c>
      <c r="E295">
        <v>-0.35656303384075699</v>
      </c>
      <c r="F295" t="s">
        <v>18</v>
      </c>
      <c r="G295" t="s">
        <v>19</v>
      </c>
      <c r="H295">
        <v>1</v>
      </c>
      <c r="I295" t="s">
        <v>43</v>
      </c>
      <c r="J295" t="s">
        <v>19</v>
      </c>
      <c r="K295">
        <v>0.93</v>
      </c>
      <c r="L295" t="s">
        <v>44</v>
      </c>
      <c r="M295" t="s">
        <v>19</v>
      </c>
      <c r="N295">
        <v>1</v>
      </c>
      <c r="O295" t="s">
        <v>45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295</v>
      </c>
      <c r="B296" t="s">
        <v>341</v>
      </c>
      <c r="C296">
        <v>148.06229999999999</v>
      </c>
      <c r="D296">
        <v>130.5</v>
      </c>
      <c r="E296">
        <v>-0.89698075491213602</v>
      </c>
      <c r="F296" t="s">
        <v>18</v>
      </c>
      <c r="G296" t="s">
        <v>19</v>
      </c>
      <c r="H296">
        <v>1</v>
      </c>
      <c r="I296" t="s">
        <v>59</v>
      </c>
      <c r="J296" t="s">
        <v>19</v>
      </c>
      <c r="K296">
        <v>0.64</v>
      </c>
      <c r="L296" t="s">
        <v>70</v>
      </c>
      <c r="M296" t="s">
        <v>19</v>
      </c>
      <c r="N296">
        <v>0.77</v>
      </c>
      <c r="O296" t="s">
        <v>71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296</v>
      </c>
      <c r="B297" t="s">
        <v>342</v>
      </c>
      <c r="C297">
        <v>726.34199999999998</v>
      </c>
      <c r="D297">
        <v>257.3</v>
      </c>
      <c r="E297">
        <v>-0.53100144658299098</v>
      </c>
      <c r="F297" t="s">
        <v>18</v>
      </c>
      <c r="G297" t="s">
        <v>19</v>
      </c>
      <c r="H297">
        <v>1</v>
      </c>
      <c r="I297" t="s">
        <v>39</v>
      </c>
      <c r="J297" t="s">
        <v>19</v>
      </c>
      <c r="K297">
        <v>0.93</v>
      </c>
      <c r="L297" t="s">
        <v>138</v>
      </c>
      <c r="M297" t="s">
        <v>19</v>
      </c>
      <c r="N297">
        <v>0.62</v>
      </c>
      <c r="O297" t="s">
        <v>139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297</v>
      </c>
      <c r="B298" t="s">
        <v>343</v>
      </c>
      <c r="C298">
        <v>1591.8693000000001</v>
      </c>
      <c r="D298">
        <v>242.3</v>
      </c>
      <c r="E298">
        <v>-9.1895279456593898E-2</v>
      </c>
      <c r="F298" t="s">
        <v>25</v>
      </c>
      <c r="G298" t="s">
        <v>19</v>
      </c>
      <c r="H298">
        <v>1</v>
      </c>
      <c r="I298" t="s">
        <v>26</v>
      </c>
      <c r="J298" t="s">
        <v>19</v>
      </c>
      <c r="K298">
        <v>1</v>
      </c>
      <c r="L298" t="s">
        <v>27</v>
      </c>
      <c r="M298" t="s">
        <v>19</v>
      </c>
      <c r="N298">
        <v>1</v>
      </c>
      <c r="O298" t="s">
        <v>28</v>
      </c>
      <c r="P298" t="s">
        <v>19</v>
      </c>
      <c r="Q298">
        <v>0.999</v>
      </c>
      <c r="R298" t="s">
        <v>23</v>
      </c>
      <c r="S298">
        <v>4</v>
      </c>
    </row>
    <row r="299" spans="1:19">
      <c r="A299">
        <v>298</v>
      </c>
      <c r="B299" t="s">
        <v>344</v>
      </c>
      <c r="C299">
        <v>524.33519999999999</v>
      </c>
      <c r="D299">
        <v>235.4</v>
      </c>
      <c r="E299">
        <v>-0.74975252662568403</v>
      </c>
      <c r="F299" t="s">
        <v>18</v>
      </c>
      <c r="G299" t="s">
        <v>19</v>
      </c>
      <c r="H299">
        <v>1</v>
      </c>
      <c r="I299" t="s">
        <v>20</v>
      </c>
      <c r="J299" t="s">
        <v>19</v>
      </c>
      <c r="K299">
        <v>1</v>
      </c>
      <c r="L299" t="s">
        <v>21</v>
      </c>
      <c r="M299" t="s">
        <v>19</v>
      </c>
      <c r="N299">
        <v>0.99</v>
      </c>
      <c r="O299" t="s">
        <v>22</v>
      </c>
      <c r="P299" t="s">
        <v>19</v>
      </c>
      <c r="Q299">
        <v>0.627</v>
      </c>
      <c r="R299" t="s">
        <v>23</v>
      </c>
      <c r="S299">
        <v>4</v>
      </c>
    </row>
    <row r="300" spans="1:19">
      <c r="A300">
        <v>299</v>
      </c>
      <c r="B300" t="s">
        <v>345</v>
      </c>
      <c r="C300">
        <v>187.10900000000001</v>
      </c>
      <c r="D300">
        <v>145.1</v>
      </c>
      <c r="E300">
        <v>-0.90008308712521101</v>
      </c>
      <c r="F300" t="s">
        <v>18</v>
      </c>
      <c r="G300" t="s">
        <v>19</v>
      </c>
      <c r="H300">
        <v>1</v>
      </c>
      <c r="I300" t="s">
        <v>39</v>
      </c>
      <c r="J300" t="s">
        <v>19</v>
      </c>
      <c r="K300">
        <v>0.81</v>
      </c>
      <c r="L300" t="s">
        <v>40</v>
      </c>
      <c r="M300" t="s">
        <v>19</v>
      </c>
      <c r="N300">
        <v>1</v>
      </c>
      <c r="O300" t="s">
        <v>41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300</v>
      </c>
      <c r="B301" t="s">
        <v>346</v>
      </c>
      <c r="C301">
        <v>151.02770000000001</v>
      </c>
      <c r="D301">
        <v>122.2</v>
      </c>
      <c r="E301">
        <v>-0.85906973185373703</v>
      </c>
      <c r="F301" t="s">
        <v>18</v>
      </c>
      <c r="G301" t="s">
        <v>19</v>
      </c>
      <c r="H301">
        <v>1</v>
      </c>
      <c r="I301" t="s">
        <v>59</v>
      </c>
      <c r="J301" t="s">
        <v>19</v>
      </c>
      <c r="K301">
        <v>0.69</v>
      </c>
      <c r="L301" t="s">
        <v>70</v>
      </c>
      <c r="M301" t="s">
        <v>19</v>
      </c>
      <c r="N301">
        <v>0.59</v>
      </c>
      <c r="O301" t="s">
        <v>71</v>
      </c>
      <c r="P301" t="s">
        <v>19</v>
      </c>
      <c r="Q301">
        <v>1</v>
      </c>
      <c r="R301" t="s">
        <v>23</v>
      </c>
      <c r="S301">
        <v>4</v>
      </c>
    </row>
    <row r="302" spans="1:19">
      <c r="A302">
        <v>301</v>
      </c>
      <c r="B302" t="s">
        <v>347</v>
      </c>
      <c r="C302">
        <v>116.0703</v>
      </c>
      <c r="D302">
        <v>125.4</v>
      </c>
      <c r="E302">
        <v>-0.94070148388131303</v>
      </c>
      <c r="F302" t="s">
        <v>18</v>
      </c>
      <c r="G302" t="s">
        <v>19</v>
      </c>
      <c r="H302">
        <v>1</v>
      </c>
      <c r="I302" t="s">
        <v>39</v>
      </c>
      <c r="J302" t="s">
        <v>19</v>
      </c>
      <c r="K302">
        <v>1</v>
      </c>
      <c r="L302" t="s">
        <v>40</v>
      </c>
      <c r="M302" t="s">
        <v>19</v>
      </c>
      <c r="N302">
        <v>1</v>
      </c>
      <c r="O302" t="s">
        <v>41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302</v>
      </c>
      <c r="B303" t="s">
        <v>348</v>
      </c>
      <c r="C303">
        <v>922.35530000000006</v>
      </c>
      <c r="D303">
        <v>202</v>
      </c>
      <c r="E303">
        <v>-0.325442420462423</v>
      </c>
      <c r="F303" t="s">
        <v>25</v>
      </c>
      <c r="G303" t="s">
        <v>19</v>
      </c>
      <c r="H303">
        <v>0.69</v>
      </c>
      <c r="I303" t="s">
        <v>26</v>
      </c>
      <c r="J303" t="s">
        <v>19</v>
      </c>
      <c r="K303">
        <v>0.97</v>
      </c>
      <c r="L303" t="s">
        <v>27</v>
      </c>
      <c r="M303" t="s">
        <v>19</v>
      </c>
      <c r="N303">
        <v>1</v>
      </c>
      <c r="O303" t="s">
        <v>28</v>
      </c>
      <c r="P303" t="s">
        <v>19</v>
      </c>
      <c r="Q303">
        <v>1</v>
      </c>
      <c r="R303" t="s">
        <v>23</v>
      </c>
      <c r="S303">
        <v>4</v>
      </c>
    </row>
    <row r="304" spans="1:19">
      <c r="A304">
        <v>303</v>
      </c>
      <c r="B304" t="s">
        <v>349</v>
      </c>
      <c r="C304">
        <v>487.09949999999998</v>
      </c>
      <c r="D304">
        <v>207.7</v>
      </c>
      <c r="E304">
        <v>-0.55562811888864905</v>
      </c>
      <c r="F304" t="s">
        <v>18</v>
      </c>
      <c r="G304" t="s">
        <v>19</v>
      </c>
      <c r="H304">
        <v>1</v>
      </c>
      <c r="I304" t="s">
        <v>52</v>
      </c>
      <c r="J304" t="s">
        <v>19</v>
      </c>
      <c r="K304">
        <v>0.97</v>
      </c>
      <c r="L304" t="s">
        <v>131</v>
      </c>
      <c r="M304" t="s">
        <v>19</v>
      </c>
      <c r="N304">
        <v>0.98</v>
      </c>
      <c r="O304" t="s">
        <v>132</v>
      </c>
      <c r="P304" t="s">
        <v>19</v>
      </c>
      <c r="Q304">
        <v>0.99399999999999999</v>
      </c>
      <c r="R304" t="s">
        <v>23</v>
      </c>
      <c r="S304">
        <v>4</v>
      </c>
    </row>
    <row r="305" spans="1:19">
      <c r="A305">
        <v>304</v>
      </c>
      <c r="B305" t="s">
        <v>350</v>
      </c>
      <c r="C305">
        <v>511.0926</v>
      </c>
      <c r="D305">
        <v>208.1</v>
      </c>
      <c r="E305">
        <v>-0.52193857705856295</v>
      </c>
      <c r="F305" t="s">
        <v>18</v>
      </c>
      <c r="G305" t="s">
        <v>19</v>
      </c>
      <c r="H305">
        <v>0.94399999999999995</v>
      </c>
      <c r="I305" t="s">
        <v>52</v>
      </c>
      <c r="J305" t="s">
        <v>19</v>
      </c>
      <c r="K305">
        <v>0.96</v>
      </c>
      <c r="L305" t="s">
        <v>131</v>
      </c>
      <c r="M305" t="s">
        <v>19</v>
      </c>
      <c r="N305">
        <v>0.93</v>
      </c>
      <c r="O305" t="s">
        <v>132</v>
      </c>
      <c r="P305" t="s">
        <v>19</v>
      </c>
      <c r="Q305">
        <v>0.997</v>
      </c>
      <c r="R305" t="s">
        <v>23</v>
      </c>
      <c r="S305">
        <v>4</v>
      </c>
    </row>
    <row r="306" spans="1:19">
      <c r="A306">
        <v>305</v>
      </c>
      <c r="B306" t="s">
        <v>284</v>
      </c>
      <c r="C306">
        <v>651.79560000000004</v>
      </c>
      <c r="D306">
        <v>209.3</v>
      </c>
      <c r="E306">
        <v>-6.7836372502824802E-2</v>
      </c>
      <c r="F306" t="s">
        <v>18</v>
      </c>
      <c r="G306" t="s">
        <v>19</v>
      </c>
      <c r="H306">
        <v>0.998</v>
      </c>
      <c r="I306" t="s">
        <v>39</v>
      </c>
      <c r="J306" t="s">
        <v>19</v>
      </c>
      <c r="K306">
        <v>0.67</v>
      </c>
      <c r="L306" t="s">
        <v>40</v>
      </c>
      <c r="M306" t="s">
        <v>19</v>
      </c>
      <c r="N306">
        <v>0.95</v>
      </c>
      <c r="O306" t="s">
        <v>41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306</v>
      </c>
      <c r="B307" t="s">
        <v>351</v>
      </c>
      <c r="C307">
        <v>668.65560000000005</v>
      </c>
      <c r="D307">
        <v>284.3</v>
      </c>
      <c r="E307">
        <v>-0.90901130716088097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1</v>
      </c>
      <c r="L307" t="s">
        <v>56</v>
      </c>
      <c r="M307" t="s">
        <v>19</v>
      </c>
      <c r="N307">
        <v>1</v>
      </c>
      <c r="O307" t="s">
        <v>145</v>
      </c>
      <c r="P307" t="s">
        <v>19</v>
      </c>
      <c r="Q307">
        <v>0.97299999999999998</v>
      </c>
      <c r="R307" t="s">
        <v>23</v>
      </c>
      <c r="S307">
        <v>4</v>
      </c>
    </row>
    <row r="308" spans="1:19">
      <c r="A308">
        <v>307</v>
      </c>
      <c r="B308" t="s">
        <v>352</v>
      </c>
      <c r="C308">
        <v>768.55190000000005</v>
      </c>
      <c r="D308">
        <v>287.8</v>
      </c>
      <c r="E308">
        <v>-0.69377190176817305</v>
      </c>
      <c r="F308" t="s">
        <v>18</v>
      </c>
      <c r="G308" t="s">
        <v>19</v>
      </c>
      <c r="H308">
        <v>1</v>
      </c>
      <c r="I308" t="s">
        <v>33</v>
      </c>
      <c r="J308" t="s">
        <v>19</v>
      </c>
      <c r="K308">
        <v>0.55000000000000004</v>
      </c>
      <c r="L308" t="s">
        <v>34</v>
      </c>
      <c r="M308" t="s">
        <v>19</v>
      </c>
      <c r="N308">
        <v>0.72</v>
      </c>
      <c r="O308" t="s">
        <v>353</v>
      </c>
      <c r="P308" t="s">
        <v>19</v>
      </c>
      <c r="Q308">
        <v>0.80400000000000005</v>
      </c>
      <c r="R308" t="s">
        <v>23</v>
      </c>
      <c r="S308">
        <v>4</v>
      </c>
    </row>
    <row r="309" spans="1:19">
      <c r="A309">
        <v>308</v>
      </c>
      <c r="B309" t="s">
        <v>354</v>
      </c>
      <c r="C309">
        <v>381.07850000000002</v>
      </c>
      <c r="D309">
        <v>175.5</v>
      </c>
      <c r="E309">
        <v>-0.65300606981514897</v>
      </c>
      <c r="F309" t="s">
        <v>18</v>
      </c>
      <c r="G309" t="s">
        <v>19</v>
      </c>
      <c r="H309">
        <v>1</v>
      </c>
      <c r="I309" t="s">
        <v>43</v>
      </c>
      <c r="J309" t="s">
        <v>19</v>
      </c>
      <c r="K309">
        <v>0.77</v>
      </c>
      <c r="L309" t="s">
        <v>44</v>
      </c>
      <c r="M309" t="s">
        <v>19</v>
      </c>
      <c r="N309">
        <v>1</v>
      </c>
      <c r="O309" t="s">
        <v>45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309</v>
      </c>
      <c r="B310" t="s">
        <v>292</v>
      </c>
      <c r="C310">
        <v>2110.1016</v>
      </c>
      <c r="D310">
        <v>460.3</v>
      </c>
      <c r="E310">
        <v>-0.74556201078439699</v>
      </c>
      <c r="F310" t="s">
        <v>18</v>
      </c>
      <c r="G310" t="s">
        <v>19</v>
      </c>
      <c r="H310">
        <v>0.996</v>
      </c>
      <c r="I310" t="s">
        <v>39</v>
      </c>
      <c r="J310" t="s">
        <v>19</v>
      </c>
      <c r="K310">
        <v>0.98</v>
      </c>
      <c r="L310" t="s">
        <v>40</v>
      </c>
      <c r="M310" t="s">
        <v>19</v>
      </c>
      <c r="N310">
        <v>1</v>
      </c>
      <c r="O310" t="s">
        <v>41</v>
      </c>
      <c r="P310" t="s">
        <v>19</v>
      </c>
      <c r="Q310">
        <v>1</v>
      </c>
      <c r="R310" t="s">
        <v>23</v>
      </c>
      <c r="S310">
        <v>4</v>
      </c>
    </row>
    <row r="311" spans="1:19">
      <c r="A311">
        <v>310</v>
      </c>
      <c r="B311" t="s">
        <v>355</v>
      </c>
      <c r="C311">
        <v>1312.6790000000001</v>
      </c>
      <c r="D311">
        <v>370.4</v>
      </c>
      <c r="E311">
        <v>-0.21332574448274499</v>
      </c>
      <c r="F311" t="s">
        <v>18</v>
      </c>
      <c r="G311" t="s">
        <v>19</v>
      </c>
      <c r="H311">
        <v>1</v>
      </c>
      <c r="I311" t="s">
        <v>39</v>
      </c>
      <c r="J311" t="s">
        <v>19</v>
      </c>
      <c r="K311">
        <v>0.96</v>
      </c>
      <c r="L311" t="s">
        <v>40</v>
      </c>
      <c r="M311" t="s">
        <v>19</v>
      </c>
      <c r="N311">
        <v>0.96</v>
      </c>
      <c r="O311" t="s">
        <v>41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311</v>
      </c>
      <c r="B312" t="s">
        <v>356</v>
      </c>
      <c r="C312">
        <v>1759.9150999999999</v>
      </c>
      <c r="D312">
        <v>336.39</v>
      </c>
      <c r="E312">
        <v>-0.95006341910993797</v>
      </c>
      <c r="F312" t="s">
        <v>18</v>
      </c>
      <c r="G312" t="s">
        <v>19</v>
      </c>
      <c r="H312">
        <v>0.96199999999999997</v>
      </c>
      <c r="I312" t="s">
        <v>48</v>
      </c>
      <c r="J312" t="s">
        <v>19</v>
      </c>
      <c r="K312">
        <v>0.9</v>
      </c>
      <c r="L312" t="s">
        <v>49</v>
      </c>
      <c r="M312" t="s">
        <v>19</v>
      </c>
      <c r="N312">
        <v>0.98</v>
      </c>
      <c r="O312" t="s">
        <v>50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357</v>
      </c>
      <c r="C313">
        <v>524.37159999999994</v>
      </c>
      <c r="D313">
        <v>234.8</v>
      </c>
      <c r="E313">
        <v>-0.78611188413583499</v>
      </c>
      <c r="F313" t="s">
        <v>18</v>
      </c>
      <c r="G313" t="s">
        <v>19</v>
      </c>
      <c r="H313">
        <v>1</v>
      </c>
      <c r="I313" t="s">
        <v>20</v>
      </c>
      <c r="J313" t="s">
        <v>19</v>
      </c>
      <c r="K313">
        <v>1</v>
      </c>
      <c r="L313" t="s">
        <v>21</v>
      </c>
      <c r="M313" t="s">
        <v>19</v>
      </c>
      <c r="N313">
        <v>1</v>
      </c>
      <c r="O313" t="s">
        <v>110</v>
      </c>
      <c r="P313" t="s">
        <v>19</v>
      </c>
      <c r="Q313">
        <v>0.97699999999999998</v>
      </c>
      <c r="R313" t="s">
        <v>23</v>
      </c>
      <c r="S313">
        <v>4</v>
      </c>
    </row>
    <row r="314" spans="1:19">
      <c r="A314">
        <v>313</v>
      </c>
      <c r="B314" t="s">
        <v>264</v>
      </c>
      <c r="C314">
        <v>604.06920000000002</v>
      </c>
      <c r="D314">
        <v>208.8</v>
      </c>
      <c r="E314">
        <v>-0.39472537597475799</v>
      </c>
      <c r="F314" t="s">
        <v>18</v>
      </c>
      <c r="G314" t="s">
        <v>19</v>
      </c>
      <c r="H314">
        <v>1</v>
      </c>
      <c r="I314" t="s">
        <v>52</v>
      </c>
      <c r="J314" t="s">
        <v>19</v>
      </c>
      <c r="K314">
        <v>1</v>
      </c>
      <c r="L314" t="s">
        <v>53</v>
      </c>
      <c r="M314" t="s">
        <v>19</v>
      </c>
      <c r="N314">
        <v>0.64</v>
      </c>
      <c r="O314" t="s">
        <v>83</v>
      </c>
      <c r="P314" t="s">
        <v>19</v>
      </c>
      <c r="Q314">
        <v>0.58499999999999996</v>
      </c>
      <c r="R314" t="s">
        <v>23</v>
      </c>
      <c r="S314">
        <v>4</v>
      </c>
    </row>
    <row r="315" spans="1:19">
      <c r="A315">
        <v>314</v>
      </c>
      <c r="B315" t="s">
        <v>358</v>
      </c>
      <c r="C315">
        <v>267.99970000000002</v>
      </c>
      <c r="D315">
        <v>153.19999999999999</v>
      </c>
      <c r="E315">
        <v>-0.700464420870333</v>
      </c>
      <c r="F315" t="s">
        <v>18</v>
      </c>
      <c r="G315" t="s">
        <v>19</v>
      </c>
      <c r="H315">
        <v>1</v>
      </c>
      <c r="I315" t="s">
        <v>59</v>
      </c>
      <c r="J315" t="s">
        <v>19</v>
      </c>
      <c r="K315">
        <v>0.57999999999999996</v>
      </c>
      <c r="L315" t="s">
        <v>188</v>
      </c>
      <c r="M315" t="s">
        <v>19</v>
      </c>
      <c r="N315">
        <v>1</v>
      </c>
      <c r="O315" t="s">
        <v>359</v>
      </c>
      <c r="P315" t="s">
        <v>19</v>
      </c>
      <c r="Q315">
        <v>0.97399999999999998</v>
      </c>
      <c r="R315" t="s">
        <v>23</v>
      </c>
      <c r="S315">
        <v>4</v>
      </c>
    </row>
    <row r="316" spans="1:19">
      <c r="A316">
        <v>315</v>
      </c>
      <c r="B316" t="s">
        <v>360</v>
      </c>
      <c r="C316">
        <v>187.23</v>
      </c>
      <c r="D316">
        <v>150.4</v>
      </c>
      <c r="E316">
        <v>-2.0947984343081299E-2</v>
      </c>
      <c r="F316" t="s">
        <v>18</v>
      </c>
      <c r="G316" t="s">
        <v>19</v>
      </c>
      <c r="H316">
        <v>0.98</v>
      </c>
      <c r="I316" t="s">
        <v>125</v>
      </c>
      <c r="J316" t="s">
        <v>19</v>
      </c>
      <c r="K316">
        <v>0.96</v>
      </c>
      <c r="L316" t="s">
        <v>126</v>
      </c>
      <c r="M316" t="s">
        <v>19</v>
      </c>
      <c r="N316">
        <v>0.99</v>
      </c>
      <c r="O316" t="s">
        <v>127</v>
      </c>
      <c r="P316" t="s">
        <v>19</v>
      </c>
      <c r="Q316">
        <v>0.59499999999999997</v>
      </c>
      <c r="R316" t="s">
        <v>23</v>
      </c>
      <c r="S316">
        <v>4</v>
      </c>
    </row>
    <row r="317" spans="1:19">
      <c r="A317">
        <v>316</v>
      </c>
      <c r="B317" t="s">
        <v>361</v>
      </c>
      <c r="C317">
        <v>415.15390000000002</v>
      </c>
      <c r="D317">
        <v>217.4</v>
      </c>
      <c r="E317">
        <v>-0.69035911657948601</v>
      </c>
      <c r="F317" t="s">
        <v>18</v>
      </c>
      <c r="G317" t="s">
        <v>19</v>
      </c>
      <c r="H317">
        <v>1</v>
      </c>
      <c r="I317" t="s">
        <v>59</v>
      </c>
      <c r="J317" t="s">
        <v>19</v>
      </c>
      <c r="K317">
        <v>0.79</v>
      </c>
      <c r="L317" t="s">
        <v>60</v>
      </c>
      <c r="M317" t="s">
        <v>19</v>
      </c>
      <c r="N317">
        <v>0.88</v>
      </c>
      <c r="O317" t="s">
        <v>61</v>
      </c>
      <c r="P317" t="s">
        <v>19</v>
      </c>
      <c r="Q317">
        <v>0.96499999999999997</v>
      </c>
      <c r="R317" t="s">
        <v>23</v>
      </c>
      <c r="S317">
        <v>4</v>
      </c>
    </row>
    <row r="318" spans="1:19">
      <c r="A318">
        <v>317</v>
      </c>
      <c r="B318" t="s">
        <v>362</v>
      </c>
      <c r="C318">
        <v>662.47609999999997</v>
      </c>
      <c r="D318">
        <v>256.3</v>
      </c>
      <c r="E318">
        <v>-0.73641103973966404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0.97</v>
      </c>
      <c r="L318" t="s">
        <v>21</v>
      </c>
      <c r="M318" t="s">
        <v>19</v>
      </c>
      <c r="N318">
        <v>0.95</v>
      </c>
      <c r="O318" t="s">
        <v>22</v>
      </c>
      <c r="P318" t="s">
        <v>19</v>
      </c>
      <c r="Q318">
        <v>0.92100000000000004</v>
      </c>
      <c r="R318" t="s">
        <v>23</v>
      </c>
      <c r="S318">
        <v>4</v>
      </c>
    </row>
    <row r="319" spans="1:19">
      <c r="A319">
        <v>318</v>
      </c>
      <c r="B319" t="s">
        <v>144</v>
      </c>
      <c r="C319">
        <v>586.20249999999999</v>
      </c>
      <c r="D319">
        <v>251.7</v>
      </c>
      <c r="E319">
        <v>-0.54797447413272904</v>
      </c>
      <c r="F319" t="s">
        <v>18</v>
      </c>
      <c r="G319" t="s">
        <v>19</v>
      </c>
      <c r="H319">
        <v>1</v>
      </c>
      <c r="I319" t="s">
        <v>20</v>
      </c>
      <c r="J319" t="s">
        <v>19</v>
      </c>
      <c r="K319">
        <v>0.67</v>
      </c>
      <c r="L319" t="s">
        <v>56</v>
      </c>
      <c r="M319" t="s">
        <v>19</v>
      </c>
      <c r="N319">
        <v>0.51</v>
      </c>
      <c r="O319" t="s">
        <v>145</v>
      </c>
      <c r="P319" t="s">
        <v>19</v>
      </c>
      <c r="Q319">
        <v>0.68700000000000006</v>
      </c>
      <c r="R319" t="s">
        <v>23</v>
      </c>
      <c r="S319">
        <v>4</v>
      </c>
    </row>
    <row r="320" spans="1:19">
      <c r="A320">
        <v>319</v>
      </c>
      <c r="B320" t="s">
        <v>326</v>
      </c>
      <c r="C320">
        <v>801.85699999999997</v>
      </c>
      <c r="D320">
        <v>416.8</v>
      </c>
      <c r="E320">
        <v>-0.96168502847513104</v>
      </c>
      <c r="F320" t="s">
        <v>18</v>
      </c>
      <c r="G320" t="s">
        <v>19</v>
      </c>
      <c r="H320">
        <v>1</v>
      </c>
      <c r="I320" t="s">
        <v>39</v>
      </c>
      <c r="J320" t="s">
        <v>19</v>
      </c>
      <c r="K320">
        <v>1</v>
      </c>
      <c r="L320" t="s">
        <v>138</v>
      </c>
      <c r="M320" t="s">
        <v>19</v>
      </c>
      <c r="N320">
        <v>0.99</v>
      </c>
      <c r="O320" t="s">
        <v>184</v>
      </c>
      <c r="P320" t="s">
        <v>19</v>
      </c>
      <c r="Q320">
        <v>0.98099999999999998</v>
      </c>
      <c r="R320" t="s">
        <v>23</v>
      </c>
      <c r="S320">
        <v>4</v>
      </c>
    </row>
    <row r="321" spans="1:19">
      <c r="A321">
        <v>320</v>
      </c>
      <c r="B321" t="s">
        <v>36</v>
      </c>
      <c r="C321">
        <v>826.5</v>
      </c>
      <c r="D321">
        <v>287.5</v>
      </c>
      <c r="E321">
        <v>-0.57716983955333501</v>
      </c>
      <c r="F321" t="s">
        <v>18</v>
      </c>
      <c r="G321" t="s">
        <v>19</v>
      </c>
      <c r="H321">
        <v>1</v>
      </c>
      <c r="I321" t="s">
        <v>20</v>
      </c>
      <c r="J321" t="s">
        <v>19</v>
      </c>
      <c r="K321">
        <v>0.87</v>
      </c>
      <c r="L321" t="s">
        <v>21</v>
      </c>
      <c r="M321" t="s">
        <v>19</v>
      </c>
      <c r="N321">
        <v>1</v>
      </c>
      <c r="O321" t="s">
        <v>37</v>
      </c>
      <c r="P321" t="s">
        <v>19</v>
      </c>
      <c r="Q321">
        <v>0.72899999999999998</v>
      </c>
      <c r="R321" t="s">
        <v>23</v>
      </c>
      <c r="S321">
        <v>4</v>
      </c>
    </row>
    <row r="322" spans="1:19">
      <c r="A322">
        <v>321</v>
      </c>
      <c r="B322" t="s">
        <v>363</v>
      </c>
      <c r="C322">
        <v>596.59810000000004</v>
      </c>
      <c r="D322">
        <v>269.48</v>
      </c>
      <c r="E322">
        <v>-0.93196724701135703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1</v>
      </c>
      <c r="L322" t="s">
        <v>56</v>
      </c>
      <c r="M322" t="s">
        <v>19</v>
      </c>
      <c r="N322">
        <v>1</v>
      </c>
      <c r="O322" t="s">
        <v>145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364</v>
      </c>
      <c r="C323">
        <v>714.50490000000002</v>
      </c>
      <c r="D323">
        <v>277.3</v>
      </c>
      <c r="E323">
        <v>-0.70711818329470999</v>
      </c>
      <c r="F323" t="s">
        <v>18</v>
      </c>
      <c r="G323" t="s">
        <v>19</v>
      </c>
      <c r="H323">
        <v>1</v>
      </c>
      <c r="I323" t="s">
        <v>20</v>
      </c>
      <c r="J323" t="s">
        <v>19</v>
      </c>
      <c r="K323">
        <v>1</v>
      </c>
      <c r="L323" t="s">
        <v>21</v>
      </c>
      <c r="M323" t="s">
        <v>19</v>
      </c>
      <c r="N323">
        <v>1</v>
      </c>
      <c r="O323" t="s">
        <v>22</v>
      </c>
      <c r="P323" t="s">
        <v>19</v>
      </c>
      <c r="Q323">
        <v>0.91600000000000004</v>
      </c>
      <c r="R323" t="s">
        <v>23</v>
      </c>
      <c r="S323">
        <v>4</v>
      </c>
    </row>
    <row r="324" spans="1:19">
      <c r="A324">
        <v>323</v>
      </c>
      <c r="B324" t="s">
        <v>365</v>
      </c>
      <c r="C324">
        <v>190.0453</v>
      </c>
      <c r="D324">
        <v>142.6</v>
      </c>
      <c r="E324">
        <v>-0.833104555727601</v>
      </c>
      <c r="F324" t="s">
        <v>18</v>
      </c>
      <c r="G324" t="s">
        <v>19</v>
      </c>
      <c r="H324">
        <v>1</v>
      </c>
      <c r="I324" t="s">
        <v>43</v>
      </c>
      <c r="J324" t="s">
        <v>19</v>
      </c>
      <c r="K324">
        <v>0.63</v>
      </c>
      <c r="L324" t="s">
        <v>44</v>
      </c>
      <c r="M324" t="s">
        <v>19</v>
      </c>
      <c r="N324">
        <v>1</v>
      </c>
      <c r="O324" t="s">
        <v>45</v>
      </c>
      <c r="P324" t="s">
        <v>19</v>
      </c>
      <c r="Q324">
        <v>0.95799999999999996</v>
      </c>
      <c r="R324" t="s">
        <v>23</v>
      </c>
      <c r="S324">
        <v>4</v>
      </c>
    </row>
    <row r="325" spans="1:19">
      <c r="A325">
        <v>324</v>
      </c>
      <c r="B325" t="s">
        <v>366</v>
      </c>
      <c r="C325">
        <v>658.44240000000002</v>
      </c>
      <c r="D325">
        <v>263.3</v>
      </c>
      <c r="E325">
        <v>-0.70721487521245796</v>
      </c>
      <c r="F325" t="s">
        <v>18</v>
      </c>
      <c r="G325" t="s">
        <v>19</v>
      </c>
      <c r="H325">
        <v>1</v>
      </c>
      <c r="I325" t="s">
        <v>20</v>
      </c>
      <c r="J325" t="s">
        <v>19</v>
      </c>
      <c r="K325">
        <v>1</v>
      </c>
      <c r="L325" t="s">
        <v>21</v>
      </c>
      <c r="M325" t="s">
        <v>19</v>
      </c>
      <c r="N325">
        <v>0.98</v>
      </c>
      <c r="O325" t="s">
        <v>22</v>
      </c>
      <c r="P325" t="s">
        <v>19</v>
      </c>
      <c r="Q325">
        <v>0.77800000000000002</v>
      </c>
      <c r="R325" t="s">
        <v>23</v>
      </c>
      <c r="S325">
        <v>4</v>
      </c>
    </row>
    <row r="326" spans="1:19">
      <c r="A326">
        <v>325</v>
      </c>
      <c r="B326" t="s">
        <v>367</v>
      </c>
      <c r="C326">
        <v>145.05019999999999</v>
      </c>
      <c r="D326">
        <v>126.3</v>
      </c>
      <c r="E326">
        <v>-0.88824392094514304</v>
      </c>
      <c r="F326" t="s">
        <v>18</v>
      </c>
      <c r="G326" t="s">
        <v>19</v>
      </c>
      <c r="H326">
        <v>1</v>
      </c>
      <c r="I326" t="s">
        <v>20</v>
      </c>
      <c r="J326" t="s">
        <v>19</v>
      </c>
      <c r="K326">
        <v>0.95</v>
      </c>
      <c r="L326" t="s">
        <v>30</v>
      </c>
      <c r="M326" t="s">
        <v>19</v>
      </c>
      <c r="N326">
        <v>1</v>
      </c>
      <c r="O326" t="s">
        <v>67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326</v>
      </c>
      <c r="B327" t="s">
        <v>368</v>
      </c>
      <c r="C327">
        <v>806.49239999999998</v>
      </c>
      <c r="D327">
        <v>283</v>
      </c>
      <c r="E327">
        <v>-0.59190936371317104</v>
      </c>
      <c r="F327" t="s">
        <v>18</v>
      </c>
      <c r="G327" t="s">
        <v>19</v>
      </c>
      <c r="H327">
        <v>1</v>
      </c>
      <c r="I327" t="s">
        <v>20</v>
      </c>
      <c r="J327" t="s">
        <v>19</v>
      </c>
      <c r="K327">
        <v>0.98</v>
      </c>
      <c r="L327" t="s">
        <v>21</v>
      </c>
      <c r="M327" t="s">
        <v>19</v>
      </c>
      <c r="N327">
        <v>1</v>
      </c>
      <c r="O327" t="s">
        <v>37</v>
      </c>
      <c r="P327" t="s">
        <v>19</v>
      </c>
      <c r="Q327">
        <v>0.66800000000000004</v>
      </c>
      <c r="R327" t="s">
        <v>23</v>
      </c>
      <c r="S327">
        <v>4</v>
      </c>
    </row>
    <row r="328" spans="1:19">
      <c r="A328">
        <v>327</v>
      </c>
      <c r="B328" t="s">
        <v>135</v>
      </c>
      <c r="C328">
        <v>511.97219999999999</v>
      </c>
      <c r="D328">
        <v>185.7</v>
      </c>
      <c r="E328">
        <v>-0.40055645799122902</v>
      </c>
      <c r="F328" t="s">
        <v>18</v>
      </c>
      <c r="G328" t="s">
        <v>19</v>
      </c>
      <c r="H328">
        <v>1</v>
      </c>
      <c r="I328" t="s">
        <v>52</v>
      </c>
      <c r="J328" t="s">
        <v>19</v>
      </c>
      <c r="K328">
        <v>0.99</v>
      </c>
      <c r="L328" t="s">
        <v>53</v>
      </c>
      <c r="M328" t="s">
        <v>19</v>
      </c>
      <c r="N328">
        <v>0.95</v>
      </c>
      <c r="O328" t="s">
        <v>54</v>
      </c>
      <c r="P328" t="s">
        <v>19</v>
      </c>
      <c r="Q328">
        <v>0.79900000000000004</v>
      </c>
      <c r="R328" t="s">
        <v>23</v>
      </c>
      <c r="S328">
        <v>4</v>
      </c>
    </row>
    <row r="329" spans="1:19">
      <c r="A329">
        <v>328</v>
      </c>
      <c r="B329" t="s">
        <v>369</v>
      </c>
      <c r="C329">
        <v>740.52059999999994</v>
      </c>
      <c r="D329">
        <v>277.10000000000002</v>
      </c>
      <c r="E329">
        <v>-0.69377030355462899</v>
      </c>
      <c r="F329" t="s">
        <v>18</v>
      </c>
      <c r="G329" t="s">
        <v>19</v>
      </c>
      <c r="H329">
        <v>1</v>
      </c>
      <c r="I329" t="s">
        <v>20</v>
      </c>
      <c r="J329" t="s">
        <v>19</v>
      </c>
      <c r="K329">
        <v>1</v>
      </c>
      <c r="L329" t="s">
        <v>21</v>
      </c>
      <c r="M329" t="s">
        <v>19</v>
      </c>
      <c r="N329">
        <v>1</v>
      </c>
      <c r="O329" t="s">
        <v>22</v>
      </c>
      <c r="P329" t="s">
        <v>19</v>
      </c>
      <c r="Q329">
        <v>0.97199999999999998</v>
      </c>
      <c r="R329" t="s">
        <v>23</v>
      </c>
      <c r="S329">
        <v>4</v>
      </c>
    </row>
    <row r="330" spans="1:19">
      <c r="A330">
        <v>329</v>
      </c>
      <c r="B330" t="s">
        <v>259</v>
      </c>
      <c r="C330">
        <v>808.58320000000003</v>
      </c>
      <c r="D330">
        <v>289.8</v>
      </c>
      <c r="E330">
        <v>-0.68037487696256005</v>
      </c>
      <c r="F330" t="s">
        <v>18</v>
      </c>
      <c r="G330" t="s">
        <v>19</v>
      </c>
      <c r="H330">
        <v>1</v>
      </c>
      <c r="I330" t="s">
        <v>20</v>
      </c>
      <c r="J330" t="s">
        <v>19</v>
      </c>
      <c r="K330">
        <v>1</v>
      </c>
      <c r="L330" t="s">
        <v>21</v>
      </c>
      <c r="M330" t="s">
        <v>19</v>
      </c>
      <c r="N330">
        <v>1</v>
      </c>
      <c r="O330" t="s">
        <v>110</v>
      </c>
      <c r="P330" t="s">
        <v>19</v>
      </c>
      <c r="Q330">
        <v>0.91500000000000004</v>
      </c>
      <c r="R330" t="s">
        <v>23</v>
      </c>
      <c r="S330">
        <v>4</v>
      </c>
    </row>
    <row r="331" spans="1:19">
      <c r="A331">
        <v>330</v>
      </c>
      <c r="B331" t="s">
        <v>370</v>
      </c>
      <c r="C331">
        <v>217.0701</v>
      </c>
      <c r="D331">
        <v>142</v>
      </c>
      <c r="E331">
        <v>-0.82772996344684202</v>
      </c>
      <c r="F331" t="s">
        <v>18</v>
      </c>
      <c r="G331" t="s">
        <v>19</v>
      </c>
      <c r="H331">
        <v>1</v>
      </c>
      <c r="I331" t="s">
        <v>59</v>
      </c>
      <c r="J331" t="s">
        <v>19</v>
      </c>
      <c r="K331">
        <v>0.6</v>
      </c>
      <c r="L331" t="s">
        <v>70</v>
      </c>
      <c r="M331" t="s">
        <v>19</v>
      </c>
      <c r="N331">
        <v>0.56000000000000005</v>
      </c>
      <c r="O331" t="s">
        <v>71</v>
      </c>
      <c r="P331" t="s">
        <v>19</v>
      </c>
      <c r="Q331">
        <v>0.997</v>
      </c>
      <c r="R331" t="s">
        <v>23</v>
      </c>
      <c r="S331">
        <v>4</v>
      </c>
    </row>
    <row r="332" spans="1:19">
      <c r="A332">
        <v>331</v>
      </c>
      <c r="B332" t="s">
        <v>371</v>
      </c>
      <c r="C332">
        <v>245.09350000000001</v>
      </c>
      <c r="D332">
        <v>158.6</v>
      </c>
      <c r="E332">
        <v>-0.81984038242052304</v>
      </c>
      <c r="F332" t="s">
        <v>18</v>
      </c>
      <c r="G332" t="s">
        <v>19</v>
      </c>
      <c r="H332">
        <v>1</v>
      </c>
      <c r="I332" t="s">
        <v>39</v>
      </c>
      <c r="J332" t="s">
        <v>19</v>
      </c>
      <c r="K332">
        <v>0.86</v>
      </c>
      <c r="L332" t="s">
        <v>40</v>
      </c>
      <c r="M332" t="s">
        <v>19</v>
      </c>
      <c r="N332">
        <v>0.98</v>
      </c>
      <c r="O332" t="s">
        <v>41</v>
      </c>
      <c r="P332" t="s">
        <v>19</v>
      </c>
      <c r="Q332">
        <v>0.98799999999999999</v>
      </c>
      <c r="R332" t="s">
        <v>23</v>
      </c>
      <c r="S332">
        <v>4</v>
      </c>
    </row>
    <row r="333" spans="1:19">
      <c r="A333">
        <v>332</v>
      </c>
      <c r="B333" t="s">
        <v>372</v>
      </c>
      <c r="C333">
        <v>285.0204</v>
      </c>
      <c r="D333">
        <v>161.69999999999999</v>
      </c>
      <c r="E333">
        <v>-0.70215992563510099</v>
      </c>
      <c r="F333" t="s">
        <v>18</v>
      </c>
      <c r="G333" t="s">
        <v>19</v>
      </c>
      <c r="H333">
        <v>1</v>
      </c>
      <c r="I333" t="s">
        <v>33</v>
      </c>
      <c r="J333" t="s">
        <v>19</v>
      </c>
      <c r="K333">
        <v>0.69</v>
      </c>
      <c r="L333" t="s">
        <v>34</v>
      </c>
      <c r="M333" t="s">
        <v>19</v>
      </c>
      <c r="N333">
        <v>0.98</v>
      </c>
      <c r="O333" t="s">
        <v>373</v>
      </c>
      <c r="P333" t="s">
        <v>19</v>
      </c>
      <c r="Q333">
        <v>0.84</v>
      </c>
      <c r="R333" t="s">
        <v>23</v>
      </c>
      <c r="S333">
        <v>4</v>
      </c>
    </row>
    <row r="334" spans="1:19">
      <c r="A334">
        <v>333</v>
      </c>
      <c r="B334" t="s">
        <v>374</v>
      </c>
      <c r="C334">
        <v>650.23040000000003</v>
      </c>
      <c r="D334">
        <v>376.3</v>
      </c>
      <c r="E334">
        <v>-0.50438399956533397</v>
      </c>
      <c r="F334" t="s">
        <v>18</v>
      </c>
      <c r="G334" t="s">
        <v>19</v>
      </c>
      <c r="H334">
        <v>1</v>
      </c>
      <c r="I334" t="s">
        <v>39</v>
      </c>
      <c r="J334" t="s">
        <v>19</v>
      </c>
      <c r="K334">
        <v>1</v>
      </c>
      <c r="L334" t="s">
        <v>138</v>
      </c>
      <c r="M334" t="s">
        <v>19</v>
      </c>
      <c r="N334">
        <v>1</v>
      </c>
      <c r="O334" t="s">
        <v>184</v>
      </c>
      <c r="P334" t="s">
        <v>19</v>
      </c>
      <c r="Q334">
        <v>0.99099999999999999</v>
      </c>
      <c r="R334" t="s">
        <v>23</v>
      </c>
      <c r="S334">
        <v>4</v>
      </c>
    </row>
    <row r="335" spans="1:19">
      <c r="A335">
        <v>334</v>
      </c>
      <c r="B335" t="s">
        <v>375</v>
      </c>
      <c r="C335">
        <v>752.60159999999996</v>
      </c>
      <c r="D335">
        <v>285.60000000000002</v>
      </c>
      <c r="E335">
        <v>-0.76128123983005502</v>
      </c>
      <c r="F335" t="s">
        <v>18</v>
      </c>
      <c r="G335" t="s">
        <v>19</v>
      </c>
      <c r="H335">
        <v>1</v>
      </c>
      <c r="I335" t="s">
        <v>20</v>
      </c>
      <c r="J335" t="s">
        <v>19</v>
      </c>
      <c r="K335">
        <v>1</v>
      </c>
      <c r="L335" t="s">
        <v>56</v>
      </c>
      <c r="M335" t="s">
        <v>19</v>
      </c>
      <c r="N335">
        <v>0.75</v>
      </c>
      <c r="O335" t="s">
        <v>57</v>
      </c>
      <c r="P335" t="s">
        <v>19</v>
      </c>
      <c r="Q335">
        <v>0.83199999999999996</v>
      </c>
      <c r="R335" t="s">
        <v>23</v>
      </c>
      <c r="S335">
        <v>4</v>
      </c>
    </row>
    <row r="336" spans="1:19">
      <c r="A336">
        <v>335</v>
      </c>
      <c r="B336" t="s">
        <v>376</v>
      </c>
      <c r="C336">
        <v>236.98740000000001</v>
      </c>
      <c r="D336">
        <v>149.6</v>
      </c>
      <c r="E336">
        <v>-0.722791263925188</v>
      </c>
      <c r="F336" t="s">
        <v>18</v>
      </c>
      <c r="G336" t="s">
        <v>19</v>
      </c>
      <c r="H336">
        <v>1</v>
      </c>
      <c r="I336" t="s">
        <v>33</v>
      </c>
      <c r="J336" t="s">
        <v>19</v>
      </c>
      <c r="K336">
        <v>0.95</v>
      </c>
      <c r="L336" t="s">
        <v>34</v>
      </c>
      <c r="M336" t="s">
        <v>19</v>
      </c>
      <c r="N336">
        <v>1</v>
      </c>
      <c r="O336" t="s">
        <v>88</v>
      </c>
      <c r="P336" t="s">
        <v>19</v>
      </c>
      <c r="Q336">
        <v>0.98899999999999999</v>
      </c>
      <c r="R336" t="s">
        <v>23</v>
      </c>
      <c r="S336">
        <v>4</v>
      </c>
    </row>
    <row r="337" spans="1:19">
      <c r="A337">
        <v>336</v>
      </c>
      <c r="B337" t="s">
        <v>377</v>
      </c>
      <c r="C337">
        <v>181.0497</v>
      </c>
      <c r="D337">
        <v>134.69999999999999</v>
      </c>
      <c r="E337">
        <v>-0.84754861016355698</v>
      </c>
      <c r="F337" t="s">
        <v>18</v>
      </c>
      <c r="G337" t="s">
        <v>19</v>
      </c>
      <c r="H337">
        <v>1</v>
      </c>
      <c r="I337" t="s">
        <v>20</v>
      </c>
      <c r="J337" t="s">
        <v>19</v>
      </c>
      <c r="K337">
        <v>0.65</v>
      </c>
      <c r="L337" t="s">
        <v>30</v>
      </c>
      <c r="M337" t="s">
        <v>19</v>
      </c>
      <c r="N337">
        <v>1</v>
      </c>
      <c r="O337" t="s">
        <v>67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378</v>
      </c>
      <c r="C338">
        <v>296.99970000000002</v>
      </c>
      <c r="D338">
        <v>149.1</v>
      </c>
      <c r="E338">
        <v>-0.668084415240628</v>
      </c>
      <c r="F338" t="s">
        <v>18</v>
      </c>
      <c r="G338" t="s">
        <v>19</v>
      </c>
      <c r="H338">
        <v>1</v>
      </c>
      <c r="I338" t="s">
        <v>33</v>
      </c>
      <c r="J338" t="s">
        <v>19</v>
      </c>
      <c r="K338">
        <v>0.82</v>
      </c>
      <c r="L338" t="s">
        <v>34</v>
      </c>
      <c r="M338" t="s">
        <v>19</v>
      </c>
      <c r="N338">
        <v>1</v>
      </c>
      <c r="O338" t="s">
        <v>353</v>
      </c>
      <c r="P338" t="s">
        <v>19</v>
      </c>
      <c r="Q338">
        <v>0.76600000000000001</v>
      </c>
      <c r="R338" t="s">
        <v>23</v>
      </c>
      <c r="S338">
        <v>4</v>
      </c>
    </row>
    <row r="339" spans="1:19">
      <c r="A339">
        <v>338</v>
      </c>
      <c r="B339" t="s">
        <v>379</v>
      </c>
      <c r="C339">
        <v>188.05629999999999</v>
      </c>
      <c r="D339">
        <v>137</v>
      </c>
      <c r="E339">
        <v>-0.84632537749303105</v>
      </c>
      <c r="F339" t="s">
        <v>18</v>
      </c>
      <c r="G339" t="s">
        <v>19</v>
      </c>
      <c r="H339">
        <v>1</v>
      </c>
      <c r="I339" t="s">
        <v>39</v>
      </c>
      <c r="J339" t="s">
        <v>19</v>
      </c>
      <c r="K339">
        <v>0.72</v>
      </c>
      <c r="L339" t="s">
        <v>40</v>
      </c>
      <c r="M339" t="s">
        <v>19</v>
      </c>
      <c r="N339">
        <v>1</v>
      </c>
      <c r="O339" t="s">
        <v>41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339</v>
      </c>
      <c r="B340" t="s">
        <v>380</v>
      </c>
      <c r="C340">
        <v>168.1472</v>
      </c>
      <c r="D340">
        <v>136.19999999999999</v>
      </c>
      <c r="E340">
        <v>-0.95945492128896603</v>
      </c>
      <c r="F340" t="s">
        <v>18</v>
      </c>
      <c r="G340" t="s">
        <v>19</v>
      </c>
      <c r="H340">
        <v>1</v>
      </c>
      <c r="I340" t="s">
        <v>125</v>
      </c>
      <c r="J340" t="s">
        <v>19</v>
      </c>
      <c r="K340">
        <v>0.98</v>
      </c>
      <c r="L340" t="s">
        <v>126</v>
      </c>
      <c r="M340" t="s">
        <v>19</v>
      </c>
      <c r="N340">
        <v>1</v>
      </c>
      <c r="O340" t="s">
        <v>127</v>
      </c>
      <c r="P340" t="s">
        <v>19</v>
      </c>
      <c r="Q340">
        <v>0.87</v>
      </c>
      <c r="R340" t="s">
        <v>23</v>
      </c>
      <c r="S340">
        <v>4</v>
      </c>
    </row>
    <row r="341" spans="1:19">
      <c r="A341">
        <v>340</v>
      </c>
      <c r="B341" t="s">
        <v>381</v>
      </c>
      <c r="C341">
        <v>1159.9535000000001</v>
      </c>
      <c r="D341">
        <v>272.48</v>
      </c>
      <c r="E341">
        <v>-0.65835169447586805</v>
      </c>
      <c r="F341" t="s">
        <v>18</v>
      </c>
      <c r="G341" t="s">
        <v>19</v>
      </c>
      <c r="H341">
        <v>0.89</v>
      </c>
      <c r="I341" t="s">
        <v>48</v>
      </c>
      <c r="J341" t="s">
        <v>19</v>
      </c>
      <c r="K341">
        <v>0.98</v>
      </c>
      <c r="L341" t="s">
        <v>49</v>
      </c>
      <c r="M341" t="s">
        <v>19</v>
      </c>
      <c r="N341">
        <v>0.98</v>
      </c>
      <c r="O341" t="s">
        <v>50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341</v>
      </c>
      <c r="B342" t="s">
        <v>382</v>
      </c>
      <c r="C342">
        <v>173.0086</v>
      </c>
      <c r="D342">
        <v>131.9</v>
      </c>
      <c r="E342">
        <v>-0.815426915793523</v>
      </c>
      <c r="F342" t="s">
        <v>18</v>
      </c>
      <c r="G342" t="s">
        <v>19</v>
      </c>
      <c r="H342">
        <v>1</v>
      </c>
      <c r="I342" t="s">
        <v>39</v>
      </c>
      <c r="J342" t="s">
        <v>19</v>
      </c>
      <c r="K342">
        <v>0.87</v>
      </c>
      <c r="L342" t="s">
        <v>40</v>
      </c>
      <c r="M342" t="s">
        <v>19</v>
      </c>
      <c r="N342">
        <v>1</v>
      </c>
      <c r="O342" t="s">
        <v>169</v>
      </c>
      <c r="P342" t="s">
        <v>19</v>
      </c>
      <c r="Q342">
        <v>0.79600000000000004</v>
      </c>
      <c r="R342" t="s">
        <v>23</v>
      </c>
      <c r="S342">
        <v>4</v>
      </c>
    </row>
    <row r="343" spans="1:19">
      <c r="A343">
        <v>342</v>
      </c>
      <c r="B343" t="s">
        <v>383</v>
      </c>
      <c r="C343">
        <v>208.98169999999999</v>
      </c>
      <c r="D343">
        <v>141.9</v>
      </c>
      <c r="E343">
        <v>-0.74836108198252305</v>
      </c>
      <c r="F343" t="s">
        <v>18</v>
      </c>
      <c r="G343" t="s">
        <v>19</v>
      </c>
      <c r="H343">
        <v>1</v>
      </c>
      <c r="I343" t="s">
        <v>43</v>
      </c>
      <c r="J343" t="s">
        <v>19</v>
      </c>
      <c r="K343">
        <v>0.78</v>
      </c>
      <c r="L343" t="s">
        <v>44</v>
      </c>
      <c r="M343" t="s">
        <v>19</v>
      </c>
      <c r="N343">
        <v>1</v>
      </c>
      <c r="O343" t="s">
        <v>45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343</v>
      </c>
      <c r="B344" t="s">
        <v>384</v>
      </c>
      <c r="C344">
        <v>800.65380000000005</v>
      </c>
      <c r="D344">
        <v>301.8</v>
      </c>
      <c r="E344">
        <v>-0.75982846374324697</v>
      </c>
      <c r="F344" t="s">
        <v>18</v>
      </c>
      <c r="G344" t="s">
        <v>19</v>
      </c>
      <c r="H344">
        <v>1</v>
      </c>
      <c r="I344" t="s">
        <v>20</v>
      </c>
      <c r="J344" t="s">
        <v>19</v>
      </c>
      <c r="K344">
        <v>1</v>
      </c>
      <c r="L344" t="s">
        <v>56</v>
      </c>
      <c r="M344" t="s">
        <v>19</v>
      </c>
      <c r="N344">
        <v>1</v>
      </c>
      <c r="O344" t="s">
        <v>57</v>
      </c>
      <c r="P344" t="s">
        <v>19</v>
      </c>
      <c r="Q344">
        <v>0.86599999999999999</v>
      </c>
      <c r="R344" t="s">
        <v>23</v>
      </c>
      <c r="S344">
        <v>4</v>
      </c>
    </row>
    <row r="345" spans="1:19">
      <c r="A345">
        <v>344</v>
      </c>
      <c r="B345" t="s">
        <v>385</v>
      </c>
      <c r="C345">
        <v>733.4248</v>
      </c>
      <c r="D345">
        <v>267</v>
      </c>
      <c r="E345">
        <v>-0.60589313265632005</v>
      </c>
      <c r="F345" t="s">
        <v>18</v>
      </c>
      <c r="G345" t="s">
        <v>19</v>
      </c>
      <c r="H345">
        <v>1</v>
      </c>
      <c r="I345" t="s">
        <v>39</v>
      </c>
      <c r="J345" t="s">
        <v>19</v>
      </c>
      <c r="K345">
        <v>0.66</v>
      </c>
      <c r="L345" t="s">
        <v>40</v>
      </c>
      <c r="M345" t="s">
        <v>19</v>
      </c>
      <c r="N345">
        <v>0.99</v>
      </c>
      <c r="O345" t="s">
        <v>41</v>
      </c>
      <c r="P345" t="s">
        <v>19</v>
      </c>
      <c r="Q345">
        <v>1</v>
      </c>
      <c r="R345" t="s">
        <v>23</v>
      </c>
      <c r="S345">
        <v>4</v>
      </c>
    </row>
    <row r="346" spans="1:19">
      <c r="A346">
        <v>345</v>
      </c>
      <c r="B346" t="s">
        <v>386</v>
      </c>
      <c r="C346">
        <v>724.52570000000003</v>
      </c>
      <c r="D346">
        <v>274.7</v>
      </c>
      <c r="E346">
        <v>-0.71672943983219295</v>
      </c>
      <c r="F346" t="s">
        <v>18</v>
      </c>
      <c r="G346" t="s">
        <v>19</v>
      </c>
      <c r="H346">
        <v>1</v>
      </c>
      <c r="I346" t="s">
        <v>20</v>
      </c>
      <c r="J346" t="s">
        <v>19</v>
      </c>
      <c r="K346">
        <v>1</v>
      </c>
      <c r="L346" t="s">
        <v>21</v>
      </c>
      <c r="M346" t="s">
        <v>19</v>
      </c>
      <c r="N346">
        <v>0.97</v>
      </c>
      <c r="O346" t="s">
        <v>22</v>
      </c>
      <c r="P346" t="s">
        <v>19</v>
      </c>
      <c r="Q346">
        <v>0.94399999999999995</v>
      </c>
      <c r="R346" t="s">
        <v>23</v>
      </c>
      <c r="S346">
        <v>4</v>
      </c>
    </row>
    <row r="347" spans="1:19">
      <c r="A347">
        <v>346</v>
      </c>
      <c r="B347" t="s">
        <v>387</v>
      </c>
      <c r="C347">
        <v>772.52329999999995</v>
      </c>
      <c r="D347">
        <v>280.60000000000002</v>
      </c>
      <c r="E347">
        <v>-0.66073762747987497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1</v>
      </c>
      <c r="L347" t="s">
        <v>21</v>
      </c>
      <c r="M347" t="s">
        <v>19</v>
      </c>
      <c r="N347">
        <v>1</v>
      </c>
      <c r="O347" t="s">
        <v>22</v>
      </c>
      <c r="P347" t="s">
        <v>19</v>
      </c>
      <c r="Q347">
        <v>0.93300000000000005</v>
      </c>
      <c r="R347" t="s">
        <v>23</v>
      </c>
      <c r="S347">
        <v>4</v>
      </c>
    </row>
    <row r="348" spans="1:19">
      <c r="A348">
        <v>347</v>
      </c>
      <c r="B348" t="s">
        <v>388</v>
      </c>
      <c r="C348">
        <v>776.46320000000003</v>
      </c>
      <c r="D348">
        <v>275.5</v>
      </c>
      <c r="E348">
        <v>-0.59623852457718796</v>
      </c>
      <c r="F348" t="s">
        <v>18</v>
      </c>
      <c r="G348" t="s">
        <v>19</v>
      </c>
      <c r="H348">
        <v>1</v>
      </c>
      <c r="I348" t="s">
        <v>20</v>
      </c>
      <c r="J348" t="s">
        <v>19</v>
      </c>
      <c r="K348">
        <v>0.74</v>
      </c>
      <c r="L348" t="s">
        <v>21</v>
      </c>
      <c r="M348" t="s">
        <v>19</v>
      </c>
      <c r="N348">
        <v>1</v>
      </c>
      <c r="O348" t="s">
        <v>22</v>
      </c>
      <c r="P348" t="s">
        <v>19</v>
      </c>
      <c r="Q348">
        <v>0.80900000000000005</v>
      </c>
      <c r="R348" t="s">
        <v>23</v>
      </c>
      <c r="S348">
        <v>4</v>
      </c>
    </row>
    <row r="349" spans="1:19">
      <c r="A349">
        <v>348</v>
      </c>
      <c r="B349" t="s">
        <v>389</v>
      </c>
      <c r="C349">
        <v>612.60829999999999</v>
      </c>
      <c r="D349">
        <v>273.49</v>
      </c>
      <c r="E349">
        <v>-0.92429102748940295</v>
      </c>
      <c r="F349" t="s">
        <v>18</v>
      </c>
      <c r="G349" t="s">
        <v>19</v>
      </c>
      <c r="H349">
        <v>1</v>
      </c>
      <c r="I349" t="s">
        <v>20</v>
      </c>
      <c r="J349" t="s">
        <v>19</v>
      </c>
      <c r="K349">
        <v>0.99</v>
      </c>
      <c r="L349" t="s">
        <v>56</v>
      </c>
      <c r="M349" t="s">
        <v>19</v>
      </c>
      <c r="N349">
        <v>1</v>
      </c>
      <c r="O349" t="s">
        <v>145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349</v>
      </c>
      <c r="B350" t="s">
        <v>347</v>
      </c>
      <c r="C350">
        <v>116.0706</v>
      </c>
      <c r="D350">
        <v>125.8</v>
      </c>
      <c r="E350">
        <v>-0.94100114891573094</v>
      </c>
      <c r="F350" t="s">
        <v>18</v>
      </c>
      <c r="G350" t="s">
        <v>19</v>
      </c>
      <c r="H350">
        <v>1</v>
      </c>
      <c r="I350" t="s">
        <v>39</v>
      </c>
      <c r="J350" t="s">
        <v>19</v>
      </c>
      <c r="K350">
        <v>0.99</v>
      </c>
      <c r="L350" t="s">
        <v>40</v>
      </c>
      <c r="M350" t="s">
        <v>19</v>
      </c>
      <c r="N350">
        <v>1</v>
      </c>
      <c r="O350" t="s">
        <v>41</v>
      </c>
      <c r="P350" t="s">
        <v>19</v>
      </c>
      <c r="Q350">
        <v>1</v>
      </c>
      <c r="R350" t="s">
        <v>23</v>
      </c>
      <c r="S350">
        <v>4</v>
      </c>
    </row>
    <row r="351" spans="1:19">
      <c r="A351">
        <v>350</v>
      </c>
      <c r="B351" t="s">
        <v>311</v>
      </c>
      <c r="C351">
        <v>804.63289999999995</v>
      </c>
      <c r="D351">
        <v>293.2</v>
      </c>
      <c r="E351">
        <v>-0.73448559200517105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1</v>
      </c>
      <c r="L351" t="s">
        <v>56</v>
      </c>
      <c r="M351" t="s">
        <v>19</v>
      </c>
      <c r="N351">
        <v>0.96</v>
      </c>
      <c r="O351" t="s">
        <v>57</v>
      </c>
      <c r="P351" t="s">
        <v>19</v>
      </c>
      <c r="Q351">
        <v>0.83199999999999996</v>
      </c>
      <c r="R351" t="s">
        <v>23</v>
      </c>
      <c r="S351">
        <v>4</v>
      </c>
    </row>
    <row r="352" spans="1:19">
      <c r="A352">
        <v>351</v>
      </c>
      <c r="B352" t="s">
        <v>390</v>
      </c>
      <c r="C352">
        <v>118.0515</v>
      </c>
      <c r="D352">
        <v>119.7</v>
      </c>
      <c r="E352">
        <v>-0.91968937122084105</v>
      </c>
      <c r="F352" t="s">
        <v>18</v>
      </c>
      <c r="G352" t="s">
        <v>19</v>
      </c>
      <c r="H352">
        <v>1</v>
      </c>
      <c r="I352" t="s">
        <v>39</v>
      </c>
      <c r="J352" t="s">
        <v>19</v>
      </c>
      <c r="K352">
        <v>0.84</v>
      </c>
      <c r="L352" t="s">
        <v>40</v>
      </c>
      <c r="M352" t="s">
        <v>19</v>
      </c>
      <c r="N352">
        <v>1</v>
      </c>
      <c r="O352" t="s">
        <v>41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352</v>
      </c>
      <c r="B353" t="s">
        <v>391</v>
      </c>
      <c r="C353">
        <v>206.96770000000001</v>
      </c>
      <c r="D353">
        <v>141.69999999999999</v>
      </c>
      <c r="E353">
        <v>-0.73660981754594002</v>
      </c>
      <c r="F353" t="s">
        <v>18</v>
      </c>
      <c r="G353" t="s">
        <v>19</v>
      </c>
      <c r="H353">
        <v>1</v>
      </c>
      <c r="I353" t="s">
        <v>43</v>
      </c>
      <c r="J353" t="s">
        <v>19</v>
      </c>
      <c r="K353">
        <v>0.86</v>
      </c>
      <c r="L353" t="s">
        <v>44</v>
      </c>
      <c r="M353" t="s">
        <v>19</v>
      </c>
      <c r="N353">
        <v>1</v>
      </c>
      <c r="O353" t="s">
        <v>45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353</v>
      </c>
      <c r="B354" t="s">
        <v>392</v>
      </c>
      <c r="C354">
        <v>822.01670000000001</v>
      </c>
      <c r="D354">
        <v>230.21</v>
      </c>
      <c r="E354">
        <v>-9.8875676768443596E-2</v>
      </c>
      <c r="F354" t="s">
        <v>18</v>
      </c>
      <c r="G354" t="s">
        <v>19</v>
      </c>
      <c r="H354">
        <v>0.998</v>
      </c>
      <c r="I354" t="s">
        <v>48</v>
      </c>
      <c r="J354" t="s">
        <v>19</v>
      </c>
      <c r="K354">
        <v>0.69</v>
      </c>
      <c r="L354" t="s">
        <v>49</v>
      </c>
      <c r="M354" t="s">
        <v>19</v>
      </c>
      <c r="N354">
        <v>0.91</v>
      </c>
      <c r="O354" t="s">
        <v>50</v>
      </c>
      <c r="P354" t="s">
        <v>19</v>
      </c>
      <c r="Q354">
        <v>0.998</v>
      </c>
      <c r="R354" t="s">
        <v>23</v>
      </c>
      <c r="S354">
        <v>4</v>
      </c>
    </row>
    <row r="355" spans="1:19">
      <c r="A355">
        <v>354</v>
      </c>
      <c r="B355" t="s">
        <v>393</v>
      </c>
      <c r="C355">
        <v>209.0301</v>
      </c>
      <c r="D355">
        <v>133.4</v>
      </c>
      <c r="E355">
        <v>-0.79670704086970501</v>
      </c>
      <c r="F355" t="s">
        <v>18</v>
      </c>
      <c r="G355" t="s">
        <v>19</v>
      </c>
      <c r="H355">
        <v>1</v>
      </c>
      <c r="I355" t="s">
        <v>43</v>
      </c>
      <c r="J355" t="s">
        <v>19</v>
      </c>
      <c r="K355">
        <v>0.82</v>
      </c>
      <c r="L355" t="s">
        <v>44</v>
      </c>
      <c r="M355" t="s">
        <v>19</v>
      </c>
      <c r="N355">
        <v>1</v>
      </c>
      <c r="O355" t="s">
        <v>45</v>
      </c>
      <c r="P355" t="s">
        <v>19</v>
      </c>
      <c r="Q355">
        <v>1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workbookViewId="0">
      <selection activeCell="A44" sqref="A44"/>
    </sheetView>
  </sheetViews>
  <sheetFormatPr baseColWidth="10" defaultRowHeight="16"/>
  <sheetData>
    <row r="1" spans="1:13">
      <c r="A1" s="1" t="s">
        <v>4</v>
      </c>
      <c r="B1" t="s">
        <v>25</v>
      </c>
      <c r="C1" t="s">
        <v>18</v>
      </c>
      <c r="D1" t="s">
        <v>396</v>
      </c>
    </row>
    <row r="2" spans="1:13">
      <c r="A2" t="s">
        <v>25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33</v>
      </c>
      <c r="C5" t="s">
        <v>20</v>
      </c>
      <c r="D5" t="s">
        <v>26</v>
      </c>
      <c r="E5" t="s">
        <v>52</v>
      </c>
      <c r="F5" t="s">
        <v>39</v>
      </c>
      <c r="G5" t="s">
        <v>125</v>
      </c>
      <c r="H5" t="s">
        <v>43</v>
      </c>
      <c r="I5" t="s">
        <v>115</v>
      </c>
      <c r="J5" t="s">
        <v>48</v>
      </c>
      <c r="K5" t="s">
        <v>59</v>
      </c>
      <c r="L5" t="s">
        <v>99</v>
      </c>
      <c r="M5" t="s">
        <v>396</v>
      </c>
    </row>
    <row r="6" spans="1:13">
      <c r="A6" t="s">
        <v>33</v>
      </c>
      <c r="B6">
        <v>96</v>
      </c>
      <c r="C6">
        <v>8</v>
      </c>
      <c r="D6">
        <v>1</v>
      </c>
      <c r="E6">
        <v>2</v>
      </c>
      <c r="F6">
        <v>28</v>
      </c>
      <c r="G6">
        <v>0</v>
      </c>
      <c r="H6">
        <v>14</v>
      </c>
      <c r="I6">
        <v>0</v>
      </c>
      <c r="J6">
        <v>1</v>
      </c>
      <c r="K6">
        <v>16</v>
      </c>
      <c r="L6">
        <v>2</v>
      </c>
      <c r="M6">
        <v>0.42857142857142899</v>
      </c>
    </row>
    <row r="7" spans="1:13">
      <c r="A7" t="s">
        <v>20</v>
      </c>
      <c r="B7">
        <v>4</v>
      </c>
      <c r="C7">
        <v>799</v>
      </c>
      <c r="D7">
        <v>0</v>
      </c>
      <c r="E7">
        <v>0</v>
      </c>
      <c r="F7">
        <v>34</v>
      </c>
      <c r="G7">
        <v>0</v>
      </c>
      <c r="H7">
        <v>10</v>
      </c>
      <c r="I7">
        <v>2</v>
      </c>
      <c r="J7">
        <v>0</v>
      </c>
      <c r="K7">
        <v>8</v>
      </c>
      <c r="L7">
        <v>1</v>
      </c>
      <c r="M7">
        <v>6.8764568764568698E-2</v>
      </c>
    </row>
    <row r="8" spans="1:13">
      <c r="A8" t="s">
        <v>26</v>
      </c>
      <c r="B8">
        <v>2</v>
      </c>
      <c r="C8">
        <v>2</v>
      </c>
      <c r="D8">
        <v>41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52</v>
      </c>
      <c r="B9">
        <v>1</v>
      </c>
      <c r="C9">
        <v>1</v>
      </c>
      <c r="D9">
        <v>0</v>
      </c>
      <c r="E9">
        <v>147</v>
      </c>
      <c r="F9">
        <v>3</v>
      </c>
      <c r="G9">
        <v>0</v>
      </c>
      <c r="H9">
        <v>5</v>
      </c>
      <c r="I9">
        <v>0</v>
      </c>
      <c r="J9">
        <v>1</v>
      </c>
      <c r="K9">
        <v>1</v>
      </c>
      <c r="L9">
        <v>1</v>
      </c>
      <c r="M9">
        <v>8.1250000000000003E-2</v>
      </c>
    </row>
    <row r="10" spans="1:13">
      <c r="A10" t="s">
        <v>39</v>
      </c>
      <c r="B10">
        <v>16</v>
      </c>
      <c r="C10">
        <v>40</v>
      </c>
      <c r="D10">
        <v>0</v>
      </c>
      <c r="E10">
        <v>4</v>
      </c>
      <c r="F10">
        <v>419</v>
      </c>
      <c r="G10">
        <v>3</v>
      </c>
      <c r="H10">
        <v>48</v>
      </c>
      <c r="I10">
        <v>0</v>
      </c>
      <c r="J10">
        <v>2</v>
      </c>
      <c r="K10">
        <v>33</v>
      </c>
      <c r="L10">
        <v>0</v>
      </c>
      <c r="M10">
        <v>0.258407079646018</v>
      </c>
    </row>
    <row r="11" spans="1:13">
      <c r="A11" t="s">
        <v>125</v>
      </c>
      <c r="B11">
        <v>1</v>
      </c>
      <c r="C11">
        <v>4</v>
      </c>
      <c r="D11">
        <v>0</v>
      </c>
      <c r="E11">
        <v>0</v>
      </c>
      <c r="F11">
        <v>6</v>
      </c>
      <c r="G11">
        <v>27</v>
      </c>
      <c r="H11">
        <v>1</v>
      </c>
      <c r="I11">
        <v>0</v>
      </c>
      <c r="J11">
        <v>0</v>
      </c>
      <c r="K11">
        <v>2</v>
      </c>
      <c r="L11">
        <v>0</v>
      </c>
      <c r="M11">
        <v>0.34146341463414598</v>
      </c>
    </row>
    <row r="12" spans="1:13">
      <c r="A12" t="s">
        <v>43</v>
      </c>
      <c r="B12">
        <v>10</v>
      </c>
      <c r="C12">
        <v>14</v>
      </c>
      <c r="D12">
        <v>0</v>
      </c>
      <c r="E12">
        <v>11</v>
      </c>
      <c r="F12">
        <v>53</v>
      </c>
      <c r="G12">
        <v>0</v>
      </c>
      <c r="H12">
        <v>170</v>
      </c>
      <c r="I12">
        <v>0</v>
      </c>
      <c r="J12">
        <v>0</v>
      </c>
      <c r="K12">
        <v>17</v>
      </c>
      <c r="L12">
        <v>1</v>
      </c>
      <c r="M12">
        <v>0.38405797101449302</v>
      </c>
    </row>
    <row r="13" spans="1:13">
      <c r="A13" t="s">
        <v>115</v>
      </c>
      <c r="B13">
        <v>0</v>
      </c>
      <c r="C13">
        <v>4</v>
      </c>
      <c r="D13">
        <v>0</v>
      </c>
      <c r="E13">
        <v>0</v>
      </c>
      <c r="F13">
        <v>6</v>
      </c>
      <c r="G13">
        <v>0</v>
      </c>
      <c r="H13">
        <v>0</v>
      </c>
      <c r="I13">
        <v>2</v>
      </c>
      <c r="J13">
        <v>0</v>
      </c>
      <c r="K13">
        <v>0</v>
      </c>
      <c r="L13">
        <v>0</v>
      </c>
      <c r="M13">
        <v>0.83333333333333304</v>
      </c>
    </row>
    <row r="14" spans="1:13">
      <c r="A14" t="s">
        <v>48</v>
      </c>
      <c r="B14">
        <v>2</v>
      </c>
      <c r="C14">
        <v>0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59</v>
      </c>
      <c r="B15">
        <v>8</v>
      </c>
      <c r="C15">
        <v>7</v>
      </c>
      <c r="D15">
        <v>0</v>
      </c>
      <c r="E15">
        <v>7</v>
      </c>
      <c r="F15">
        <v>51</v>
      </c>
      <c r="G15">
        <v>1</v>
      </c>
      <c r="H15">
        <v>23</v>
      </c>
      <c r="I15">
        <v>0</v>
      </c>
      <c r="J15">
        <v>0</v>
      </c>
      <c r="K15">
        <v>60</v>
      </c>
      <c r="L15">
        <v>0</v>
      </c>
      <c r="M15">
        <v>0.61783439490445902</v>
      </c>
    </row>
    <row r="16" spans="1:13">
      <c r="A16" t="s">
        <v>99</v>
      </c>
      <c r="B16">
        <v>5</v>
      </c>
      <c r="C16">
        <v>1</v>
      </c>
      <c r="D16">
        <v>0</v>
      </c>
      <c r="E16">
        <v>0</v>
      </c>
      <c r="F16">
        <v>4</v>
      </c>
      <c r="G16">
        <v>0</v>
      </c>
      <c r="H16">
        <v>1</v>
      </c>
      <c r="I16">
        <v>0</v>
      </c>
      <c r="J16">
        <v>0</v>
      </c>
      <c r="K16">
        <v>1</v>
      </c>
      <c r="L16">
        <v>3</v>
      </c>
      <c r="M16">
        <v>0.8</v>
      </c>
    </row>
    <row r="18" spans="1:25">
      <c r="A18" s="1" t="s">
        <v>10</v>
      </c>
      <c r="B18" t="s">
        <v>27</v>
      </c>
      <c r="C18" t="s">
        <v>397</v>
      </c>
      <c r="D18" t="s">
        <v>34</v>
      </c>
      <c r="E18" t="s">
        <v>40</v>
      </c>
      <c r="F18" t="s">
        <v>151</v>
      </c>
      <c r="G18" t="s">
        <v>30</v>
      </c>
      <c r="H18" t="s">
        <v>398</v>
      </c>
      <c r="I18" t="s">
        <v>100</v>
      </c>
      <c r="J18" t="s">
        <v>21</v>
      </c>
      <c r="K18" t="s">
        <v>70</v>
      </c>
      <c r="L18" t="s">
        <v>91</v>
      </c>
      <c r="M18" t="s">
        <v>49</v>
      </c>
      <c r="N18" t="s">
        <v>126</v>
      </c>
      <c r="O18" t="s">
        <v>44</v>
      </c>
      <c r="P18" t="s">
        <v>138</v>
      </c>
      <c r="Q18" t="s">
        <v>201</v>
      </c>
      <c r="R18" t="s">
        <v>53</v>
      </c>
      <c r="S18" t="s">
        <v>399</v>
      </c>
      <c r="T18" t="s">
        <v>188</v>
      </c>
      <c r="U18" t="s">
        <v>131</v>
      </c>
      <c r="V18" t="s">
        <v>60</v>
      </c>
      <c r="W18" t="s">
        <v>56</v>
      </c>
      <c r="X18" t="s">
        <v>85</v>
      </c>
      <c r="Y18" t="s">
        <v>396</v>
      </c>
    </row>
    <row r="19" spans="1:25">
      <c r="A19" t="s">
        <v>27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397</v>
      </c>
      <c r="B20">
        <v>0</v>
      </c>
      <c r="C20">
        <v>3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0.75</v>
      </c>
    </row>
    <row r="21" spans="1:25">
      <c r="A21" t="s">
        <v>34</v>
      </c>
      <c r="B21">
        <v>0</v>
      </c>
      <c r="C21">
        <v>0</v>
      </c>
      <c r="D21">
        <v>138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1</v>
      </c>
      <c r="S21">
        <v>3</v>
      </c>
      <c r="T21">
        <v>0</v>
      </c>
      <c r="U21">
        <v>0</v>
      </c>
      <c r="V21">
        <v>0</v>
      </c>
      <c r="W21">
        <v>0</v>
      </c>
      <c r="X21">
        <v>0</v>
      </c>
      <c r="Y21">
        <v>4.8275862068965503E-2</v>
      </c>
    </row>
    <row r="22" spans="1:25">
      <c r="A22" t="s">
        <v>40</v>
      </c>
      <c r="B22">
        <v>0</v>
      </c>
      <c r="C22">
        <v>0</v>
      </c>
      <c r="D22">
        <v>0</v>
      </c>
      <c r="E22">
        <v>503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14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2.7079303675048402E-2</v>
      </c>
    </row>
    <row r="23" spans="1:25">
      <c r="A23" t="s">
        <v>151</v>
      </c>
      <c r="B23">
        <v>0</v>
      </c>
      <c r="C23">
        <v>1</v>
      </c>
      <c r="D23">
        <v>0</v>
      </c>
      <c r="E23">
        <v>0</v>
      </c>
      <c r="F23">
        <v>13</v>
      </c>
      <c r="G23">
        <v>0</v>
      </c>
      <c r="H23">
        <v>0</v>
      </c>
      <c r="I23">
        <v>0</v>
      </c>
      <c r="J23">
        <v>0</v>
      </c>
      <c r="K23">
        <v>7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</v>
      </c>
      <c r="U23">
        <v>0</v>
      </c>
      <c r="V23">
        <v>0</v>
      </c>
      <c r="W23">
        <v>0</v>
      </c>
      <c r="X23">
        <v>0</v>
      </c>
      <c r="Y23">
        <v>0.45833333333333298</v>
      </c>
    </row>
    <row r="24" spans="1:25">
      <c r="A24" t="s">
        <v>30</v>
      </c>
      <c r="B24">
        <v>0</v>
      </c>
      <c r="C24">
        <v>0</v>
      </c>
      <c r="D24">
        <v>0</v>
      </c>
      <c r="E24">
        <v>0</v>
      </c>
      <c r="F24">
        <v>0</v>
      </c>
      <c r="G24">
        <v>182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8</v>
      </c>
      <c r="Y24">
        <v>7.6142131979695396E-2</v>
      </c>
    </row>
    <row r="25" spans="1:25">
      <c r="A25" t="s">
        <v>398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2</v>
      </c>
      <c r="H27">
        <v>0</v>
      </c>
      <c r="I27">
        <v>0</v>
      </c>
      <c r="J27">
        <v>365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18</v>
      </c>
      <c r="X27">
        <v>5</v>
      </c>
      <c r="Y27">
        <v>6.4102564102564097E-2</v>
      </c>
    </row>
    <row r="28" spans="1:25">
      <c r="A28" t="s">
        <v>70</v>
      </c>
      <c r="B28">
        <v>0</v>
      </c>
      <c r="C28">
        <v>1</v>
      </c>
      <c r="D28">
        <v>0</v>
      </c>
      <c r="E28">
        <v>0</v>
      </c>
      <c r="F28">
        <v>4</v>
      </c>
      <c r="G28">
        <v>0</v>
      </c>
      <c r="H28">
        <v>0</v>
      </c>
      <c r="I28">
        <v>0</v>
      </c>
      <c r="J28">
        <v>0</v>
      </c>
      <c r="K28">
        <v>23</v>
      </c>
      <c r="L28">
        <v>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0</v>
      </c>
      <c r="V28">
        <v>2</v>
      </c>
      <c r="W28">
        <v>0</v>
      </c>
      <c r="X28">
        <v>0</v>
      </c>
      <c r="Y28">
        <v>0.42499999999999999</v>
      </c>
    </row>
    <row r="29" spans="1:25">
      <c r="A29" t="s">
        <v>91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</v>
      </c>
      <c r="W29">
        <v>0</v>
      </c>
      <c r="X29">
        <v>0</v>
      </c>
      <c r="Y29">
        <v>0.25581395348837199</v>
      </c>
    </row>
    <row r="30" spans="1:25">
      <c r="A30" t="s">
        <v>49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126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44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138</v>
      </c>
      <c r="B33">
        <v>0</v>
      </c>
      <c r="C33">
        <v>0</v>
      </c>
      <c r="D33">
        <v>0</v>
      </c>
      <c r="E33">
        <v>24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</v>
      </c>
    </row>
    <row r="34" spans="1:51">
      <c r="A34" t="s">
        <v>201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53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71</v>
      </c>
      <c r="S35">
        <v>0</v>
      </c>
      <c r="T35">
        <v>0</v>
      </c>
      <c r="U35">
        <v>19</v>
      </c>
      <c r="V35">
        <v>0</v>
      </c>
      <c r="W35">
        <v>0</v>
      </c>
      <c r="X35">
        <v>0</v>
      </c>
      <c r="Y35">
        <v>0.211111111111111</v>
      </c>
    </row>
    <row r="36" spans="1:51">
      <c r="A36" t="s">
        <v>399</v>
      </c>
      <c r="B36">
        <v>0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0.6</v>
      </c>
    </row>
    <row r="37" spans="1:51">
      <c r="A37" t="s">
        <v>188</v>
      </c>
      <c r="B37">
        <v>0</v>
      </c>
      <c r="C37">
        <v>1</v>
      </c>
      <c r="D37">
        <v>0</v>
      </c>
      <c r="E37">
        <v>0</v>
      </c>
      <c r="F37">
        <v>2</v>
      </c>
      <c r="G37">
        <v>0</v>
      </c>
      <c r="H37">
        <v>0</v>
      </c>
      <c r="I37">
        <v>0</v>
      </c>
      <c r="J37">
        <v>0</v>
      </c>
      <c r="K37">
        <v>9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131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15</v>
      </c>
      <c r="S38">
        <v>0</v>
      </c>
      <c r="T38">
        <v>0</v>
      </c>
      <c r="U38">
        <v>55</v>
      </c>
      <c r="V38">
        <v>0</v>
      </c>
      <c r="W38">
        <v>0</v>
      </c>
      <c r="X38">
        <v>0</v>
      </c>
      <c r="Y38">
        <v>0.214285714285714</v>
      </c>
    </row>
    <row r="39" spans="1:51">
      <c r="A39" t="s">
        <v>60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2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56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191</v>
      </c>
      <c r="X40">
        <v>0</v>
      </c>
      <c r="Y40">
        <v>9.9056603773584898E-2</v>
      </c>
    </row>
    <row r="41" spans="1:51">
      <c r="A41" t="s">
        <v>85</v>
      </c>
      <c r="B41">
        <v>0</v>
      </c>
      <c r="C41">
        <v>0</v>
      </c>
      <c r="D41">
        <v>0</v>
      </c>
      <c r="E41">
        <v>0</v>
      </c>
      <c r="F41">
        <v>0</v>
      </c>
      <c r="G41">
        <v>18</v>
      </c>
      <c r="H41">
        <v>0</v>
      </c>
      <c r="I41">
        <v>0</v>
      </c>
      <c r="J41">
        <v>3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36</v>
      </c>
      <c r="Y41">
        <v>0.36842105263157898</v>
      </c>
    </row>
    <row r="43" spans="1:51">
      <c r="A43" s="1" t="s">
        <v>13</v>
      </c>
      <c r="B43" t="s">
        <v>186</v>
      </c>
      <c r="C43" t="s">
        <v>28</v>
      </c>
      <c r="D43" t="s">
        <v>127</v>
      </c>
      <c r="E43" t="s">
        <v>41</v>
      </c>
      <c r="F43" t="s">
        <v>353</v>
      </c>
      <c r="G43" t="s">
        <v>202</v>
      </c>
      <c r="H43" t="s">
        <v>373</v>
      </c>
      <c r="I43" t="s">
        <v>35</v>
      </c>
      <c r="J43" t="s">
        <v>400</v>
      </c>
      <c r="K43" t="s">
        <v>86</v>
      </c>
      <c r="L43" t="s">
        <v>88</v>
      </c>
      <c r="M43" t="s">
        <v>45</v>
      </c>
      <c r="N43" t="s">
        <v>167</v>
      </c>
      <c r="O43" t="s">
        <v>145</v>
      </c>
      <c r="P43" t="s">
        <v>141</v>
      </c>
      <c r="Q43" t="s">
        <v>184</v>
      </c>
      <c r="R43" t="s">
        <v>80</v>
      </c>
      <c r="S43" t="s">
        <v>96</v>
      </c>
      <c r="T43" t="s">
        <v>31</v>
      </c>
      <c r="U43" t="s">
        <v>67</v>
      </c>
      <c r="V43" t="s">
        <v>94</v>
      </c>
      <c r="W43" t="s">
        <v>110</v>
      </c>
      <c r="X43" t="s">
        <v>22</v>
      </c>
      <c r="Y43" t="s">
        <v>37</v>
      </c>
      <c r="Z43" t="s">
        <v>57</v>
      </c>
      <c r="AA43" t="s">
        <v>139</v>
      </c>
      <c r="AB43" t="s">
        <v>156</v>
      </c>
      <c r="AC43" t="s">
        <v>401</v>
      </c>
      <c r="AD43" t="s">
        <v>402</v>
      </c>
      <c r="AE43" t="s">
        <v>223</v>
      </c>
      <c r="AF43" t="s">
        <v>181</v>
      </c>
      <c r="AG43" t="s">
        <v>101</v>
      </c>
      <c r="AH43" t="s">
        <v>50</v>
      </c>
      <c r="AI43" t="s">
        <v>113</v>
      </c>
      <c r="AJ43" t="s">
        <v>403</v>
      </c>
      <c r="AK43" t="s">
        <v>54</v>
      </c>
      <c r="AL43" t="s">
        <v>265</v>
      </c>
      <c r="AM43" t="s">
        <v>83</v>
      </c>
      <c r="AN43" t="s">
        <v>71</v>
      </c>
      <c r="AO43" t="s">
        <v>359</v>
      </c>
      <c r="AP43" t="s">
        <v>189</v>
      </c>
      <c r="AQ43" t="s">
        <v>207</v>
      </c>
      <c r="AR43" t="s">
        <v>163</v>
      </c>
      <c r="AS43" t="s">
        <v>132</v>
      </c>
      <c r="AT43" t="s">
        <v>152</v>
      </c>
      <c r="AU43" t="s">
        <v>404</v>
      </c>
      <c r="AV43" t="s">
        <v>61</v>
      </c>
      <c r="AW43" t="s">
        <v>169</v>
      </c>
      <c r="AX43" t="s">
        <v>92</v>
      </c>
      <c r="AY43" t="s">
        <v>396</v>
      </c>
    </row>
    <row r="44" spans="1:51">
      <c r="A44" t="s">
        <v>186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28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127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41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353</v>
      </c>
      <c r="B48">
        <v>0</v>
      </c>
      <c r="C48">
        <v>0</v>
      </c>
      <c r="D48">
        <v>0</v>
      </c>
      <c r="E48">
        <v>0</v>
      </c>
      <c r="F48">
        <v>8</v>
      </c>
      <c r="G48">
        <v>0</v>
      </c>
      <c r="H48">
        <v>2</v>
      </c>
      <c r="I48">
        <v>2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0.42857142857142899</v>
      </c>
    </row>
    <row r="49" spans="1:51">
      <c r="A49" t="s">
        <v>202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373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35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400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86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88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45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167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145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141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184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80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96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67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94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110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105</v>
      </c>
      <c r="X65">
        <v>31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0.24460431654676301</v>
      </c>
    </row>
    <row r="66" spans="1:51">
      <c r="A66" t="s">
        <v>22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38</v>
      </c>
      <c r="X66">
        <v>93</v>
      </c>
      <c r="Y66">
        <v>10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0.35416666666666702</v>
      </c>
    </row>
    <row r="67" spans="1:51">
      <c r="A67" t="s">
        <v>37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6</v>
      </c>
      <c r="X67">
        <v>11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57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83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26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0.23853211009174299</v>
      </c>
    </row>
    <row r="69" spans="1:51">
      <c r="A69" t="s">
        <v>139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156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401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402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223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181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101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50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113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35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36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0.49295774647887303</v>
      </c>
    </row>
    <row r="78" spans="1:51">
      <c r="A78" t="s">
        <v>403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54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265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83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26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0.36585365853658502</v>
      </c>
    </row>
    <row r="82" spans="1:51">
      <c r="A82" t="s">
        <v>71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359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189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207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163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132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152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404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61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169</v>
      </c>
      <c r="B91">
        <v>0</v>
      </c>
      <c r="C91">
        <v>0</v>
      </c>
      <c r="D91">
        <v>0</v>
      </c>
      <c r="E91">
        <v>9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</v>
      </c>
      <c r="AX91">
        <v>0</v>
      </c>
      <c r="AY91">
        <v>0.75</v>
      </c>
    </row>
    <row r="92" spans="1:51">
      <c r="A92" t="s">
        <v>92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sqref="A1:E355"/>
    </sheetView>
  </sheetViews>
  <sheetFormatPr baseColWidth="10" defaultRowHeight="16"/>
  <sheetData>
    <row r="1" spans="1:5">
      <c r="A1" s="2" t="s">
        <v>394</v>
      </c>
      <c r="B1" s="2" t="s">
        <v>4</v>
      </c>
      <c r="C1" s="2" t="s">
        <v>405</v>
      </c>
      <c r="D1" s="2" t="s">
        <v>25</v>
      </c>
      <c r="E1" s="2" t="s">
        <v>18</v>
      </c>
    </row>
    <row r="2" spans="1:5">
      <c r="A2" s="2">
        <v>1</v>
      </c>
      <c r="B2" s="2" t="s">
        <v>18</v>
      </c>
      <c r="C2" s="2" t="s">
        <v>18</v>
      </c>
      <c r="D2" s="2">
        <v>0</v>
      </c>
      <c r="E2" s="2">
        <v>1</v>
      </c>
    </row>
    <row r="3" spans="1:5">
      <c r="A3" s="2">
        <v>2</v>
      </c>
      <c r="B3" s="2" t="s">
        <v>25</v>
      </c>
      <c r="C3" s="2" t="s">
        <v>25</v>
      </c>
      <c r="D3" s="2">
        <v>0.66400000000000003</v>
      </c>
      <c r="E3" s="2">
        <v>0.33600000000000002</v>
      </c>
    </row>
    <row r="4" spans="1:5">
      <c r="A4" s="2">
        <v>3</v>
      </c>
      <c r="B4" s="2" t="s">
        <v>18</v>
      </c>
      <c r="C4" s="2" t="s">
        <v>18</v>
      </c>
      <c r="D4" s="2">
        <v>0</v>
      </c>
      <c r="E4" s="2">
        <v>1</v>
      </c>
    </row>
    <row r="5" spans="1:5">
      <c r="A5" s="2">
        <v>4</v>
      </c>
      <c r="B5" s="2" t="s">
        <v>18</v>
      </c>
      <c r="C5" s="2" t="s">
        <v>18</v>
      </c>
      <c r="D5" s="2">
        <v>0</v>
      </c>
      <c r="E5" s="2">
        <v>1</v>
      </c>
    </row>
    <row r="6" spans="1:5">
      <c r="A6" s="2">
        <v>5</v>
      </c>
      <c r="B6" s="2" t="s">
        <v>18</v>
      </c>
      <c r="C6" s="2" t="s">
        <v>18</v>
      </c>
      <c r="D6" s="2">
        <v>0</v>
      </c>
      <c r="E6" s="2">
        <v>1</v>
      </c>
    </row>
    <row r="7" spans="1:5">
      <c r="A7" s="2">
        <v>6</v>
      </c>
      <c r="B7" s="2" t="s">
        <v>18</v>
      </c>
      <c r="C7" s="2" t="s">
        <v>18</v>
      </c>
      <c r="D7" s="2">
        <v>0</v>
      </c>
      <c r="E7" s="2">
        <v>1</v>
      </c>
    </row>
    <row r="8" spans="1:5">
      <c r="A8" s="2">
        <v>7</v>
      </c>
      <c r="B8" s="2" t="s">
        <v>18</v>
      </c>
      <c r="C8" s="2" t="s">
        <v>18</v>
      </c>
      <c r="D8" s="2">
        <v>0</v>
      </c>
      <c r="E8" s="2">
        <v>1</v>
      </c>
    </row>
    <row r="9" spans="1:5">
      <c r="A9" s="2">
        <v>8</v>
      </c>
      <c r="B9" s="2" t="s">
        <v>18</v>
      </c>
      <c r="C9" s="2" t="s">
        <v>18</v>
      </c>
      <c r="D9" s="2">
        <v>1.6E-2</v>
      </c>
      <c r="E9" s="2">
        <v>0.98399999999999999</v>
      </c>
    </row>
    <row r="10" spans="1:5">
      <c r="A10" s="2">
        <v>9</v>
      </c>
      <c r="B10" s="2" t="s">
        <v>18</v>
      </c>
      <c r="C10" s="2" t="s">
        <v>18</v>
      </c>
      <c r="D10" s="2">
        <v>6.4000000000000001E-2</v>
      </c>
      <c r="E10" s="2">
        <v>0.93600000000000005</v>
      </c>
    </row>
    <row r="11" spans="1:5">
      <c r="A11" s="2">
        <v>10</v>
      </c>
      <c r="B11" s="2" t="s">
        <v>18</v>
      </c>
      <c r="C11" s="2" t="s">
        <v>18</v>
      </c>
      <c r="D11" s="2">
        <v>0</v>
      </c>
      <c r="E11" s="2">
        <v>1</v>
      </c>
    </row>
    <row r="12" spans="1:5">
      <c r="A12" s="2">
        <v>11</v>
      </c>
      <c r="B12" s="2" t="s">
        <v>18</v>
      </c>
      <c r="C12" s="2" t="s">
        <v>18</v>
      </c>
      <c r="D12" s="2">
        <v>0</v>
      </c>
      <c r="E12" s="2">
        <v>1</v>
      </c>
    </row>
    <row r="13" spans="1:5">
      <c r="A13" s="2">
        <v>12</v>
      </c>
      <c r="B13" s="2" t="s">
        <v>18</v>
      </c>
      <c r="C13" s="2" t="s">
        <v>18</v>
      </c>
      <c r="D13" s="2">
        <v>0</v>
      </c>
      <c r="E13" s="2">
        <v>1</v>
      </c>
    </row>
    <row r="14" spans="1:5">
      <c r="A14" s="2">
        <v>13</v>
      </c>
      <c r="B14" s="2" t="s">
        <v>18</v>
      </c>
      <c r="C14" s="2" t="s">
        <v>18</v>
      </c>
      <c r="D14" s="2">
        <v>0</v>
      </c>
      <c r="E14" s="2">
        <v>1</v>
      </c>
    </row>
    <row r="15" spans="1:5">
      <c r="A15" s="2">
        <v>14</v>
      </c>
      <c r="B15" s="2" t="s">
        <v>18</v>
      </c>
      <c r="C15" s="2" t="s">
        <v>18</v>
      </c>
      <c r="D15" s="2">
        <v>0</v>
      </c>
      <c r="E15" s="2">
        <v>1</v>
      </c>
    </row>
    <row r="16" spans="1:5">
      <c r="A16" s="2">
        <v>15</v>
      </c>
      <c r="B16" s="2" t="s">
        <v>18</v>
      </c>
      <c r="C16" s="2" t="s">
        <v>18</v>
      </c>
      <c r="D16" s="2">
        <v>0</v>
      </c>
      <c r="E16" s="2">
        <v>1</v>
      </c>
    </row>
    <row r="17" spans="1:5">
      <c r="A17" s="2">
        <v>16</v>
      </c>
      <c r="B17" s="2" t="s">
        <v>18</v>
      </c>
      <c r="C17" s="2" t="s">
        <v>18</v>
      </c>
      <c r="D17" s="2">
        <v>2E-3</v>
      </c>
      <c r="E17" s="2">
        <v>0.998</v>
      </c>
    </row>
    <row r="18" spans="1:5">
      <c r="A18" s="2">
        <v>17</v>
      </c>
      <c r="B18" s="2" t="s">
        <v>18</v>
      </c>
      <c r="C18" s="2" t="s">
        <v>18</v>
      </c>
      <c r="D18" s="2">
        <v>0</v>
      </c>
      <c r="E18" s="2">
        <v>1</v>
      </c>
    </row>
    <row r="19" spans="1:5">
      <c r="A19" s="2">
        <v>18</v>
      </c>
      <c r="B19" s="2" t="s">
        <v>18</v>
      </c>
      <c r="C19" s="2" t="s">
        <v>18</v>
      </c>
      <c r="D19" s="2">
        <v>0</v>
      </c>
      <c r="E19" s="2">
        <v>1</v>
      </c>
    </row>
    <row r="20" spans="1:5">
      <c r="A20" s="2">
        <v>19</v>
      </c>
      <c r="B20" s="2" t="s">
        <v>18</v>
      </c>
      <c r="C20" s="2" t="s">
        <v>18</v>
      </c>
      <c r="D20" s="2">
        <v>0</v>
      </c>
      <c r="E20" s="2">
        <v>1</v>
      </c>
    </row>
    <row r="21" spans="1:5">
      <c r="A21" s="2">
        <v>20</v>
      </c>
      <c r="B21" s="2" t="s">
        <v>18</v>
      </c>
      <c r="C21" s="2" t="s">
        <v>18</v>
      </c>
      <c r="D21" s="2">
        <v>0</v>
      </c>
      <c r="E21" s="2">
        <v>1</v>
      </c>
    </row>
    <row r="22" spans="1:5">
      <c r="A22" s="2">
        <v>21</v>
      </c>
      <c r="B22" s="2" t="s">
        <v>18</v>
      </c>
      <c r="C22" s="2" t="s">
        <v>18</v>
      </c>
      <c r="D22" s="2">
        <v>0</v>
      </c>
      <c r="E22" s="2">
        <v>1</v>
      </c>
    </row>
    <row r="23" spans="1:5">
      <c r="A23" s="2">
        <v>22</v>
      </c>
      <c r="B23" s="2" t="s">
        <v>18</v>
      </c>
      <c r="C23" s="2" t="s">
        <v>18</v>
      </c>
      <c r="D23" s="2">
        <v>0</v>
      </c>
      <c r="E23" s="2">
        <v>1</v>
      </c>
    </row>
    <row r="24" spans="1:5">
      <c r="A24" s="2">
        <v>23</v>
      </c>
      <c r="B24" s="2" t="s">
        <v>18</v>
      </c>
      <c r="C24" s="2" t="s">
        <v>18</v>
      </c>
      <c r="D24" s="2">
        <v>2.5999999999999999E-2</v>
      </c>
      <c r="E24" s="2">
        <v>0.97399999999999998</v>
      </c>
    </row>
    <row r="25" spans="1:5">
      <c r="A25" s="2">
        <v>24</v>
      </c>
      <c r="B25" s="2" t="s">
        <v>18</v>
      </c>
      <c r="C25" s="2" t="s">
        <v>18</v>
      </c>
      <c r="D25" s="2">
        <v>0</v>
      </c>
      <c r="E25" s="2">
        <v>1</v>
      </c>
    </row>
    <row r="26" spans="1:5">
      <c r="A26" s="2">
        <v>25</v>
      </c>
      <c r="B26" s="2" t="s">
        <v>18</v>
      </c>
      <c r="C26" s="2" t="s">
        <v>18</v>
      </c>
      <c r="D26" s="2">
        <v>0</v>
      </c>
      <c r="E26" s="2">
        <v>1</v>
      </c>
    </row>
    <row r="27" spans="1:5">
      <c r="A27" s="2">
        <v>26</v>
      </c>
      <c r="B27" s="2" t="s">
        <v>18</v>
      </c>
      <c r="C27" s="2" t="s">
        <v>18</v>
      </c>
      <c r="D27" s="2">
        <v>0</v>
      </c>
      <c r="E27" s="2">
        <v>1</v>
      </c>
    </row>
    <row r="28" spans="1:5">
      <c r="A28" s="2">
        <v>27</v>
      </c>
      <c r="B28" s="2" t="s">
        <v>18</v>
      </c>
      <c r="C28" s="2" t="s">
        <v>18</v>
      </c>
      <c r="D28" s="2">
        <v>7.1999999999999995E-2</v>
      </c>
      <c r="E28" s="2">
        <v>0.92800000000000005</v>
      </c>
    </row>
    <row r="29" spans="1:5">
      <c r="A29" s="2">
        <v>28</v>
      </c>
      <c r="B29" s="2" t="s">
        <v>18</v>
      </c>
      <c r="C29" s="2" t="s">
        <v>18</v>
      </c>
      <c r="D29" s="2">
        <v>0</v>
      </c>
      <c r="E29" s="2">
        <v>1</v>
      </c>
    </row>
    <row r="30" spans="1:5">
      <c r="A30" s="2">
        <v>29</v>
      </c>
      <c r="B30" s="2" t="s">
        <v>18</v>
      </c>
      <c r="C30" s="2" t="s">
        <v>18</v>
      </c>
      <c r="D30" s="2">
        <v>0</v>
      </c>
      <c r="E30" s="2">
        <v>1</v>
      </c>
    </row>
    <row r="31" spans="1:5">
      <c r="A31" s="2">
        <v>30</v>
      </c>
      <c r="B31" s="2" t="s">
        <v>18</v>
      </c>
      <c r="C31" s="2" t="s">
        <v>18</v>
      </c>
      <c r="D31" s="2">
        <v>0</v>
      </c>
      <c r="E31" s="2">
        <v>1</v>
      </c>
    </row>
    <row r="32" spans="1:5">
      <c r="A32" s="2">
        <v>31</v>
      </c>
      <c r="B32" s="2" t="s">
        <v>18</v>
      </c>
      <c r="C32" s="2" t="s">
        <v>18</v>
      </c>
      <c r="D32" s="2">
        <v>0</v>
      </c>
      <c r="E32" s="2">
        <v>1</v>
      </c>
    </row>
    <row r="33" spans="1:5">
      <c r="A33" s="2">
        <v>32</v>
      </c>
      <c r="B33" s="2" t="s">
        <v>18</v>
      </c>
      <c r="C33" s="2" t="s">
        <v>18</v>
      </c>
      <c r="D33" s="2">
        <v>0</v>
      </c>
      <c r="E33" s="2">
        <v>1</v>
      </c>
    </row>
    <row r="34" spans="1:5">
      <c r="A34" s="2">
        <v>33</v>
      </c>
      <c r="B34" s="2" t="s">
        <v>18</v>
      </c>
      <c r="C34" s="2" t="s">
        <v>18</v>
      </c>
      <c r="D34" s="2">
        <v>0</v>
      </c>
      <c r="E34" s="2">
        <v>1</v>
      </c>
    </row>
    <row r="35" spans="1:5">
      <c r="A35" s="2">
        <v>34</v>
      </c>
      <c r="B35" s="2" t="s">
        <v>18</v>
      </c>
      <c r="C35" s="2" t="s">
        <v>18</v>
      </c>
      <c r="D35" s="2">
        <v>0</v>
      </c>
      <c r="E35" s="2">
        <v>1</v>
      </c>
    </row>
    <row r="36" spans="1:5">
      <c r="A36" s="2">
        <v>35</v>
      </c>
      <c r="B36" s="2" t="s">
        <v>18</v>
      </c>
      <c r="C36" s="2" t="s">
        <v>18</v>
      </c>
      <c r="D36" s="2">
        <v>0</v>
      </c>
      <c r="E36" s="2">
        <v>1</v>
      </c>
    </row>
    <row r="37" spans="1:5">
      <c r="A37" s="2">
        <v>36</v>
      </c>
      <c r="B37" s="2" t="s">
        <v>18</v>
      </c>
      <c r="C37" s="2" t="s">
        <v>18</v>
      </c>
      <c r="D37" s="2">
        <v>0</v>
      </c>
      <c r="E37" s="2">
        <v>1</v>
      </c>
    </row>
    <row r="38" spans="1:5">
      <c r="A38" s="2">
        <v>37</v>
      </c>
      <c r="B38" s="2" t="s">
        <v>18</v>
      </c>
      <c r="C38" s="2" t="s">
        <v>18</v>
      </c>
      <c r="D38" s="2">
        <v>0</v>
      </c>
      <c r="E38" s="2">
        <v>1</v>
      </c>
    </row>
    <row r="39" spans="1:5">
      <c r="A39" s="2">
        <v>38</v>
      </c>
      <c r="B39" s="2" t="s">
        <v>18</v>
      </c>
      <c r="C39" s="2" t="s">
        <v>18</v>
      </c>
      <c r="D39" s="2">
        <v>0</v>
      </c>
      <c r="E39" s="2">
        <v>1</v>
      </c>
    </row>
    <row r="40" spans="1:5">
      <c r="A40" s="2">
        <v>39</v>
      </c>
      <c r="B40" s="2" t="s">
        <v>18</v>
      </c>
      <c r="C40" s="2" t="s">
        <v>18</v>
      </c>
      <c r="D40" s="2">
        <v>0</v>
      </c>
      <c r="E40" s="2">
        <v>1</v>
      </c>
    </row>
    <row r="41" spans="1:5">
      <c r="A41" s="2">
        <v>40</v>
      </c>
      <c r="B41" s="2" t="s">
        <v>18</v>
      </c>
      <c r="C41" s="2" t="s">
        <v>18</v>
      </c>
      <c r="D41" s="2">
        <v>0</v>
      </c>
      <c r="E41" s="2">
        <v>1</v>
      </c>
    </row>
    <row r="42" spans="1:5">
      <c r="A42" s="2">
        <v>41</v>
      </c>
      <c r="B42" s="2" t="s">
        <v>18</v>
      </c>
      <c r="C42" s="2" t="s">
        <v>18</v>
      </c>
      <c r="D42" s="2">
        <v>0</v>
      </c>
      <c r="E42" s="2">
        <v>1</v>
      </c>
    </row>
    <row r="43" spans="1:5">
      <c r="A43" s="2">
        <v>42</v>
      </c>
      <c r="B43" s="2" t="s">
        <v>18</v>
      </c>
      <c r="C43" s="2" t="s">
        <v>18</v>
      </c>
      <c r="D43" s="2">
        <v>0</v>
      </c>
      <c r="E43" s="2">
        <v>1</v>
      </c>
    </row>
    <row r="44" spans="1:5">
      <c r="A44" s="2">
        <v>43</v>
      </c>
      <c r="B44" s="2" t="s">
        <v>18</v>
      </c>
      <c r="C44" s="2" t="s">
        <v>18</v>
      </c>
      <c r="D44" s="2">
        <v>0</v>
      </c>
      <c r="E44" s="2">
        <v>1</v>
      </c>
    </row>
    <row r="45" spans="1:5">
      <c r="A45" s="2">
        <v>44</v>
      </c>
      <c r="B45" s="2" t="s">
        <v>18</v>
      </c>
      <c r="C45" s="2" t="s">
        <v>18</v>
      </c>
      <c r="D45" s="2">
        <v>0</v>
      </c>
      <c r="E45" s="2">
        <v>1</v>
      </c>
    </row>
    <row r="46" spans="1:5">
      <c r="A46" s="2">
        <v>45</v>
      </c>
      <c r="B46" s="2" t="s">
        <v>18</v>
      </c>
      <c r="C46" s="2" t="s">
        <v>18</v>
      </c>
      <c r="D46" s="2">
        <v>0</v>
      </c>
      <c r="E46" s="2">
        <v>1</v>
      </c>
    </row>
    <row r="47" spans="1:5">
      <c r="A47" s="2">
        <v>46</v>
      </c>
      <c r="B47" s="2" t="s">
        <v>18</v>
      </c>
      <c r="C47" s="2" t="s">
        <v>18</v>
      </c>
      <c r="D47" s="2">
        <v>0</v>
      </c>
      <c r="E47" s="2">
        <v>1</v>
      </c>
    </row>
    <row r="48" spans="1:5">
      <c r="A48" s="2">
        <v>47</v>
      </c>
      <c r="B48" s="2" t="s">
        <v>18</v>
      </c>
      <c r="C48" s="2" t="s">
        <v>18</v>
      </c>
      <c r="D48" s="2">
        <v>0</v>
      </c>
      <c r="E48" s="2">
        <v>1</v>
      </c>
    </row>
    <row r="49" spans="1:5">
      <c r="A49" s="2">
        <v>48</v>
      </c>
      <c r="B49" s="2" t="s">
        <v>18</v>
      </c>
      <c r="C49" s="2" t="s">
        <v>18</v>
      </c>
      <c r="D49" s="2">
        <v>0</v>
      </c>
      <c r="E49" s="2">
        <v>1</v>
      </c>
    </row>
    <row r="50" spans="1:5">
      <c r="A50" s="2">
        <v>49</v>
      </c>
      <c r="B50" s="2" t="s">
        <v>18</v>
      </c>
      <c r="C50" s="2" t="s">
        <v>18</v>
      </c>
      <c r="D50" s="2">
        <v>0</v>
      </c>
      <c r="E50" s="2">
        <v>1</v>
      </c>
    </row>
    <row r="51" spans="1:5">
      <c r="A51" s="2">
        <v>50</v>
      </c>
      <c r="B51" s="2" t="s">
        <v>18</v>
      </c>
      <c r="C51" s="2" t="s">
        <v>18</v>
      </c>
      <c r="D51" s="2">
        <v>0</v>
      </c>
      <c r="E51" s="2">
        <v>1</v>
      </c>
    </row>
    <row r="52" spans="1:5">
      <c r="A52" s="2">
        <v>51</v>
      </c>
      <c r="B52" s="2" t="s">
        <v>18</v>
      </c>
      <c r="C52" s="2" t="s">
        <v>18</v>
      </c>
      <c r="D52" s="2">
        <v>0</v>
      </c>
      <c r="E52" s="2">
        <v>1</v>
      </c>
    </row>
    <row r="53" spans="1:5">
      <c r="A53" s="2">
        <v>52</v>
      </c>
      <c r="B53" s="2" t="s">
        <v>18</v>
      </c>
      <c r="C53" s="2" t="s">
        <v>18</v>
      </c>
      <c r="D53" s="2">
        <v>0</v>
      </c>
      <c r="E53" s="2">
        <v>1</v>
      </c>
    </row>
    <row r="54" spans="1:5">
      <c r="A54" s="2">
        <v>53</v>
      </c>
      <c r="B54" s="2" t="s">
        <v>18</v>
      </c>
      <c r="C54" s="2" t="s">
        <v>18</v>
      </c>
      <c r="D54" s="2">
        <v>0</v>
      </c>
      <c r="E54" s="2">
        <v>1</v>
      </c>
    </row>
    <row r="55" spans="1:5">
      <c r="A55" s="2">
        <v>54</v>
      </c>
      <c r="B55" s="2" t="s">
        <v>18</v>
      </c>
      <c r="C55" s="2" t="s">
        <v>18</v>
      </c>
      <c r="D55" s="2">
        <v>0</v>
      </c>
      <c r="E55" s="2">
        <v>1</v>
      </c>
    </row>
    <row r="56" spans="1:5">
      <c r="A56" s="2">
        <v>55</v>
      </c>
      <c r="B56" s="2" t="s">
        <v>18</v>
      </c>
      <c r="C56" s="2" t="s">
        <v>18</v>
      </c>
      <c r="D56" s="2">
        <v>0</v>
      </c>
      <c r="E56" s="2">
        <v>1</v>
      </c>
    </row>
    <row r="57" spans="1:5">
      <c r="A57" s="2">
        <v>56</v>
      </c>
      <c r="B57" s="2" t="s">
        <v>18</v>
      </c>
      <c r="C57" s="2" t="s">
        <v>18</v>
      </c>
      <c r="D57" s="2">
        <v>0</v>
      </c>
      <c r="E57" s="2">
        <v>1</v>
      </c>
    </row>
    <row r="58" spans="1:5">
      <c r="A58" s="2">
        <v>57</v>
      </c>
      <c r="B58" s="2" t="s">
        <v>18</v>
      </c>
      <c r="C58" s="2" t="s">
        <v>18</v>
      </c>
      <c r="D58" s="2">
        <v>1.6E-2</v>
      </c>
      <c r="E58" s="2">
        <v>0.98399999999999999</v>
      </c>
    </row>
    <row r="59" spans="1:5">
      <c r="A59" s="2">
        <v>58</v>
      </c>
      <c r="B59" s="2" t="s">
        <v>18</v>
      </c>
      <c r="C59" s="2" t="s">
        <v>18</v>
      </c>
      <c r="D59" s="2">
        <v>0</v>
      </c>
      <c r="E59" s="2">
        <v>1</v>
      </c>
    </row>
    <row r="60" spans="1:5">
      <c r="A60" s="2">
        <v>59</v>
      </c>
      <c r="B60" s="2" t="s">
        <v>18</v>
      </c>
      <c r="C60" s="2" t="s">
        <v>18</v>
      </c>
      <c r="D60" s="2">
        <v>5.3999999999999999E-2</v>
      </c>
      <c r="E60" s="2">
        <v>0.94599999999999995</v>
      </c>
    </row>
    <row r="61" spans="1:5">
      <c r="A61" s="2">
        <v>60</v>
      </c>
      <c r="B61" s="2" t="s">
        <v>18</v>
      </c>
      <c r="C61" s="2" t="s">
        <v>18</v>
      </c>
      <c r="D61" s="2">
        <v>0</v>
      </c>
      <c r="E61" s="2">
        <v>1</v>
      </c>
    </row>
    <row r="62" spans="1:5">
      <c r="A62" s="2">
        <v>61</v>
      </c>
      <c r="B62" s="2" t="s">
        <v>18</v>
      </c>
      <c r="C62" s="2" t="s">
        <v>18</v>
      </c>
      <c r="D62" s="2">
        <v>3.2000000000000001E-2</v>
      </c>
      <c r="E62" s="2">
        <v>0.96799999999999997</v>
      </c>
    </row>
    <row r="63" spans="1:5">
      <c r="A63" s="2">
        <v>62</v>
      </c>
      <c r="B63" s="2" t="s">
        <v>18</v>
      </c>
      <c r="C63" s="2" t="s">
        <v>18</v>
      </c>
      <c r="D63" s="2">
        <v>0</v>
      </c>
      <c r="E63" s="2">
        <v>1</v>
      </c>
    </row>
    <row r="64" spans="1:5">
      <c r="A64" s="2">
        <v>63</v>
      </c>
      <c r="B64" s="2" t="s">
        <v>18</v>
      </c>
      <c r="C64" s="2" t="s">
        <v>18</v>
      </c>
      <c r="D64" s="2">
        <v>0</v>
      </c>
      <c r="E64" s="2">
        <v>1</v>
      </c>
    </row>
    <row r="65" spans="1:5">
      <c r="A65" s="2">
        <v>64</v>
      </c>
      <c r="B65" s="2" t="s">
        <v>18</v>
      </c>
      <c r="C65" s="2" t="s">
        <v>18</v>
      </c>
      <c r="D65" s="2">
        <v>2E-3</v>
      </c>
      <c r="E65" s="2">
        <v>0.998</v>
      </c>
    </row>
    <row r="66" spans="1:5">
      <c r="A66" s="2">
        <v>65</v>
      </c>
      <c r="B66" s="2" t="s">
        <v>25</v>
      </c>
      <c r="C66" s="2" t="s">
        <v>25</v>
      </c>
      <c r="D66" s="2">
        <v>0.96599999999999997</v>
      </c>
      <c r="E66" s="2">
        <v>3.4000000000000002E-2</v>
      </c>
    </row>
    <row r="67" spans="1:5">
      <c r="A67" s="2">
        <v>66</v>
      </c>
      <c r="B67" s="2" t="s">
        <v>18</v>
      </c>
      <c r="C67" s="2" t="s">
        <v>18</v>
      </c>
      <c r="D67" s="2">
        <v>0</v>
      </c>
      <c r="E67" s="2">
        <v>1</v>
      </c>
    </row>
    <row r="68" spans="1:5">
      <c r="A68" s="2">
        <v>67</v>
      </c>
      <c r="B68" s="2" t="s">
        <v>18</v>
      </c>
      <c r="C68" s="2" t="s">
        <v>18</v>
      </c>
      <c r="D68" s="2">
        <v>0</v>
      </c>
      <c r="E68" s="2">
        <v>1</v>
      </c>
    </row>
    <row r="69" spans="1:5">
      <c r="A69" s="2">
        <v>68</v>
      </c>
      <c r="B69" s="2" t="s">
        <v>18</v>
      </c>
      <c r="C69" s="2" t="s">
        <v>18</v>
      </c>
      <c r="D69" s="2">
        <v>0</v>
      </c>
      <c r="E69" s="2">
        <v>1</v>
      </c>
    </row>
    <row r="70" spans="1:5">
      <c r="A70" s="2">
        <v>69</v>
      </c>
      <c r="B70" s="2" t="s">
        <v>18</v>
      </c>
      <c r="C70" s="2" t="s">
        <v>18</v>
      </c>
      <c r="D70" s="2">
        <v>0</v>
      </c>
      <c r="E70" s="2">
        <v>1</v>
      </c>
    </row>
    <row r="71" spans="1:5">
      <c r="A71" s="2">
        <v>70</v>
      </c>
      <c r="B71" s="2" t="s">
        <v>18</v>
      </c>
      <c r="C71" s="2" t="s">
        <v>18</v>
      </c>
      <c r="D71" s="2">
        <v>0</v>
      </c>
      <c r="E71" s="2">
        <v>1</v>
      </c>
    </row>
    <row r="72" spans="1:5">
      <c r="A72" s="2">
        <v>71</v>
      </c>
      <c r="B72" s="2" t="s">
        <v>18</v>
      </c>
      <c r="C72" s="2" t="s">
        <v>18</v>
      </c>
      <c r="D72" s="2">
        <v>0</v>
      </c>
      <c r="E72" s="2">
        <v>1</v>
      </c>
    </row>
    <row r="73" spans="1:5">
      <c r="A73" s="2">
        <v>72</v>
      </c>
      <c r="B73" s="2" t="s">
        <v>18</v>
      </c>
      <c r="C73" s="2" t="s">
        <v>18</v>
      </c>
      <c r="D73" s="2">
        <v>0</v>
      </c>
      <c r="E73" s="2">
        <v>1</v>
      </c>
    </row>
    <row r="74" spans="1:5">
      <c r="A74" s="2">
        <v>73</v>
      </c>
      <c r="B74" s="2" t="s">
        <v>18</v>
      </c>
      <c r="C74" s="2" t="s">
        <v>18</v>
      </c>
      <c r="D74" s="2">
        <v>0</v>
      </c>
      <c r="E74" s="2">
        <v>1</v>
      </c>
    </row>
    <row r="75" spans="1:5">
      <c r="A75" s="2">
        <v>74</v>
      </c>
      <c r="B75" s="2" t="s">
        <v>18</v>
      </c>
      <c r="C75" s="2" t="s">
        <v>18</v>
      </c>
      <c r="D75" s="2">
        <v>0</v>
      </c>
      <c r="E75" s="2">
        <v>1</v>
      </c>
    </row>
    <row r="76" spans="1:5">
      <c r="A76" s="2">
        <v>75</v>
      </c>
      <c r="B76" s="2" t="s">
        <v>18</v>
      </c>
      <c r="C76" s="2" t="s">
        <v>18</v>
      </c>
      <c r="D76" s="2">
        <v>0</v>
      </c>
      <c r="E76" s="2">
        <v>1</v>
      </c>
    </row>
    <row r="77" spans="1:5">
      <c r="A77" s="2">
        <v>76</v>
      </c>
      <c r="B77" s="2" t="s">
        <v>18</v>
      </c>
      <c r="C77" s="2" t="s">
        <v>18</v>
      </c>
      <c r="D77" s="2">
        <v>0</v>
      </c>
      <c r="E77" s="2">
        <v>1</v>
      </c>
    </row>
    <row r="78" spans="1:5">
      <c r="A78" s="2">
        <v>77</v>
      </c>
      <c r="B78" s="2" t="s">
        <v>18</v>
      </c>
      <c r="C78" s="2" t="s">
        <v>18</v>
      </c>
      <c r="D78" s="2">
        <v>0</v>
      </c>
      <c r="E78" s="2">
        <v>1</v>
      </c>
    </row>
    <row r="79" spans="1:5">
      <c r="A79" s="2">
        <v>78</v>
      </c>
      <c r="B79" s="2" t="s">
        <v>18</v>
      </c>
      <c r="C79" s="2" t="s">
        <v>18</v>
      </c>
      <c r="D79" s="2">
        <v>0</v>
      </c>
      <c r="E79" s="2">
        <v>1</v>
      </c>
    </row>
    <row r="80" spans="1:5">
      <c r="A80" s="2">
        <v>79</v>
      </c>
      <c r="B80" s="2" t="s">
        <v>18</v>
      </c>
      <c r="C80" s="2" t="s">
        <v>18</v>
      </c>
      <c r="D80" s="2">
        <v>0</v>
      </c>
      <c r="E80" s="2">
        <v>1</v>
      </c>
    </row>
    <row r="81" spans="1:5">
      <c r="A81" s="2">
        <v>80</v>
      </c>
      <c r="B81" s="2" t="s">
        <v>18</v>
      </c>
      <c r="C81" s="2" t="s">
        <v>18</v>
      </c>
      <c r="D81" s="2">
        <v>0</v>
      </c>
      <c r="E81" s="2">
        <v>1</v>
      </c>
    </row>
    <row r="82" spans="1:5">
      <c r="A82" s="2">
        <v>81</v>
      </c>
      <c r="B82" s="2" t="s">
        <v>18</v>
      </c>
      <c r="C82" s="2" t="s">
        <v>18</v>
      </c>
      <c r="D82" s="2">
        <v>0</v>
      </c>
      <c r="E82" s="2">
        <v>1</v>
      </c>
    </row>
    <row r="83" spans="1:5">
      <c r="A83" s="2">
        <v>82</v>
      </c>
      <c r="B83" s="2" t="s">
        <v>18</v>
      </c>
      <c r="C83" s="2" t="s">
        <v>18</v>
      </c>
      <c r="D83" s="2">
        <v>0</v>
      </c>
      <c r="E83" s="2">
        <v>1</v>
      </c>
    </row>
    <row r="84" spans="1:5">
      <c r="A84" s="2">
        <v>83</v>
      </c>
      <c r="B84" s="2" t="s">
        <v>18</v>
      </c>
      <c r="C84" s="2" t="s">
        <v>18</v>
      </c>
      <c r="D84" s="2">
        <v>0</v>
      </c>
      <c r="E84" s="2">
        <v>1</v>
      </c>
    </row>
    <row r="85" spans="1:5">
      <c r="A85" s="2">
        <v>84</v>
      </c>
      <c r="B85" s="2" t="s">
        <v>18</v>
      </c>
      <c r="C85" s="2" t="s">
        <v>18</v>
      </c>
      <c r="D85" s="2">
        <v>0</v>
      </c>
      <c r="E85" s="2">
        <v>1</v>
      </c>
    </row>
    <row r="86" spans="1:5">
      <c r="A86" s="2">
        <v>85</v>
      </c>
      <c r="B86" s="2" t="s">
        <v>18</v>
      </c>
      <c r="C86" s="2" t="s">
        <v>18</v>
      </c>
      <c r="D86" s="2">
        <v>0</v>
      </c>
      <c r="E86" s="2">
        <v>1</v>
      </c>
    </row>
    <row r="87" spans="1:5">
      <c r="A87" s="2">
        <v>86</v>
      </c>
      <c r="B87" s="2" t="s">
        <v>18</v>
      </c>
      <c r="C87" s="2" t="s">
        <v>18</v>
      </c>
      <c r="D87" s="2">
        <v>0</v>
      </c>
      <c r="E87" s="2">
        <v>1</v>
      </c>
    </row>
    <row r="88" spans="1:5">
      <c r="A88" s="2">
        <v>87</v>
      </c>
      <c r="B88" s="2" t="s">
        <v>18</v>
      </c>
      <c r="C88" s="2" t="s">
        <v>18</v>
      </c>
      <c r="D88" s="2">
        <v>0</v>
      </c>
      <c r="E88" s="2">
        <v>1</v>
      </c>
    </row>
    <row r="89" spans="1:5">
      <c r="A89" s="2">
        <v>88</v>
      </c>
      <c r="B89" s="2" t="s">
        <v>18</v>
      </c>
      <c r="C89" s="2" t="s">
        <v>18</v>
      </c>
      <c r="D89" s="2">
        <v>0</v>
      </c>
      <c r="E89" s="2">
        <v>1</v>
      </c>
    </row>
    <row r="90" spans="1:5">
      <c r="A90" s="2">
        <v>89</v>
      </c>
      <c r="B90" s="2" t="s">
        <v>18</v>
      </c>
      <c r="C90" s="2" t="s">
        <v>18</v>
      </c>
      <c r="D90" s="2">
        <v>0</v>
      </c>
      <c r="E90" s="2">
        <v>1</v>
      </c>
    </row>
    <row r="91" spans="1:5">
      <c r="A91" s="2">
        <v>90</v>
      </c>
      <c r="B91" s="2" t="s">
        <v>18</v>
      </c>
      <c r="C91" s="2" t="s">
        <v>18</v>
      </c>
      <c r="D91" s="2">
        <v>0</v>
      </c>
      <c r="E91" s="2">
        <v>1</v>
      </c>
    </row>
    <row r="92" spans="1:5">
      <c r="A92" s="2">
        <v>91</v>
      </c>
      <c r="B92" s="2" t="s">
        <v>18</v>
      </c>
      <c r="C92" s="2" t="s">
        <v>18</v>
      </c>
      <c r="D92" s="2">
        <v>0</v>
      </c>
      <c r="E92" s="2">
        <v>1</v>
      </c>
    </row>
    <row r="93" spans="1:5">
      <c r="A93" s="2">
        <v>92</v>
      </c>
      <c r="B93" s="2" t="s">
        <v>18</v>
      </c>
      <c r="C93" s="2" t="s">
        <v>18</v>
      </c>
      <c r="D93" s="2">
        <v>0</v>
      </c>
      <c r="E93" s="2">
        <v>1</v>
      </c>
    </row>
    <row r="94" spans="1:5">
      <c r="A94" s="2">
        <v>93</v>
      </c>
      <c r="B94" s="2" t="s">
        <v>18</v>
      </c>
      <c r="C94" s="2" t="s">
        <v>18</v>
      </c>
      <c r="D94" s="2">
        <v>0</v>
      </c>
      <c r="E94" s="2">
        <v>1</v>
      </c>
    </row>
    <row r="95" spans="1:5">
      <c r="A95" s="2">
        <v>94</v>
      </c>
      <c r="B95" s="2" t="s">
        <v>18</v>
      </c>
      <c r="C95" s="2" t="s">
        <v>18</v>
      </c>
      <c r="D95" s="2">
        <v>0</v>
      </c>
      <c r="E95" s="2">
        <v>1</v>
      </c>
    </row>
    <row r="96" spans="1:5">
      <c r="A96" s="2">
        <v>95</v>
      </c>
      <c r="B96" s="2" t="s">
        <v>18</v>
      </c>
      <c r="C96" s="2" t="s">
        <v>18</v>
      </c>
      <c r="D96" s="2">
        <v>0</v>
      </c>
      <c r="E96" s="2">
        <v>1</v>
      </c>
    </row>
    <row r="97" spans="1:5">
      <c r="A97" s="2">
        <v>96</v>
      </c>
      <c r="B97" s="2" t="s">
        <v>18</v>
      </c>
      <c r="C97" s="2" t="s">
        <v>18</v>
      </c>
      <c r="D97" s="2">
        <v>0</v>
      </c>
      <c r="E97" s="2">
        <v>1</v>
      </c>
    </row>
    <row r="98" spans="1:5">
      <c r="A98" s="2">
        <v>97</v>
      </c>
      <c r="B98" s="2" t="s">
        <v>18</v>
      </c>
      <c r="C98" s="2" t="s">
        <v>18</v>
      </c>
      <c r="D98" s="2">
        <v>0</v>
      </c>
      <c r="E98" s="2">
        <v>1</v>
      </c>
    </row>
    <row r="99" spans="1:5">
      <c r="A99" s="2">
        <v>98</v>
      </c>
      <c r="B99" s="2" t="s">
        <v>18</v>
      </c>
      <c r="C99" s="2" t="s">
        <v>18</v>
      </c>
      <c r="D99" s="2">
        <v>0</v>
      </c>
      <c r="E99" s="2">
        <v>1</v>
      </c>
    </row>
    <row r="100" spans="1:5">
      <c r="A100" s="2">
        <v>99</v>
      </c>
      <c r="B100" s="2" t="s">
        <v>18</v>
      </c>
      <c r="C100" s="2" t="s">
        <v>18</v>
      </c>
      <c r="D100" s="2">
        <v>0</v>
      </c>
      <c r="E100" s="2">
        <v>1</v>
      </c>
    </row>
    <row r="101" spans="1:5">
      <c r="A101" s="2">
        <v>100</v>
      </c>
      <c r="B101" s="2" t="s">
        <v>18</v>
      </c>
      <c r="C101" s="2" t="s">
        <v>18</v>
      </c>
      <c r="D101" s="2">
        <v>0</v>
      </c>
      <c r="E101" s="2">
        <v>1</v>
      </c>
    </row>
    <row r="102" spans="1:5">
      <c r="A102" s="2">
        <v>101</v>
      </c>
      <c r="B102" s="2" t="s">
        <v>18</v>
      </c>
      <c r="C102" s="2" t="s">
        <v>18</v>
      </c>
      <c r="D102" s="2">
        <v>0</v>
      </c>
      <c r="E102" s="2">
        <v>1</v>
      </c>
    </row>
    <row r="103" spans="1:5">
      <c r="A103" s="2">
        <v>102</v>
      </c>
      <c r="B103" s="2" t="s">
        <v>18</v>
      </c>
      <c r="C103" s="2" t="s">
        <v>18</v>
      </c>
      <c r="D103" s="2">
        <v>0</v>
      </c>
      <c r="E103" s="2">
        <v>1</v>
      </c>
    </row>
    <row r="104" spans="1:5">
      <c r="A104" s="2">
        <v>103</v>
      </c>
      <c r="B104" s="2" t="s">
        <v>18</v>
      </c>
      <c r="C104" s="2" t="s">
        <v>18</v>
      </c>
      <c r="D104" s="2">
        <v>0</v>
      </c>
      <c r="E104" s="2">
        <v>1</v>
      </c>
    </row>
    <row r="105" spans="1:5">
      <c r="A105" s="2">
        <v>104</v>
      </c>
      <c r="B105" s="2" t="s">
        <v>18</v>
      </c>
      <c r="C105" s="2" t="s">
        <v>18</v>
      </c>
      <c r="D105" s="2">
        <v>0</v>
      </c>
      <c r="E105" s="2">
        <v>1</v>
      </c>
    </row>
    <row r="106" spans="1:5">
      <c r="A106" s="2">
        <v>105</v>
      </c>
      <c r="B106" s="2" t="s">
        <v>18</v>
      </c>
      <c r="C106" s="2" t="s">
        <v>18</v>
      </c>
      <c r="D106" s="2">
        <v>0</v>
      </c>
      <c r="E106" s="2">
        <v>1</v>
      </c>
    </row>
    <row r="107" spans="1:5">
      <c r="A107" s="2">
        <v>106</v>
      </c>
      <c r="B107" s="2" t="s">
        <v>18</v>
      </c>
      <c r="C107" s="2" t="s">
        <v>18</v>
      </c>
      <c r="D107" s="2">
        <v>0</v>
      </c>
      <c r="E107" s="2">
        <v>1</v>
      </c>
    </row>
    <row r="108" spans="1:5">
      <c r="A108" s="2">
        <v>107</v>
      </c>
      <c r="B108" s="2" t="s">
        <v>18</v>
      </c>
      <c r="C108" s="2" t="s">
        <v>18</v>
      </c>
      <c r="D108" s="2">
        <v>0</v>
      </c>
      <c r="E108" s="2">
        <v>1</v>
      </c>
    </row>
    <row r="109" spans="1:5">
      <c r="A109" s="2">
        <v>108</v>
      </c>
      <c r="B109" s="2" t="s">
        <v>18</v>
      </c>
      <c r="C109" s="2" t="s">
        <v>18</v>
      </c>
      <c r="D109" s="2">
        <v>0</v>
      </c>
      <c r="E109" s="2">
        <v>1</v>
      </c>
    </row>
    <row r="110" spans="1:5">
      <c r="A110" s="2">
        <v>109</v>
      </c>
      <c r="B110" s="2" t="s">
        <v>18</v>
      </c>
      <c r="C110" s="2" t="s">
        <v>18</v>
      </c>
      <c r="D110" s="2">
        <v>0</v>
      </c>
      <c r="E110" s="2">
        <v>1</v>
      </c>
    </row>
    <row r="111" spans="1:5">
      <c r="A111" s="2">
        <v>110</v>
      </c>
      <c r="B111" s="2" t="s">
        <v>18</v>
      </c>
      <c r="C111" s="2" t="s">
        <v>18</v>
      </c>
      <c r="D111" s="2">
        <v>0</v>
      </c>
      <c r="E111" s="2">
        <v>1</v>
      </c>
    </row>
    <row r="112" spans="1:5">
      <c r="A112" s="2">
        <v>111</v>
      </c>
      <c r="B112" s="2" t="s">
        <v>18</v>
      </c>
      <c r="C112" s="2" t="s">
        <v>18</v>
      </c>
      <c r="D112" s="2">
        <v>0</v>
      </c>
      <c r="E112" s="2">
        <v>1</v>
      </c>
    </row>
    <row r="113" spans="1:5">
      <c r="A113" s="2">
        <v>112</v>
      </c>
      <c r="B113" s="2" t="s">
        <v>18</v>
      </c>
      <c r="C113" s="2" t="s">
        <v>18</v>
      </c>
      <c r="D113" s="2">
        <v>0</v>
      </c>
      <c r="E113" s="2">
        <v>1</v>
      </c>
    </row>
    <row r="114" spans="1:5">
      <c r="A114" s="2">
        <v>113</v>
      </c>
      <c r="B114" s="2" t="s">
        <v>18</v>
      </c>
      <c r="C114" s="2" t="s">
        <v>18</v>
      </c>
      <c r="D114" s="2">
        <v>0</v>
      </c>
      <c r="E114" s="2">
        <v>1</v>
      </c>
    </row>
    <row r="115" spans="1:5">
      <c r="A115" s="2">
        <v>114</v>
      </c>
      <c r="B115" s="2" t="s">
        <v>18</v>
      </c>
      <c r="C115" s="2" t="s">
        <v>18</v>
      </c>
      <c r="D115" s="2">
        <v>0</v>
      </c>
      <c r="E115" s="2">
        <v>1</v>
      </c>
    </row>
    <row r="116" spans="1:5">
      <c r="A116" s="2">
        <v>115</v>
      </c>
      <c r="B116" s="2" t="s">
        <v>18</v>
      </c>
      <c r="C116" s="2" t="s">
        <v>18</v>
      </c>
      <c r="D116" s="2">
        <v>0</v>
      </c>
      <c r="E116" s="2">
        <v>1</v>
      </c>
    </row>
    <row r="117" spans="1:5">
      <c r="A117" s="2">
        <v>116</v>
      </c>
      <c r="B117" s="2" t="s">
        <v>18</v>
      </c>
      <c r="C117" s="2" t="s">
        <v>18</v>
      </c>
      <c r="D117" s="2">
        <v>0</v>
      </c>
      <c r="E117" s="2">
        <v>1</v>
      </c>
    </row>
    <row r="118" spans="1:5">
      <c r="A118" s="2">
        <v>117</v>
      </c>
      <c r="B118" s="2" t="s">
        <v>18</v>
      </c>
      <c r="C118" s="2" t="s">
        <v>18</v>
      </c>
      <c r="D118" s="2">
        <v>0</v>
      </c>
      <c r="E118" s="2">
        <v>1</v>
      </c>
    </row>
    <row r="119" spans="1:5">
      <c r="A119" s="2">
        <v>118</v>
      </c>
      <c r="B119" s="2" t="s">
        <v>18</v>
      </c>
      <c r="C119" s="2" t="s">
        <v>18</v>
      </c>
      <c r="D119" s="2">
        <v>0</v>
      </c>
      <c r="E119" s="2">
        <v>1</v>
      </c>
    </row>
    <row r="120" spans="1:5">
      <c r="A120" s="2">
        <v>119</v>
      </c>
      <c r="B120" s="2" t="s">
        <v>18</v>
      </c>
      <c r="C120" s="2" t="s">
        <v>18</v>
      </c>
      <c r="D120" s="2">
        <v>0</v>
      </c>
      <c r="E120" s="2">
        <v>1</v>
      </c>
    </row>
    <row r="121" spans="1:5">
      <c r="A121" s="2">
        <v>120</v>
      </c>
      <c r="B121" s="2" t="s">
        <v>18</v>
      </c>
      <c r="C121" s="2" t="s">
        <v>18</v>
      </c>
      <c r="D121" s="2">
        <v>0.02</v>
      </c>
      <c r="E121" s="2">
        <v>0.98</v>
      </c>
    </row>
    <row r="122" spans="1:5">
      <c r="A122" s="2">
        <v>121</v>
      </c>
      <c r="B122" s="2" t="s">
        <v>18</v>
      </c>
      <c r="C122" s="2" t="s">
        <v>18</v>
      </c>
      <c r="D122" s="2">
        <v>0</v>
      </c>
      <c r="E122" s="2">
        <v>1</v>
      </c>
    </row>
    <row r="123" spans="1:5">
      <c r="A123" s="2">
        <v>122</v>
      </c>
      <c r="B123" s="2" t="s">
        <v>18</v>
      </c>
      <c r="C123" s="2" t="s">
        <v>18</v>
      </c>
      <c r="D123" s="2">
        <v>0</v>
      </c>
      <c r="E123" s="2">
        <v>1</v>
      </c>
    </row>
    <row r="124" spans="1:5">
      <c r="A124" s="2">
        <v>123</v>
      </c>
      <c r="B124" s="2" t="s">
        <v>18</v>
      </c>
      <c r="C124" s="2" t="s">
        <v>18</v>
      </c>
      <c r="D124" s="2">
        <v>0</v>
      </c>
      <c r="E124" s="2">
        <v>1</v>
      </c>
    </row>
    <row r="125" spans="1:5">
      <c r="A125" s="2">
        <v>124</v>
      </c>
      <c r="B125" s="2" t="s">
        <v>18</v>
      </c>
      <c r="C125" s="2" t="s">
        <v>18</v>
      </c>
      <c r="D125" s="2">
        <v>0</v>
      </c>
      <c r="E125" s="2">
        <v>1</v>
      </c>
    </row>
    <row r="126" spans="1:5">
      <c r="A126" s="2">
        <v>125</v>
      </c>
      <c r="B126" s="2" t="s">
        <v>18</v>
      </c>
      <c r="C126" s="2" t="s">
        <v>18</v>
      </c>
      <c r="D126" s="2">
        <v>0</v>
      </c>
      <c r="E126" s="2">
        <v>1</v>
      </c>
    </row>
    <row r="127" spans="1:5">
      <c r="A127" s="2">
        <v>126</v>
      </c>
      <c r="B127" s="2" t="s">
        <v>18</v>
      </c>
      <c r="C127" s="2" t="s">
        <v>18</v>
      </c>
      <c r="D127" s="2">
        <v>0</v>
      </c>
      <c r="E127" s="2">
        <v>1</v>
      </c>
    </row>
    <row r="128" spans="1:5">
      <c r="A128" s="2">
        <v>127</v>
      </c>
      <c r="B128" s="2" t="s">
        <v>18</v>
      </c>
      <c r="C128" s="2" t="s">
        <v>18</v>
      </c>
      <c r="D128" s="2">
        <v>0</v>
      </c>
      <c r="E128" s="2">
        <v>1</v>
      </c>
    </row>
    <row r="129" spans="1:5">
      <c r="A129" s="2">
        <v>128</v>
      </c>
      <c r="B129" s="2" t="s">
        <v>18</v>
      </c>
      <c r="C129" s="2" t="s">
        <v>18</v>
      </c>
      <c r="D129" s="2">
        <v>0</v>
      </c>
      <c r="E129" s="2">
        <v>1</v>
      </c>
    </row>
    <row r="130" spans="1:5">
      <c r="A130" s="2">
        <v>129</v>
      </c>
      <c r="B130" s="2" t="s">
        <v>18</v>
      </c>
      <c r="C130" s="2" t="s">
        <v>18</v>
      </c>
      <c r="D130" s="2">
        <v>0</v>
      </c>
      <c r="E130" s="2">
        <v>1</v>
      </c>
    </row>
    <row r="131" spans="1:5">
      <c r="A131" s="2">
        <v>130</v>
      </c>
      <c r="B131" s="2" t="s">
        <v>18</v>
      </c>
      <c r="C131" s="2" t="s">
        <v>18</v>
      </c>
      <c r="D131" s="2">
        <v>0</v>
      </c>
      <c r="E131" s="2">
        <v>1</v>
      </c>
    </row>
    <row r="132" spans="1:5">
      <c r="A132" s="2">
        <v>131</v>
      </c>
      <c r="B132" s="2" t="s">
        <v>18</v>
      </c>
      <c r="C132" s="2" t="s">
        <v>18</v>
      </c>
      <c r="D132" s="2">
        <v>0</v>
      </c>
      <c r="E132" s="2">
        <v>1</v>
      </c>
    </row>
    <row r="133" spans="1:5">
      <c r="A133" s="2">
        <v>132</v>
      </c>
      <c r="B133" s="2" t="s">
        <v>18</v>
      </c>
      <c r="C133" s="2" t="s">
        <v>18</v>
      </c>
      <c r="D133" s="2">
        <v>0</v>
      </c>
      <c r="E133" s="2">
        <v>1</v>
      </c>
    </row>
    <row r="134" spans="1:5">
      <c r="A134" s="2">
        <v>133</v>
      </c>
      <c r="B134" s="2" t="s">
        <v>18</v>
      </c>
      <c r="C134" s="2" t="s">
        <v>18</v>
      </c>
      <c r="D134" s="2">
        <v>0</v>
      </c>
      <c r="E134" s="2">
        <v>1</v>
      </c>
    </row>
    <row r="135" spans="1:5">
      <c r="A135" s="2">
        <v>134</v>
      </c>
      <c r="B135" s="2" t="s">
        <v>18</v>
      </c>
      <c r="C135" s="2" t="s">
        <v>18</v>
      </c>
      <c r="D135" s="2">
        <v>0</v>
      </c>
      <c r="E135" s="2">
        <v>1</v>
      </c>
    </row>
    <row r="136" spans="1:5">
      <c r="A136" s="2">
        <v>135</v>
      </c>
      <c r="B136" s="2" t="s">
        <v>18</v>
      </c>
      <c r="C136" s="2" t="s">
        <v>18</v>
      </c>
      <c r="D136" s="2">
        <v>0</v>
      </c>
      <c r="E136" s="2">
        <v>1</v>
      </c>
    </row>
    <row r="137" spans="1:5">
      <c r="A137" s="2">
        <v>136</v>
      </c>
      <c r="B137" s="2" t="s">
        <v>18</v>
      </c>
      <c r="C137" s="2" t="s">
        <v>18</v>
      </c>
      <c r="D137" s="2">
        <v>0</v>
      </c>
      <c r="E137" s="2">
        <v>1</v>
      </c>
    </row>
    <row r="138" spans="1:5">
      <c r="A138" s="2">
        <v>137</v>
      </c>
      <c r="B138" s="2" t="s">
        <v>18</v>
      </c>
      <c r="C138" s="2" t="s">
        <v>18</v>
      </c>
      <c r="D138" s="2">
        <v>0</v>
      </c>
      <c r="E138" s="2">
        <v>1</v>
      </c>
    </row>
    <row r="139" spans="1:5">
      <c r="A139" s="2">
        <v>138</v>
      </c>
      <c r="B139" s="2" t="s">
        <v>18</v>
      </c>
      <c r="C139" s="2" t="s">
        <v>18</v>
      </c>
      <c r="D139" s="2">
        <v>0</v>
      </c>
      <c r="E139" s="2">
        <v>1</v>
      </c>
    </row>
    <row r="140" spans="1:5">
      <c r="A140" s="2">
        <v>139</v>
      </c>
      <c r="B140" s="2" t="s">
        <v>18</v>
      </c>
      <c r="C140" s="2" t="s">
        <v>18</v>
      </c>
      <c r="D140" s="2">
        <v>0</v>
      </c>
      <c r="E140" s="2">
        <v>1</v>
      </c>
    </row>
    <row r="141" spans="1:5">
      <c r="A141" s="2">
        <v>140</v>
      </c>
      <c r="B141" s="2" t="s">
        <v>18</v>
      </c>
      <c r="C141" s="2" t="s">
        <v>18</v>
      </c>
      <c r="D141" s="2">
        <v>0</v>
      </c>
      <c r="E141" s="2">
        <v>1</v>
      </c>
    </row>
    <row r="142" spans="1:5">
      <c r="A142" s="2">
        <v>141</v>
      </c>
      <c r="B142" s="2" t="s">
        <v>18</v>
      </c>
      <c r="C142" s="2" t="s">
        <v>18</v>
      </c>
      <c r="D142" s="2">
        <v>0</v>
      </c>
      <c r="E142" s="2">
        <v>1</v>
      </c>
    </row>
    <row r="143" spans="1:5">
      <c r="A143" s="2">
        <v>142</v>
      </c>
      <c r="B143" s="2" t="s">
        <v>18</v>
      </c>
      <c r="C143" s="2" t="s">
        <v>18</v>
      </c>
      <c r="D143" s="2">
        <v>0</v>
      </c>
      <c r="E143" s="2">
        <v>1</v>
      </c>
    </row>
    <row r="144" spans="1:5">
      <c r="A144" s="2">
        <v>143</v>
      </c>
      <c r="B144" s="2" t="s">
        <v>18</v>
      </c>
      <c r="C144" s="2" t="s">
        <v>18</v>
      </c>
      <c r="D144" s="2">
        <v>4.0000000000000001E-3</v>
      </c>
      <c r="E144" s="2">
        <v>0.996</v>
      </c>
    </row>
    <row r="145" spans="1:5">
      <c r="A145" s="2">
        <v>144</v>
      </c>
      <c r="B145" s="2" t="s">
        <v>18</v>
      </c>
      <c r="C145" s="2" t="s">
        <v>18</v>
      </c>
      <c r="D145" s="2">
        <v>0</v>
      </c>
      <c r="E145" s="2">
        <v>1</v>
      </c>
    </row>
    <row r="146" spans="1:5">
      <c r="A146" s="2">
        <v>145</v>
      </c>
      <c r="B146" s="2" t="s">
        <v>18</v>
      </c>
      <c r="C146" s="2" t="s">
        <v>18</v>
      </c>
      <c r="D146" s="2">
        <v>0</v>
      </c>
      <c r="E146" s="2">
        <v>1</v>
      </c>
    </row>
    <row r="147" spans="1:5">
      <c r="A147" s="2">
        <v>146</v>
      </c>
      <c r="B147" s="2" t="s">
        <v>18</v>
      </c>
      <c r="C147" s="2" t="s">
        <v>18</v>
      </c>
      <c r="D147" s="2">
        <v>0</v>
      </c>
      <c r="E147" s="2">
        <v>1</v>
      </c>
    </row>
    <row r="148" spans="1:5">
      <c r="A148" s="2">
        <v>147</v>
      </c>
      <c r="B148" s="2" t="s">
        <v>18</v>
      </c>
      <c r="C148" s="2" t="s">
        <v>18</v>
      </c>
      <c r="D148" s="2">
        <v>0</v>
      </c>
      <c r="E148" s="2">
        <v>1</v>
      </c>
    </row>
    <row r="149" spans="1:5">
      <c r="A149" s="2">
        <v>148</v>
      </c>
      <c r="B149" s="2" t="s">
        <v>18</v>
      </c>
      <c r="C149" s="2" t="s">
        <v>18</v>
      </c>
      <c r="D149" s="2">
        <v>0</v>
      </c>
      <c r="E149" s="2">
        <v>1</v>
      </c>
    </row>
    <row r="150" spans="1:5">
      <c r="A150" s="2">
        <v>149</v>
      </c>
      <c r="B150" s="2" t="s">
        <v>18</v>
      </c>
      <c r="C150" s="2" t="s">
        <v>18</v>
      </c>
      <c r="D150" s="2">
        <v>0</v>
      </c>
      <c r="E150" s="2">
        <v>1</v>
      </c>
    </row>
    <row r="151" spans="1:5">
      <c r="A151" s="2">
        <v>150</v>
      </c>
      <c r="B151" s="2" t="s">
        <v>18</v>
      </c>
      <c r="C151" s="2" t="s">
        <v>18</v>
      </c>
      <c r="D151" s="2">
        <v>0</v>
      </c>
      <c r="E151" s="2">
        <v>1</v>
      </c>
    </row>
    <row r="152" spans="1:5">
      <c r="A152" s="2">
        <v>151</v>
      </c>
      <c r="B152" s="2" t="s">
        <v>18</v>
      </c>
      <c r="C152" s="2" t="s">
        <v>18</v>
      </c>
      <c r="D152" s="2">
        <v>0</v>
      </c>
      <c r="E152" s="2">
        <v>1</v>
      </c>
    </row>
    <row r="153" spans="1:5">
      <c r="A153" s="2">
        <v>152</v>
      </c>
      <c r="B153" s="2" t="s">
        <v>18</v>
      </c>
      <c r="C153" s="2" t="s">
        <v>18</v>
      </c>
      <c r="D153" s="2">
        <v>0</v>
      </c>
      <c r="E153" s="2">
        <v>1</v>
      </c>
    </row>
    <row r="154" spans="1:5">
      <c r="A154" s="2">
        <v>153</v>
      </c>
      <c r="B154" s="2" t="s">
        <v>18</v>
      </c>
      <c r="C154" s="2" t="s">
        <v>18</v>
      </c>
      <c r="D154" s="2">
        <v>0</v>
      </c>
      <c r="E154" s="2">
        <v>1</v>
      </c>
    </row>
    <row r="155" spans="1:5">
      <c r="A155" s="2">
        <v>154</v>
      </c>
      <c r="B155" s="2" t="s">
        <v>18</v>
      </c>
      <c r="C155" s="2" t="s">
        <v>18</v>
      </c>
      <c r="D155" s="2">
        <v>0</v>
      </c>
      <c r="E155" s="2">
        <v>1</v>
      </c>
    </row>
    <row r="156" spans="1:5">
      <c r="A156" s="2">
        <v>155</v>
      </c>
      <c r="B156" s="2" t="s">
        <v>18</v>
      </c>
      <c r="C156" s="2" t="s">
        <v>18</v>
      </c>
      <c r="D156" s="2">
        <v>0</v>
      </c>
      <c r="E156" s="2">
        <v>1</v>
      </c>
    </row>
    <row r="157" spans="1:5">
      <c r="A157" s="2">
        <v>156</v>
      </c>
      <c r="B157" s="2" t="s">
        <v>18</v>
      </c>
      <c r="C157" s="2" t="s">
        <v>18</v>
      </c>
      <c r="D157" s="2">
        <v>0</v>
      </c>
      <c r="E157" s="2">
        <v>1</v>
      </c>
    </row>
    <row r="158" spans="1:5">
      <c r="A158" s="2">
        <v>157</v>
      </c>
      <c r="B158" s="2" t="s">
        <v>18</v>
      </c>
      <c r="C158" s="2" t="s">
        <v>18</v>
      </c>
      <c r="D158" s="2">
        <v>0</v>
      </c>
      <c r="E158" s="2">
        <v>1</v>
      </c>
    </row>
    <row r="159" spans="1:5">
      <c r="A159" s="2">
        <v>158</v>
      </c>
      <c r="B159" s="2" t="s">
        <v>18</v>
      </c>
      <c r="C159" s="2" t="s">
        <v>18</v>
      </c>
      <c r="D159" s="2">
        <v>0</v>
      </c>
      <c r="E159" s="2">
        <v>1</v>
      </c>
    </row>
    <row r="160" spans="1:5">
      <c r="A160" s="2">
        <v>159</v>
      </c>
      <c r="B160" s="2" t="s">
        <v>18</v>
      </c>
      <c r="C160" s="2" t="s">
        <v>18</v>
      </c>
      <c r="D160" s="2">
        <v>0</v>
      </c>
      <c r="E160" s="2">
        <v>1</v>
      </c>
    </row>
    <row r="161" spans="1:5">
      <c r="A161" s="2">
        <v>160</v>
      </c>
      <c r="B161" s="2" t="s">
        <v>18</v>
      </c>
      <c r="C161" s="2" t="s">
        <v>18</v>
      </c>
      <c r="D161" s="2">
        <v>0</v>
      </c>
      <c r="E161" s="2">
        <v>1</v>
      </c>
    </row>
    <row r="162" spans="1:5">
      <c r="A162" s="2">
        <v>161</v>
      </c>
      <c r="B162" s="2" t="s">
        <v>18</v>
      </c>
      <c r="C162" s="2" t="s">
        <v>18</v>
      </c>
      <c r="D162" s="2">
        <v>0</v>
      </c>
      <c r="E162" s="2">
        <v>1</v>
      </c>
    </row>
    <row r="163" spans="1:5">
      <c r="A163" s="2">
        <v>162</v>
      </c>
      <c r="B163" s="2" t="s">
        <v>18</v>
      </c>
      <c r="C163" s="2" t="s">
        <v>18</v>
      </c>
      <c r="D163" s="2">
        <v>0</v>
      </c>
      <c r="E163" s="2">
        <v>1</v>
      </c>
    </row>
    <row r="164" spans="1:5">
      <c r="A164" s="2">
        <v>163</v>
      </c>
      <c r="B164" s="2" t="s">
        <v>18</v>
      </c>
      <c r="C164" s="2" t="s">
        <v>18</v>
      </c>
      <c r="D164" s="2">
        <v>0</v>
      </c>
      <c r="E164" s="2">
        <v>1</v>
      </c>
    </row>
    <row r="165" spans="1:5">
      <c r="A165" s="2">
        <v>164</v>
      </c>
      <c r="B165" s="2" t="s">
        <v>18</v>
      </c>
      <c r="C165" s="2" t="s">
        <v>18</v>
      </c>
      <c r="D165" s="2">
        <v>0</v>
      </c>
      <c r="E165" s="2">
        <v>1</v>
      </c>
    </row>
    <row r="166" spans="1:5">
      <c r="A166" s="2">
        <v>165</v>
      </c>
      <c r="B166" s="2" t="s">
        <v>18</v>
      </c>
      <c r="C166" s="2" t="s">
        <v>18</v>
      </c>
      <c r="D166" s="2">
        <v>0</v>
      </c>
      <c r="E166" s="2">
        <v>1</v>
      </c>
    </row>
    <row r="167" spans="1:5">
      <c r="A167" s="2">
        <v>166</v>
      </c>
      <c r="B167" s="2" t="s">
        <v>18</v>
      </c>
      <c r="C167" s="2" t="s">
        <v>18</v>
      </c>
      <c r="D167" s="2">
        <v>0</v>
      </c>
      <c r="E167" s="2">
        <v>1</v>
      </c>
    </row>
    <row r="168" spans="1:5">
      <c r="A168" s="2">
        <v>167</v>
      </c>
      <c r="B168" s="2" t="s">
        <v>18</v>
      </c>
      <c r="C168" s="2" t="s">
        <v>18</v>
      </c>
      <c r="D168" s="2">
        <v>0</v>
      </c>
      <c r="E168" s="2">
        <v>1</v>
      </c>
    </row>
    <row r="169" spans="1:5">
      <c r="A169" s="2">
        <v>168</v>
      </c>
      <c r="B169" s="2" t="s">
        <v>18</v>
      </c>
      <c r="C169" s="2" t="s">
        <v>18</v>
      </c>
      <c r="D169" s="2">
        <v>0</v>
      </c>
      <c r="E169" s="2">
        <v>1</v>
      </c>
    </row>
    <row r="170" spans="1:5">
      <c r="A170" s="2">
        <v>169</v>
      </c>
      <c r="B170" s="2" t="s">
        <v>18</v>
      </c>
      <c r="C170" s="2" t="s">
        <v>18</v>
      </c>
      <c r="D170" s="2">
        <v>0</v>
      </c>
      <c r="E170" s="2">
        <v>1</v>
      </c>
    </row>
    <row r="171" spans="1:5">
      <c r="A171" s="2">
        <v>170</v>
      </c>
      <c r="B171" s="2" t="s">
        <v>18</v>
      </c>
      <c r="C171" s="2" t="s">
        <v>18</v>
      </c>
      <c r="D171" s="2">
        <v>0</v>
      </c>
      <c r="E171" s="2">
        <v>1</v>
      </c>
    </row>
    <row r="172" spans="1:5">
      <c r="A172" s="2">
        <v>171</v>
      </c>
      <c r="B172" s="2" t="s">
        <v>18</v>
      </c>
      <c r="C172" s="2" t="s">
        <v>18</v>
      </c>
      <c r="D172" s="2">
        <v>0</v>
      </c>
      <c r="E172" s="2">
        <v>1</v>
      </c>
    </row>
    <row r="173" spans="1:5">
      <c r="A173" s="2">
        <v>172</v>
      </c>
      <c r="B173" s="2" t="s">
        <v>18</v>
      </c>
      <c r="C173" s="2" t="s">
        <v>18</v>
      </c>
      <c r="D173" s="2">
        <v>0</v>
      </c>
      <c r="E173" s="2">
        <v>1</v>
      </c>
    </row>
    <row r="174" spans="1:5">
      <c r="A174" s="2">
        <v>173</v>
      </c>
      <c r="B174" s="2" t="s">
        <v>18</v>
      </c>
      <c r="C174" s="2" t="s">
        <v>18</v>
      </c>
      <c r="D174" s="2">
        <v>0</v>
      </c>
      <c r="E174" s="2">
        <v>1</v>
      </c>
    </row>
    <row r="175" spans="1:5">
      <c r="A175" s="2">
        <v>174</v>
      </c>
      <c r="B175" s="2" t="s">
        <v>18</v>
      </c>
      <c r="C175" s="2" t="s">
        <v>18</v>
      </c>
      <c r="D175" s="2">
        <v>0</v>
      </c>
      <c r="E175" s="2">
        <v>1</v>
      </c>
    </row>
    <row r="176" spans="1:5">
      <c r="A176" s="2">
        <v>175</v>
      </c>
      <c r="B176" s="2" t="s">
        <v>25</v>
      </c>
      <c r="C176" s="2" t="s">
        <v>25</v>
      </c>
      <c r="D176" s="2">
        <v>0.81599999999999995</v>
      </c>
      <c r="E176" s="2">
        <v>0.184</v>
      </c>
    </row>
    <row r="177" spans="1:5">
      <c r="A177" s="2">
        <v>176</v>
      </c>
      <c r="B177" s="2" t="s">
        <v>18</v>
      </c>
      <c r="C177" s="2" t="s">
        <v>18</v>
      </c>
      <c r="D177" s="2">
        <v>0</v>
      </c>
      <c r="E177" s="2">
        <v>1</v>
      </c>
    </row>
    <row r="178" spans="1:5">
      <c r="A178" s="2">
        <v>177</v>
      </c>
      <c r="B178" s="2" t="s">
        <v>18</v>
      </c>
      <c r="C178" s="2" t="s">
        <v>18</v>
      </c>
      <c r="D178" s="2">
        <v>0</v>
      </c>
      <c r="E178" s="2">
        <v>1</v>
      </c>
    </row>
    <row r="179" spans="1:5">
      <c r="A179" s="2">
        <v>178</v>
      </c>
      <c r="B179" s="2" t="s">
        <v>18</v>
      </c>
      <c r="C179" s="2" t="s">
        <v>18</v>
      </c>
      <c r="D179" s="2">
        <v>2E-3</v>
      </c>
      <c r="E179" s="2">
        <v>0.998</v>
      </c>
    </row>
    <row r="180" spans="1:5">
      <c r="A180" s="2">
        <v>179</v>
      </c>
      <c r="B180" s="2" t="s">
        <v>18</v>
      </c>
      <c r="C180" s="2" t="s">
        <v>18</v>
      </c>
      <c r="D180" s="2">
        <v>0</v>
      </c>
      <c r="E180" s="2">
        <v>1</v>
      </c>
    </row>
    <row r="181" spans="1:5">
      <c r="A181" s="2">
        <v>180</v>
      </c>
      <c r="B181" s="2" t="s">
        <v>18</v>
      </c>
      <c r="C181" s="2" t="s">
        <v>18</v>
      </c>
      <c r="D181" s="2">
        <v>0</v>
      </c>
      <c r="E181" s="2">
        <v>1</v>
      </c>
    </row>
    <row r="182" spans="1:5">
      <c r="A182" s="2">
        <v>181</v>
      </c>
      <c r="B182" s="2" t="s">
        <v>18</v>
      </c>
      <c r="C182" s="2" t="s">
        <v>18</v>
      </c>
      <c r="D182" s="2">
        <v>0</v>
      </c>
      <c r="E182" s="2">
        <v>1</v>
      </c>
    </row>
    <row r="183" spans="1:5">
      <c r="A183" s="2">
        <v>182</v>
      </c>
      <c r="B183" s="2" t="s">
        <v>18</v>
      </c>
      <c r="C183" s="2" t="s">
        <v>18</v>
      </c>
      <c r="D183" s="2">
        <v>0</v>
      </c>
      <c r="E183" s="2">
        <v>1</v>
      </c>
    </row>
    <row r="184" spans="1:5">
      <c r="A184" s="2">
        <v>183</v>
      </c>
      <c r="B184" s="2" t="s">
        <v>18</v>
      </c>
      <c r="C184" s="2" t="s">
        <v>18</v>
      </c>
      <c r="D184" s="2">
        <v>0</v>
      </c>
      <c r="E184" s="2">
        <v>1</v>
      </c>
    </row>
    <row r="185" spans="1:5">
      <c r="A185" s="2">
        <v>184</v>
      </c>
      <c r="B185" s="2" t="s">
        <v>18</v>
      </c>
      <c r="C185" s="2" t="s">
        <v>18</v>
      </c>
      <c r="D185" s="2">
        <v>0</v>
      </c>
      <c r="E185" s="2">
        <v>1</v>
      </c>
    </row>
    <row r="186" spans="1:5">
      <c r="A186" s="2">
        <v>185</v>
      </c>
      <c r="B186" s="2" t="s">
        <v>18</v>
      </c>
      <c r="C186" s="2" t="s">
        <v>18</v>
      </c>
      <c r="D186" s="2">
        <v>0</v>
      </c>
      <c r="E186" s="2">
        <v>1</v>
      </c>
    </row>
    <row r="187" spans="1:5">
      <c r="A187" s="2">
        <v>186</v>
      </c>
      <c r="B187" s="2" t="s">
        <v>18</v>
      </c>
      <c r="C187" s="2" t="s">
        <v>18</v>
      </c>
      <c r="D187" s="2">
        <v>0</v>
      </c>
      <c r="E187" s="2">
        <v>1</v>
      </c>
    </row>
    <row r="188" spans="1:5">
      <c r="A188" s="2">
        <v>187</v>
      </c>
      <c r="B188" s="2" t="s">
        <v>25</v>
      </c>
      <c r="C188" s="2" t="s">
        <v>25</v>
      </c>
      <c r="D188" s="2">
        <v>0.93</v>
      </c>
      <c r="E188" s="2">
        <v>7.0000000000000007E-2</v>
      </c>
    </row>
    <row r="189" spans="1:5">
      <c r="A189" s="2">
        <v>188</v>
      </c>
      <c r="B189" s="2" t="s">
        <v>18</v>
      </c>
      <c r="C189" s="2" t="s">
        <v>18</v>
      </c>
      <c r="D189" s="2">
        <v>0</v>
      </c>
      <c r="E189" s="2">
        <v>1</v>
      </c>
    </row>
    <row r="190" spans="1:5">
      <c r="A190" s="2">
        <v>189</v>
      </c>
      <c r="B190" s="2" t="s">
        <v>18</v>
      </c>
      <c r="C190" s="2" t="s">
        <v>18</v>
      </c>
      <c r="D190" s="2">
        <v>0</v>
      </c>
      <c r="E190" s="2">
        <v>1</v>
      </c>
    </row>
    <row r="191" spans="1:5">
      <c r="A191" s="2">
        <v>190</v>
      </c>
      <c r="B191" s="2" t="s">
        <v>18</v>
      </c>
      <c r="C191" s="2" t="s">
        <v>18</v>
      </c>
      <c r="D191" s="2">
        <v>0</v>
      </c>
      <c r="E191" s="2">
        <v>1</v>
      </c>
    </row>
    <row r="192" spans="1:5">
      <c r="A192" s="2">
        <v>191</v>
      </c>
      <c r="B192" s="2" t="s">
        <v>18</v>
      </c>
      <c r="C192" s="2" t="s">
        <v>18</v>
      </c>
      <c r="D192" s="2">
        <v>0</v>
      </c>
      <c r="E192" s="2">
        <v>1</v>
      </c>
    </row>
    <row r="193" spans="1:5">
      <c r="A193" s="2">
        <v>192</v>
      </c>
      <c r="B193" s="2" t="s">
        <v>18</v>
      </c>
      <c r="C193" s="2" t="s">
        <v>18</v>
      </c>
      <c r="D193" s="2">
        <v>0</v>
      </c>
      <c r="E193" s="2">
        <v>1</v>
      </c>
    </row>
    <row r="194" spans="1:5">
      <c r="A194" s="2">
        <v>193</v>
      </c>
      <c r="B194" s="2" t="s">
        <v>18</v>
      </c>
      <c r="C194" s="2" t="s">
        <v>18</v>
      </c>
      <c r="D194" s="2">
        <v>0</v>
      </c>
      <c r="E194" s="2">
        <v>1</v>
      </c>
    </row>
    <row r="195" spans="1:5">
      <c r="A195" s="2">
        <v>194</v>
      </c>
      <c r="B195" s="2" t="s">
        <v>18</v>
      </c>
      <c r="C195" s="2" t="s">
        <v>18</v>
      </c>
      <c r="D195" s="2">
        <v>2E-3</v>
      </c>
      <c r="E195" s="2">
        <v>0.998</v>
      </c>
    </row>
    <row r="196" spans="1:5">
      <c r="A196" s="2">
        <v>195</v>
      </c>
      <c r="B196" s="2" t="s">
        <v>18</v>
      </c>
      <c r="C196" s="2" t="s">
        <v>18</v>
      </c>
      <c r="D196" s="2">
        <v>0</v>
      </c>
      <c r="E196" s="2">
        <v>1</v>
      </c>
    </row>
    <row r="197" spans="1:5">
      <c r="A197" s="2">
        <v>196</v>
      </c>
      <c r="B197" s="2" t="s">
        <v>18</v>
      </c>
      <c r="C197" s="2" t="s">
        <v>18</v>
      </c>
      <c r="D197" s="2">
        <v>0</v>
      </c>
      <c r="E197" s="2">
        <v>1</v>
      </c>
    </row>
    <row r="198" spans="1:5">
      <c r="A198" s="2">
        <v>197</v>
      </c>
      <c r="B198" s="2" t="s">
        <v>18</v>
      </c>
      <c r="C198" s="2" t="s">
        <v>18</v>
      </c>
      <c r="D198" s="2">
        <v>0</v>
      </c>
      <c r="E198" s="2">
        <v>1</v>
      </c>
    </row>
    <row r="199" spans="1:5">
      <c r="A199" s="2">
        <v>198</v>
      </c>
      <c r="B199" s="2" t="s">
        <v>18</v>
      </c>
      <c r="C199" s="2" t="s">
        <v>18</v>
      </c>
      <c r="D199" s="2">
        <v>0</v>
      </c>
      <c r="E199" s="2">
        <v>1</v>
      </c>
    </row>
    <row r="200" spans="1:5">
      <c r="A200" s="2">
        <v>199</v>
      </c>
      <c r="B200" s="2" t="s">
        <v>18</v>
      </c>
      <c r="C200" s="2" t="s">
        <v>18</v>
      </c>
      <c r="D200" s="2">
        <v>0</v>
      </c>
      <c r="E200" s="2">
        <v>1</v>
      </c>
    </row>
    <row r="201" spans="1:5">
      <c r="A201" s="2">
        <v>200</v>
      </c>
      <c r="B201" s="2" t="s">
        <v>18</v>
      </c>
      <c r="C201" s="2" t="s">
        <v>18</v>
      </c>
      <c r="D201" s="2">
        <v>0</v>
      </c>
      <c r="E201" s="2">
        <v>1</v>
      </c>
    </row>
    <row r="202" spans="1:5">
      <c r="A202" s="2">
        <v>201</v>
      </c>
      <c r="B202" s="2" t="s">
        <v>18</v>
      </c>
      <c r="C202" s="2" t="s">
        <v>18</v>
      </c>
      <c r="D202" s="2">
        <v>0</v>
      </c>
      <c r="E202" s="2">
        <v>1</v>
      </c>
    </row>
    <row r="203" spans="1:5">
      <c r="A203" s="2">
        <v>202</v>
      </c>
      <c r="B203" s="2" t="s">
        <v>18</v>
      </c>
      <c r="C203" s="2" t="s">
        <v>18</v>
      </c>
      <c r="D203" s="2">
        <v>0</v>
      </c>
      <c r="E203" s="2">
        <v>1</v>
      </c>
    </row>
    <row r="204" spans="1:5">
      <c r="A204" s="2">
        <v>203</v>
      </c>
      <c r="B204" s="2" t="s">
        <v>18</v>
      </c>
      <c r="C204" s="2" t="s">
        <v>18</v>
      </c>
      <c r="D204" s="2">
        <v>0</v>
      </c>
      <c r="E204" s="2">
        <v>1</v>
      </c>
    </row>
    <row r="205" spans="1:5">
      <c r="A205" s="2">
        <v>204</v>
      </c>
      <c r="B205" s="2" t="s">
        <v>18</v>
      </c>
      <c r="C205" s="2" t="s">
        <v>18</v>
      </c>
      <c r="D205" s="2">
        <v>8.0000000000000002E-3</v>
      </c>
      <c r="E205" s="2">
        <v>0.99199999999999999</v>
      </c>
    </row>
    <row r="206" spans="1:5">
      <c r="A206" s="2">
        <v>205</v>
      </c>
      <c r="B206" s="2" t="s">
        <v>18</v>
      </c>
      <c r="C206" s="2" t="s">
        <v>18</v>
      </c>
      <c r="D206" s="2">
        <v>0</v>
      </c>
      <c r="E206" s="2">
        <v>1</v>
      </c>
    </row>
    <row r="207" spans="1:5">
      <c r="A207" s="2">
        <v>206</v>
      </c>
      <c r="B207" s="2" t="s">
        <v>18</v>
      </c>
      <c r="C207" s="2" t="s">
        <v>18</v>
      </c>
      <c r="D207" s="2">
        <v>0</v>
      </c>
      <c r="E207" s="2">
        <v>1</v>
      </c>
    </row>
    <row r="208" spans="1:5">
      <c r="A208" s="2">
        <v>207</v>
      </c>
      <c r="B208" s="2" t="s">
        <v>18</v>
      </c>
      <c r="C208" s="2" t="s">
        <v>18</v>
      </c>
      <c r="D208" s="2">
        <v>0</v>
      </c>
      <c r="E208" s="2">
        <v>1</v>
      </c>
    </row>
    <row r="209" spans="1:5">
      <c r="A209" s="2">
        <v>208</v>
      </c>
      <c r="B209" s="2" t="s">
        <v>18</v>
      </c>
      <c r="C209" s="2" t="s">
        <v>18</v>
      </c>
      <c r="D209" s="2">
        <v>0</v>
      </c>
      <c r="E209" s="2">
        <v>1</v>
      </c>
    </row>
    <row r="210" spans="1:5">
      <c r="A210" s="2">
        <v>209</v>
      </c>
      <c r="B210" s="2" t="s">
        <v>18</v>
      </c>
      <c r="C210" s="2" t="s">
        <v>18</v>
      </c>
      <c r="D210" s="2">
        <v>0</v>
      </c>
      <c r="E210" s="2">
        <v>1</v>
      </c>
    </row>
    <row r="211" spans="1:5">
      <c r="A211" s="2">
        <v>210</v>
      </c>
      <c r="B211" s="2" t="s">
        <v>18</v>
      </c>
      <c r="C211" s="2" t="s">
        <v>18</v>
      </c>
      <c r="D211" s="2">
        <v>0</v>
      </c>
      <c r="E211" s="2">
        <v>1</v>
      </c>
    </row>
    <row r="212" spans="1:5">
      <c r="A212" s="2">
        <v>211</v>
      </c>
      <c r="B212" s="2" t="s">
        <v>18</v>
      </c>
      <c r="C212" s="2" t="s">
        <v>18</v>
      </c>
      <c r="D212" s="2">
        <v>0</v>
      </c>
      <c r="E212" s="2">
        <v>1</v>
      </c>
    </row>
    <row r="213" spans="1:5">
      <c r="A213" s="2">
        <v>212</v>
      </c>
      <c r="B213" s="2" t="s">
        <v>18</v>
      </c>
      <c r="C213" s="2" t="s">
        <v>18</v>
      </c>
      <c r="D213" s="2">
        <v>0</v>
      </c>
      <c r="E213" s="2">
        <v>1</v>
      </c>
    </row>
    <row r="214" spans="1:5">
      <c r="A214" s="2">
        <v>213</v>
      </c>
      <c r="B214" s="2" t="s">
        <v>18</v>
      </c>
      <c r="C214" s="2" t="s">
        <v>18</v>
      </c>
      <c r="D214" s="2">
        <v>1.6E-2</v>
      </c>
      <c r="E214" s="2">
        <v>0.98399999999999999</v>
      </c>
    </row>
    <row r="215" spans="1:5">
      <c r="A215" s="2">
        <v>214</v>
      </c>
      <c r="B215" s="2" t="s">
        <v>18</v>
      </c>
      <c r="C215" s="2" t="s">
        <v>18</v>
      </c>
      <c r="D215" s="2">
        <v>0</v>
      </c>
      <c r="E215" s="2">
        <v>1</v>
      </c>
    </row>
    <row r="216" spans="1:5">
      <c r="A216" s="2">
        <v>215</v>
      </c>
      <c r="B216" s="2" t="s">
        <v>18</v>
      </c>
      <c r="C216" s="2" t="s">
        <v>18</v>
      </c>
      <c r="D216" s="2">
        <v>0</v>
      </c>
      <c r="E216" s="2">
        <v>1</v>
      </c>
    </row>
    <row r="217" spans="1:5">
      <c r="A217" s="2">
        <v>216</v>
      </c>
      <c r="B217" s="2" t="s">
        <v>18</v>
      </c>
      <c r="C217" s="2" t="s">
        <v>18</v>
      </c>
      <c r="D217" s="2">
        <v>0</v>
      </c>
      <c r="E217" s="2">
        <v>1</v>
      </c>
    </row>
    <row r="218" spans="1:5">
      <c r="A218" s="2">
        <v>217</v>
      </c>
      <c r="B218" s="2" t="s">
        <v>18</v>
      </c>
      <c r="C218" s="2" t="s">
        <v>18</v>
      </c>
      <c r="D218" s="2">
        <v>0</v>
      </c>
      <c r="E218" s="2">
        <v>1</v>
      </c>
    </row>
    <row r="219" spans="1:5">
      <c r="A219" s="2">
        <v>218</v>
      </c>
      <c r="B219" s="2" t="s">
        <v>18</v>
      </c>
      <c r="C219" s="2" t="s">
        <v>18</v>
      </c>
      <c r="D219" s="2">
        <v>0</v>
      </c>
      <c r="E219" s="2">
        <v>1</v>
      </c>
    </row>
    <row r="220" spans="1:5">
      <c r="A220" s="2">
        <v>219</v>
      </c>
      <c r="B220" s="2" t="s">
        <v>18</v>
      </c>
      <c r="C220" s="2" t="s">
        <v>18</v>
      </c>
      <c r="D220" s="2">
        <v>0</v>
      </c>
      <c r="E220" s="2">
        <v>1</v>
      </c>
    </row>
    <row r="221" spans="1:5">
      <c r="A221" s="2">
        <v>220</v>
      </c>
      <c r="B221" s="2" t="s">
        <v>18</v>
      </c>
      <c r="C221" s="2" t="s">
        <v>18</v>
      </c>
      <c r="D221" s="2">
        <v>0</v>
      </c>
      <c r="E221" s="2">
        <v>1</v>
      </c>
    </row>
    <row r="222" spans="1:5">
      <c r="A222" s="2">
        <v>221</v>
      </c>
      <c r="B222" s="2" t="s">
        <v>18</v>
      </c>
      <c r="C222" s="2" t="s">
        <v>18</v>
      </c>
      <c r="D222" s="2">
        <v>0</v>
      </c>
      <c r="E222" s="2">
        <v>1</v>
      </c>
    </row>
    <row r="223" spans="1:5">
      <c r="A223" s="2">
        <v>222</v>
      </c>
      <c r="B223" s="2" t="s">
        <v>18</v>
      </c>
      <c r="C223" s="2" t="s">
        <v>18</v>
      </c>
      <c r="D223" s="2">
        <v>0</v>
      </c>
      <c r="E223" s="2">
        <v>1</v>
      </c>
    </row>
    <row r="224" spans="1:5">
      <c r="A224" s="2">
        <v>223</v>
      </c>
      <c r="B224" s="2" t="s">
        <v>18</v>
      </c>
      <c r="C224" s="2" t="s">
        <v>18</v>
      </c>
      <c r="D224" s="2">
        <v>0</v>
      </c>
      <c r="E224" s="2">
        <v>1</v>
      </c>
    </row>
    <row r="225" spans="1:5">
      <c r="A225" s="2">
        <v>224</v>
      </c>
      <c r="B225" s="2" t="s">
        <v>18</v>
      </c>
      <c r="C225" s="2" t="s">
        <v>18</v>
      </c>
      <c r="D225" s="2">
        <v>0</v>
      </c>
      <c r="E225" s="2">
        <v>1</v>
      </c>
    </row>
    <row r="226" spans="1:5">
      <c r="A226" s="2">
        <v>225</v>
      </c>
      <c r="B226" s="2" t="s">
        <v>25</v>
      </c>
      <c r="C226" s="2" t="s">
        <v>25</v>
      </c>
      <c r="D226" s="2">
        <v>0.98799999999999999</v>
      </c>
      <c r="E226" s="2">
        <v>1.2E-2</v>
      </c>
    </row>
    <row r="227" spans="1:5">
      <c r="A227" s="2">
        <v>226</v>
      </c>
      <c r="B227" s="2" t="s">
        <v>18</v>
      </c>
      <c r="C227" s="2" t="s">
        <v>18</v>
      </c>
      <c r="D227" s="2">
        <v>0</v>
      </c>
      <c r="E227" s="2">
        <v>1</v>
      </c>
    </row>
    <row r="228" spans="1:5">
      <c r="A228" s="2">
        <v>227</v>
      </c>
      <c r="B228" s="2" t="s">
        <v>18</v>
      </c>
      <c r="C228" s="2" t="s">
        <v>18</v>
      </c>
      <c r="D228" s="2">
        <v>0</v>
      </c>
      <c r="E228" s="2">
        <v>1</v>
      </c>
    </row>
    <row r="229" spans="1:5">
      <c r="A229" s="2">
        <v>228</v>
      </c>
      <c r="B229" s="2" t="s">
        <v>18</v>
      </c>
      <c r="C229" s="2" t="s">
        <v>18</v>
      </c>
      <c r="D229" s="2">
        <v>0</v>
      </c>
      <c r="E229" s="2">
        <v>1</v>
      </c>
    </row>
    <row r="230" spans="1:5">
      <c r="A230" s="2">
        <v>229</v>
      </c>
      <c r="B230" s="2" t="s">
        <v>18</v>
      </c>
      <c r="C230" s="2" t="s">
        <v>18</v>
      </c>
      <c r="D230" s="2">
        <v>0</v>
      </c>
      <c r="E230" s="2">
        <v>1</v>
      </c>
    </row>
    <row r="231" spans="1:5">
      <c r="A231" s="2">
        <v>230</v>
      </c>
      <c r="B231" s="2" t="s">
        <v>25</v>
      </c>
      <c r="C231" s="2" t="s">
        <v>25</v>
      </c>
      <c r="D231" s="2">
        <v>0.78200000000000003</v>
      </c>
      <c r="E231" s="2">
        <v>0.218</v>
      </c>
    </row>
    <row r="232" spans="1:5">
      <c r="A232" s="2">
        <v>231</v>
      </c>
      <c r="B232" s="2" t="s">
        <v>18</v>
      </c>
      <c r="C232" s="2" t="s">
        <v>18</v>
      </c>
      <c r="D232" s="2">
        <v>0</v>
      </c>
      <c r="E232" s="2">
        <v>1</v>
      </c>
    </row>
    <row r="233" spans="1:5">
      <c r="A233" s="2">
        <v>232</v>
      </c>
      <c r="B233" s="2" t="s">
        <v>18</v>
      </c>
      <c r="C233" s="2" t="s">
        <v>18</v>
      </c>
      <c r="D233" s="2">
        <v>0</v>
      </c>
      <c r="E233" s="2">
        <v>1</v>
      </c>
    </row>
    <row r="234" spans="1:5">
      <c r="A234" s="2">
        <v>233</v>
      </c>
      <c r="B234" s="2" t="s">
        <v>18</v>
      </c>
      <c r="C234" s="2" t="s">
        <v>18</v>
      </c>
      <c r="D234" s="2">
        <v>0</v>
      </c>
      <c r="E234" s="2">
        <v>1</v>
      </c>
    </row>
    <row r="235" spans="1:5">
      <c r="A235" s="2">
        <v>234</v>
      </c>
      <c r="B235" s="2" t="s">
        <v>18</v>
      </c>
      <c r="C235" s="2" t="s">
        <v>18</v>
      </c>
      <c r="D235" s="2">
        <v>0</v>
      </c>
      <c r="E235" s="2">
        <v>1</v>
      </c>
    </row>
    <row r="236" spans="1:5">
      <c r="A236" s="2">
        <v>235</v>
      </c>
      <c r="B236" s="2" t="s">
        <v>18</v>
      </c>
      <c r="C236" s="2" t="s">
        <v>18</v>
      </c>
      <c r="D236" s="2">
        <v>0</v>
      </c>
      <c r="E236" s="2">
        <v>1</v>
      </c>
    </row>
    <row r="237" spans="1:5">
      <c r="A237" s="2">
        <v>236</v>
      </c>
      <c r="B237" s="2" t="s">
        <v>18</v>
      </c>
      <c r="C237" s="2" t="s">
        <v>18</v>
      </c>
      <c r="D237" s="2">
        <v>0</v>
      </c>
      <c r="E237" s="2">
        <v>1</v>
      </c>
    </row>
    <row r="238" spans="1:5">
      <c r="A238" s="2">
        <v>237</v>
      </c>
      <c r="B238" s="2" t="s">
        <v>18</v>
      </c>
      <c r="C238" s="2" t="s">
        <v>18</v>
      </c>
      <c r="D238" s="2">
        <v>0</v>
      </c>
      <c r="E238" s="2">
        <v>1</v>
      </c>
    </row>
    <row r="239" spans="1:5">
      <c r="A239" s="2">
        <v>238</v>
      </c>
      <c r="B239" s="2" t="s">
        <v>18</v>
      </c>
      <c r="C239" s="2" t="s">
        <v>18</v>
      </c>
      <c r="D239" s="2">
        <v>0</v>
      </c>
      <c r="E239" s="2">
        <v>1</v>
      </c>
    </row>
    <row r="240" spans="1:5">
      <c r="A240" s="2">
        <v>239</v>
      </c>
      <c r="B240" s="2" t="s">
        <v>18</v>
      </c>
      <c r="C240" s="2" t="s">
        <v>18</v>
      </c>
      <c r="D240" s="2">
        <v>0</v>
      </c>
      <c r="E240" s="2">
        <v>1</v>
      </c>
    </row>
    <row r="241" spans="1:5">
      <c r="A241" s="2">
        <v>240</v>
      </c>
      <c r="B241" s="2" t="s">
        <v>18</v>
      </c>
      <c r="C241" s="2" t="s">
        <v>18</v>
      </c>
      <c r="D241" s="2">
        <v>0</v>
      </c>
      <c r="E241" s="2">
        <v>1</v>
      </c>
    </row>
    <row r="242" spans="1:5">
      <c r="A242" s="2">
        <v>241</v>
      </c>
      <c r="B242" s="2" t="s">
        <v>25</v>
      </c>
      <c r="C242" s="2" t="s">
        <v>25</v>
      </c>
      <c r="D242" s="2">
        <v>1</v>
      </c>
      <c r="E242" s="2">
        <v>0</v>
      </c>
    </row>
    <row r="243" spans="1:5">
      <c r="A243" s="2">
        <v>242</v>
      </c>
      <c r="B243" s="2" t="s">
        <v>18</v>
      </c>
      <c r="C243" s="2" t="s">
        <v>18</v>
      </c>
      <c r="D243" s="2">
        <v>0</v>
      </c>
      <c r="E243" s="2">
        <v>1</v>
      </c>
    </row>
    <row r="244" spans="1:5">
      <c r="A244" s="2">
        <v>243</v>
      </c>
      <c r="B244" s="2" t="s">
        <v>18</v>
      </c>
      <c r="C244" s="2" t="s">
        <v>18</v>
      </c>
      <c r="D244" s="2">
        <v>0</v>
      </c>
      <c r="E244" s="2">
        <v>1</v>
      </c>
    </row>
    <row r="245" spans="1:5">
      <c r="A245" s="2">
        <v>244</v>
      </c>
      <c r="B245" s="2" t="s">
        <v>18</v>
      </c>
      <c r="C245" s="2" t="s">
        <v>18</v>
      </c>
      <c r="D245" s="2">
        <v>0</v>
      </c>
      <c r="E245" s="2">
        <v>1</v>
      </c>
    </row>
    <row r="246" spans="1:5">
      <c r="A246" s="2">
        <v>245</v>
      </c>
      <c r="B246" s="2" t="s">
        <v>18</v>
      </c>
      <c r="C246" s="2" t="s">
        <v>18</v>
      </c>
      <c r="D246" s="2">
        <v>0</v>
      </c>
      <c r="E246" s="2">
        <v>1</v>
      </c>
    </row>
    <row r="247" spans="1:5">
      <c r="A247" s="2">
        <v>246</v>
      </c>
      <c r="B247" s="2" t="s">
        <v>18</v>
      </c>
      <c r="C247" s="2" t="s">
        <v>18</v>
      </c>
      <c r="D247" s="2">
        <v>0</v>
      </c>
      <c r="E247" s="2">
        <v>1</v>
      </c>
    </row>
    <row r="248" spans="1:5">
      <c r="A248" s="2">
        <v>247</v>
      </c>
      <c r="B248" s="2" t="s">
        <v>18</v>
      </c>
      <c r="C248" s="2" t="s">
        <v>18</v>
      </c>
      <c r="D248" s="2">
        <v>0</v>
      </c>
      <c r="E248" s="2">
        <v>1</v>
      </c>
    </row>
    <row r="249" spans="1:5">
      <c r="A249" s="2">
        <v>248</v>
      </c>
      <c r="B249" s="2" t="s">
        <v>18</v>
      </c>
      <c r="C249" s="2" t="s">
        <v>18</v>
      </c>
      <c r="D249" s="2">
        <v>0</v>
      </c>
      <c r="E249" s="2">
        <v>1</v>
      </c>
    </row>
    <row r="250" spans="1:5">
      <c r="A250" s="2">
        <v>249</v>
      </c>
      <c r="B250" s="2" t="s">
        <v>18</v>
      </c>
      <c r="C250" s="2" t="s">
        <v>18</v>
      </c>
      <c r="D250" s="2">
        <v>0</v>
      </c>
      <c r="E250" s="2">
        <v>1</v>
      </c>
    </row>
    <row r="251" spans="1:5">
      <c r="A251" s="2">
        <v>250</v>
      </c>
      <c r="B251" s="2" t="s">
        <v>18</v>
      </c>
      <c r="C251" s="2" t="s">
        <v>18</v>
      </c>
      <c r="D251" s="2">
        <v>0</v>
      </c>
      <c r="E251" s="2">
        <v>1</v>
      </c>
    </row>
    <row r="252" spans="1:5">
      <c r="A252" s="2">
        <v>251</v>
      </c>
      <c r="B252" s="2" t="s">
        <v>18</v>
      </c>
      <c r="C252" s="2" t="s">
        <v>18</v>
      </c>
      <c r="D252" s="2">
        <v>0</v>
      </c>
      <c r="E252" s="2">
        <v>1</v>
      </c>
    </row>
    <row r="253" spans="1:5">
      <c r="A253" s="2">
        <v>252</v>
      </c>
      <c r="B253" s="2" t="s">
        <v>18</v>
      </c>
      <c r="C253" s="2" t="s">
        <v>18</v>
      </c>
      <c r="D253" s="2">
        <v>0</v>
      </c>
      <c r="E253" s="2">
        <v>1</v>
      </c>
    </row>
    <row r="254" spans="1:5">
      <c r="A254" s="2">
        <v>253</v>
      </c>
      <c r="B254" s="2" t="s">
        <v>18</v>
      </c>
      <c r="C254" s="2" t="s">
        <v>18</v>
      </c>
      <c r="D254" s="2">
        <v>0</v>
      </c>
      <c r="E254" s="2">
        <v>1</v>
      </c>
    </row>
    <row r="255" spans="1:5">
      <c r="A255" s="2">
        <v>254</v>
      </c>
      <c r="B255" s="2" t="s">
        <v>18</v>
      </c>
      <c r="C255" s="2" t="s">
        <v>18</v>
      </c>
      <c r="D255" s="2">
        <v>0</v>
      </c>
      <c r="E255" s="2">
        <v>1</v>
      </c>
    </row>
    <row r="256" spans="1:5">
      <c r="A256" s="2">
        <v>255</v>
      </c>
      <c r="B256" s="2" t="s">
        <v>18</v>
      </c>
      <c r="C256" s="2" t="s">
        <v>18</v>
      </c>
      <c r="D256" s="2">
        <v>0</v>
      </c>
      <c r="E256" s="2">
        <v>1</v>
      </c>
    </row>
    <row r="257" spans="1:5">
      <c r="A257" s="2">
        <v>256</v>
      </c>
      <c r="B257" s="2" t="s">
        <v>18</v>
      </c>
      <c r="C257" s="2" t="s">
        <v>18</v>
      </c>
      <c r="D257" s="2">
        <v>0</v>
      </c>
      <c r="E257" s="2">
        <v>1</v>
      </c>
    </row>
    <row r="258" spans="1:5">
      <c r="A258" s="2">
        <v>257</v>
      </c>
      <c r="B258" s="2" t="s">
        <v>18</v>
      </c>
      <c r="C258" s="2" t="s">
        <v>18</v>
      </c>
      <c r="D258" s="2">
        <v>0</v>
      </c>
      <c r="E258" s="2">
        <v>1</v>
      </c>
    </row>
    <row r="259" spans="1:5">
      <c r="A259" s="2">
        <v>258</v>
      </c>
      <c r="B259" s="2" t="s">
        <v>18</v>
      </c>
      <c r="C259" s="2" t="s">
        <v>18</v>
      </c>
      <c r="D259" s="2">
        <v>0</v>
      </c>
      <c r="E259" s="2">
        <v>1</v>
      </c>
    </row>
    <row r="260" spans="1:5">
      <c r="A260" s="2">
        <v>259</v>
      </c>
      <c r="B260" s="2" t="s">
        <v>18</v>
      </c>
      <c r="C260" s="2" t="s">
        <v>18</v>
      </c>
      <c r="D260" s="2">
        <v>0</v>
      </c>
      <c r="E260" s="2">
        <v>1</v>
      </c>
    </row>
    <row r="261" spans="1:5">
      <c r="A261" s="2">
        <v>260</v>
      </c>
      <c r="B261" s="2" t="s">
        <v>18</v>
      </c>
      <c r="C261" s="2" t="s">
        <v>18</v>
      </c>
      <c r="D261" s="2">
        <v>0</v>
      </c>
      <c r="E261" s="2">
        <v>1</v>
      </c>
    </row>
    <row r="262" spans="1:5">
      <c r="A262" s="2">
        <v>261</v>
      </c>
      <c r="B262" s="2" t="s">
        <v>18</v>
      </c>
      <c r="C262" s="2" t="s">
        <v>18</v>
      </c>
      <c r="D262" s="2">
        <v>2E-3</v>
      </c>
      <c r="E262" s="2">
        <v>0.998</v>
      </c>
    </row>
    <row r="263" spans="1:5">
      <c r="A263" s="2">
        <v>262</v>
      </c>
      <c r="B263" s="2" t="s">
        <v>18</v>
      </c>
      <c r="C263" s="2" t="s">
        <v>18</v>
      </c>
      <c r="D263" s="2">
        <v>0</v>
      </c>
      <c r="E263" s="2">
        <v>1</v>
      </c>
    </row>
    <row r="264" spans="1:5">
      <c r="A264" s="2">
        <v>263</v>
      </c>
      <c r="B264" s="2" t="s">
        <v>18</v>
      </c>
      <c r="C264" s="2" t="s">
        <v>18</v>
      </c>
      <c r="D264" s="2">
        <v>0</v>
      </c>
      <c r="E264" s="2">
        <v>1</v>
      </c>
    </row>
    <row r="265" spans="1:5">
      <c r="A265" s="2">
        <v>264</v>
      </c>
      <c r="B265" s="2" t="s">
        <v>18</v>
      </c>
      <c r="C265" s="2" t="s">
        <v>18</v>
      </c>
      <c r="D265" s="2">
        <v>0</v>
      </c>
      <c r="E265" s="2">
        <v>1</v>
      </c>
    </row>
    <row r="266" spans="1:5">
      <c r="A266" s="2">
        <v>265</v>
      </c>
      <c r="B266" s="2" t="s">
        <v>18</v>
      </c>
      <c r="C266" s="2" t="s">
        <v>18</v>
      </c>
      <c r="D266" s="2">
        <v>0</v>
      </c>
      <c r="E266" s="2">
        <v>1</v>
      </c>
    </row>
    <row r="267" spans="1:5">
      <c r="A267" s="2">
        <v>266</v>
      </c>
      <c r="B267" s="2" t="s">
        <v>18</v>
      </c>
      <c r="C267" s="2" t="s">
        <v>18</v>
      </c>
      <c r="D267" s="2">
        <v>0</v>
      </c>
      <c r="E267" s="2">
        <v>1</v>
      </c>
    </row>
    <row r="268" spans="1:5">
      <c r="A268" s="2">
        <v>267</v>
      </c>
      <c r="B268" s="2" t="s">
        <v>18</v>
      </c>
      <c r="C268" s="2" t="s">
        <v>18</v>
      </c>
      <c r="D268" s="2">
        <v>0</v>
      </c>
      <c r="E268" s="2">
        <v>1</v>
      </c>
    </row>
    <row r="269" spans="1:5">
      <c r="A269" s="2">
        <v>268</v>
      </c>
      <c r="B269" s="2" t="s">
        <v>18</v>
      </c>
      <c r="C269" s="2" t="s">
        <v>18</v>
      </c>
      <c r="D269" s="2">
        <v>0</v>
      </c>
      <c r="E269" s="2">
        <v>1</v>
      </c>
    </row>
    <row r="270" spans="1:5">
      <c r="A270" s="2">
        <v>269</v>
      </c>
      <c r="B270" s="2" t="s">
        <v>18</v>
      </c>
      <c r="C270" s="2" t="s">
        <v>18</v>
      </c>
      <c r="D270" s="2">
        <v>0</v>
      </c>
      <c r="E270" s="2">
        <v>1</v>
      </c>
    </row>
    <row r="271" spans="1:5">
      <c r="A271" s="2">
        <v>270</v>
      </c>
      <c r="B271" s="2" t="s">
        <v>18</v>
      </c>
      <c r="C271" s="2" t="s">
        <v>18</v>
      </c>
      <c r="D271" s="2">
        <v>0</v>
      </c>
      <c r="E271" s="2">
        <v>1</v>
      </c>
    </row>
    <row r="272" spans="1:5">
      <c r="A272" s="2">
        <v>271</v>
      </c>
      <c r="B272" s="2" t="s">
        <v>18</v>
      </c>
      <c r="C272" s="2" t="s">
        <v>18</v>
      </c>
      <c r="D272" s="2">
        <v>0</v>
      </c>
      <c r="E272" s="2">
        <v>1</v>
      </c>
    </row>
    <row r="273" spans="1:5">
      <c r="A273" s="2">
        <v>272</v>
      </c>
      <c r="B273" s="2" t="s">
        <v>18</v>
      </c>
      <c r="C273" s="2" t="s">
        <v>18</v>
      </c>
      <c r="D273" s="2">
        <v>0</v>
      </c>
      <c r="E273" s="2">
        <v>1</v>
      </c>
    </row>
    <row r="274" spans="1:5">
      <c r="A274" s="2">
        <v>273</v>
      </c>
      <c r="B274" s="2" t="s">
        <v>18</v>
      </c>
      <c r="C274" s="2" t="s">
        <v>18</v>
      </c>
      <c r="D274" s="2">
        <v>0</v>
      </c>
      <c r="E274" s="2">
        <v>1</v>
      </c>
    </row>
    <row r="275" spans="1:5">
      <c r="A275" s="2">
        <v>274</v>
      </c>
      <c r="B275" s="2" t="s">
        <v>18</v>
      </c>
      <c r="C275" s="2" t="s">
        <v>18</v>
      </c>
      <c r="D275" s="2">
        <v>0</v>
      </c>
      <c r="E275" s="2">
        <v>1</v>
      </c>
    </row>
    <row r="276" spans="1:5">
      <c r="A276" s="2">
        <v>275</v>
      </c>
      <c r="B276" s="2" t="s">
        <v>18</v>
      </c>
      <c r="C276" s="2" t="s">
        <v>18</v>
      </c>
      <c r="D276" s="2">
        <v>0</v>
      </c>
      <c r="E276" s="2">
        <v>1</v>
      </c>
    </row>
    <row r="277" spans="1:5">
      <c r="A277" s="2">
        <v>276</v>
      </c>
      <c r="B277" s="2" t="s">
        <v>18</v>
      </c>
      <c r="C277" s="2" t="s">
        <v>18</v>
      </c>
      <c r="D277" s="2">
        <v>0</v>
      </c>
      <c r="E277" s="2">
        <v>1</v>
      </c>
    </row>
    <row r="278" spans="1:5">
      <c r="A278" s="2">
        <v>277</v>
      </c>
      <c r="B278" s="2" t="s">
        <v>18</v>
      </c>
      <c r="C278" s="2" t="s">
        <v>18</v>
      </c>
      <c r="D278" s="2">
        <v>0</v>
      </c>
      <c r="E278" s="2">
        <v>1</v>
      </c>
    </row>
    <row r="279" spans="1:5">
      <c r="A279" s="2">
        <v>278</v>
      </c>
      <c r="B279" s="2" t="s">
        <v>18</v>
      </c>
      <c r="C279" s="2" t="s">
        <v>18</v>
      </c>
      <c r="D279" s="2">
        <v>0</v>
      </c>
      <c r="E279" s="2">
        <v>1</v>
      </c>
    </row>
    <row r="280" spans="1:5">
      <c r="A280" s="2">
        <v>279</v>
      </c>
      <c r="B280" s="2" t="s">
        <v>18</v>
      </c>
      <c r="C280" s="2" t="s">
        <v>18</v>
      </c>
      <c r="D280" s="2">
        <v>0</v>
      </c>
      <c r="E280" s="2">
        <v>1</v>
      </c>
    </row>
    <row r="281" spans="1:5">
      <c r="A281" s="2">
        <v>280</v>
      </c>
      <c r="B281" s="2" t="s">
        <v>18</v>
      </c>
      <c r="C281" s="2" t="s">
        <v>18</v>
      </c>
      <c r="D281" s="2">
        <v>0</v>
      </c>
      <c r="E281" s="2">
        <v>1</v>
      </c>
    </row>
    <row r="282" spans="1:5">
      <c r="A282" s="2">
        <v>281</v>
      </c>
      <c r="B282" s="2" t="s">
        <v>18</v>
      </c>
      <c r="C282" s="2" t="s">
        <v>18</v>
      </c>
      <c r="D282" s="2">
        <v>0</v>
      </c>
      <c r="E282" s="2">
        <v>1</v>
      </c>
    </row>
    <row r="283" spans="1:5">
      <c r="A283" s="2">
        <v>282</v>
      </c>
      <c r="B283" s="2" t="s">
        <v>18</v>
      </c>
      <c r="C283" s="2" t="s">
        <v>18</v>
      </c>
      <c r="D283" s="2">
        <v>0</v>
      </c>
      <c r="E283" s="2">
        <v>1</v>
      </c>
    </row>
    <row r="284" spans="1:5">
      <c r="A284" s="2">
        <v>283</v>
      </c>
      <c r="B284" s="2" t="s">
        <v>18</v>
      </c>
      <c r="C284" s="2" t="s">
        <v>18</v>
      </c>
      <c r="D284" s="2">
        <v>0</v>
      </c>
      <c r="E284" s="2">
        <v>1</v>
      </c>
    </row>
    <row r="285" spans="1:5">
      <c r="A285" s="2">
        <v>284</v>
      </c>
      <c r="B285" s="2" t="s">
        <v>18</v>
      </c>
      <c r="C285" s="2" t="s">
        <v>18</v>
      </c>
      <c r="D285" s="2">
        <v>0</v>
      </c>
      <c r="E285" s="2">
        <v>1</v>
      </c>
    </row>
    <row r="286" spans="1:5">
      <c r="A286" s="2">
        <v>285</v>
      </c>
      <c r="B286" s="2" t="s">
        <v>18</v>
      </c>
      <c r="C286" s="2" t="s">
        <v>18</v>
      </c>
      <c r="D286" s="2">
        <v>0</v>
      </c>
      <c r="E286" s="2">
        <v>1</v>
      </c>
    </row>
    <row r="287" spans="1:5">
      <c r="A287" s="2">
        <v>286</v>
      </c>
      <c r="B287" s="2" t="s">
        <v>18</v>
      </c>
      <c r="C287" s="2" t="s">
        <v>18</v>
      </c>
      <c r="D287" s="2">
        <v>0</v>
      </c>
      <c r="E287" s="2">
        <v>1</v>
      </c>
    </row>
    <row r="288" spans="1:5">
      <c r="A288" s="2">
        <v>287</v>
      </c>
      <c r="B288" s="2" t="s">
        <v>18</v>
      </c>
      <c r="C288" s="2" t="s">
        <v>18</v>
      </c>
      <c r="D288" s="2">
        <v>0</v>
      </c>
      <c r="E288" s="2">
        <v>1</v>
      </c>
    </row>
    <row r="289" spans="1:5">
      <c r="A289" s="2">
        <v>288</v>
      </c>
      <c r="B289" s="2" t="s">
        <v>18</v>
      </c>
      <c r="C289" s="2" t="s">
        <v>18</v>
      </c>
      <c r="D289" s="2">
        <v>0</v>
      </c>
      <c r="E289" s="2">
        <v>1</v>
      </c>
    </row>
    <row r="290" spans="1:5">
      <c r="A290" s="2">
        <v>289</v>
      </c>
      <c r="B290" s="2" t="s">
        <v>18</v>
      </c>
      <c r="C290" s="2" t="s">
        <v>18</v>
      </c>
      <c r="D290" s="2">
        <v>0</v>
      </c>
      <c r="E290" s="2">
        <v>1</v>
      </c>
    </row>
    <row r="291" spans="1:5">
      <c r="A291" s="2">
        <v>290</v>
      </c>
      <c r="B291" s="2" t="s">
        <v>18</v>
      </c>
      <c r="C291" s="2" t="s">
        <v>18</v>
      </c>
      <c r="D291" s="2">
        <v>0</v>
      </c>
      <c r="E291" s="2">
        <v>1</v>
      </c>
    </row>
    <row r="292" spans="1:5">
      <c r="A292" s="2">
        <v>291</v>
      </c>
      <c r="B292" s="2" t="s">
        <v>18</v>
      </c>
      <c r="C292" s="2" t="s">
        <v>18</v>
      </c>
      <c r="D292" s="2">
        <v>0</v>
      </c>
      <c r="E292" s="2">
        <v>1</v>
      </c>
    </row>
    <row r="293" spans="1:5">
      <c r="A293" s="2">
        <v>292</v>
      </c>
      <c r="B293" s="2" t="s">
        <v>25</v>
      </c>
      <c r="C293" s="2" t="s">
        <v>25</v>
      </c>
      <c r="D293" s="2">
        <v>0.998</v>
      </c>
      <c r="E293" s="2">
        <v>2E-3</v>
      </c>
    </row>
    <row r="294" spans="1:5">
      <c r="A294" s="2">
        <v>293</v>
      </c>
      <c r="B294" s="2" t="s">
        <v>18</v>
      </c>
      <c r="C294" s="2" t="s">
        <v>18</v>
      </c>
      <c r="D294" s="2">
        <v>0</v>
      </c>
      <c r="E294" s="2">
        <v>1</v>
      </c>
    </row>
    <row r="295" spans="1:5">
      <c r="A295" s="2">
        <v>294</v>
      </c>
      <c r="B295" s="2" t="s">
        <v>18</v>
      </c>
      <c r="C295" s="2" t="s">
        <v>18</v>
      </c>
      <c r="D295" s="2">
        <v>0</v>
      </c>
      <c r="E295" s="2">
        <v>1</v>
      </c>
    </row>
    <row r="296" spans="1:5">
      <c r="A296" s="2">
        <v>295</v>
      </c>
      <c r="B296" s="2" t="s">
        <v>18</v>
      </c>
      <c r="C296" s="2" t="s">
        <v>18</v>
      </c>
      <c r="D296" s="2">
        <v>0</v>
      </c>
      <c r="E296" s="2">
        <v>1</v>
      </c>
    </row>
    <row r="297" spans="1:5">
      <c r="A297" s="2">
        <v>296</v>
      </c>
      <c r="B297" s="2" t="s">
        <v>18</v>
      </c>
      <c r="C297" s="2" t="s">
        <v>18</v>
      </c>
      <c r="D297" s="2">
        <v>0</v>
      </c>
      <c r="E297" s="2">
        <v>1</v>
      </c>
    </row>
    <row r="298" spans="1:5">
      <c r="A298" s="2">
        <v>297</v>
      </c>
      <c r="B298" s="2" t="s">
        <v>25</v>
      </c>
      <c r="C298" s="2" t="s">
        <v>25</v>
      </c>
      <c r="D298" s="2">
        <v>1</v>
      </c>
      <c r="E298" s="2">
        <v>0</v>
      </c>
    </row>
    <row r="299" spans="1:5">
      <c r="A299" s="2">
        <v>298</v>
      </c>
      <c r="B299" s="2" t="s">
        <v>18</v>
      </c>
      <c r="C299" s="2" t="s">
        <v>18</v>
      </c>
      <c r="D299" s="2">
        <v>0</v>
      </c>
      <c r="E299" s="2">
        <v>1</v>
      </c>
    </row>
    <row r="300" spans="1:5">
      <c r="A300" s="2">
        <v>299</v>
      </c>
      <c r="B300" s="2" t="s">
        <v>18</v>
      </c>
      <c r="C300" s="2" t="s">
        <v>18</v>
      </c>
      <c r="D300" s="2">
        <v>0</v>
      </c>
      <c r="E300" s="2">
        <v>1</v>
      </c>
    </row>
    <row r="301" spans="1:5">
      <c r="A301" s="2">
        <v>300</v>
      </c>
      <c r="B301" s="2" t="s">
        <v>18</v>
      </c>
      <c r="C301" s="2" t="s">
        <v>18</v>
      </c>
      <c r="D301" s="2">
        <v>0</v>
      </c>
      <c r="E301" s="2">
        <v>1</v>
      </c>
    </row>
    <row r="302" spans="1:5">
      <c r="A302" s="2">
        <v>301</v>
      </c>
      <c r="B302" s="2" t="s">
        <v>18</v>
      </c>
      <c r="C302" s="2" t="s">
        <v>18</v>
      </c>
      <c r="D302" s="2">
        <v>0</v>
      </c>
      <c r="E302" s="2">
        <v>1</v>
      </c>
    </row>
    <row r="303" spans="1:5">
      <c r="A303" s="2">
        <v>302</v>
      </c>
      <c r="B303" s="2" t="s">
        <v>25</v>
      </c>
      <c r="C303" s="2" t="s">
        <v>25</v>
      </c>
      <c r="D303" s="2">
        <v>0.69</v>
      </c>
      <c r="E303" s="2">
        <v>0.31</v>
      </c>
    </row>
    <row r="304" spans="1:5">
      <c r="A304" s="2">
        <v>303</v>
      </c>
      <c r="B304" s="2" t="s">
        <v>18</v>
      </c>
      <c r="C304" s="2" t="s">
        <v>18</v>
      </c>
      <c r="D304" s="2">
        <v>0</v>
      </c>
      <c r="E304" s="2">
        <v>1</v>
      </c>
    </row>
    <row r="305" spans="1:5">
      <c r="A305" s="2">
        <v>304</v>
      </c>
      <c r="B305" s="2" t="s">
        <v>18</v>
      </c>
      <c r="C305" s="2" t="s">
        <v>18</v>
      </c>
      <c r="D305" s="2">
        <v>5.6000000000000001E-2</v>
      </c>
      <c r="E305" s="2">
        <v>0.94399999999999995</v>
      </c>
    </row>
    <row r="306" spans="1:5">
      <c r="A306" s="2">
        <v>305</v>
      </c>
      <c r="B306" s="2" t="s">
        <v>18</v>
      </c>
      <c r="C306" s="2" t="s">
        <v>18</v>
      </c>
      <c r="D306" s="2">
        <v>2E-3</v>
      </c>
      <c r="E306" s="2">
        <v>0.998</v>
      </c>
    </row>
    <row r="307" spans="1:5">
      <c r="A307" s="2">
        <v>306</v>
      </c>
      <c r="B307" s="2" t="s">
        <v>18</v>
      </c>
      <c r="C307" s="2" t="s">
        <v>18</v>
      </c>
      <c r="D307" s="2">
        <v>0</v>
      </c>
      <c r="E307" s="2">
        <v>1</v>
      </c>
    </row>
    <row r="308" spans="1:5">
      <c r="A308" s="2">
        <v>307</v>
      </c>
      <c r="B308" s="2" t="s">
        <v>18</v>
      </c>
      <c r="C308" s="2" t="s">
        <v>18</v>
      </c>
      <c r="D308" s="2">
        <v>0</v>
      </c>
      <c r="E308" s="2">
        <v>1</v>
      </c>
    </row>
    <row r="309" spans="1:5">
      <c r="A309" s="2">
        <v>308</v>
      </c>
      <c r="B309" s="2" t="s">
        <v>18</v>
      </c>
      <c r="C309" s="2" t="s">
        <v>18</v>
      </c>
      <c r="D309" s="2">
        <v>0</v>
      </c>
      <c r="E309" s="2">
        <v>1</v>
      </c>
    </row>
    <row r="310" spans="1:5">
      <c r="A310" s="2">
        <v>309</v>
      </c>
      <c r="B310" s="2" t="s">
        <v>18</v>
      </c>
      <c r="C310" s="2" t="s">
        <v>18</v>
      </c>
      <c r="D310" s="2">
        <v>4.0000000000000001E-3</v>
      </c>
      <c r="E310" s="2">
        <v>0.996</v>
      </c>
    </row>
    <row r="311" spans="1:5">
      <c r="A311" s="2">
        <v>310</v>
      </c>
      <c r="B311" s="2" t="s">
        <v>18</v>
      </c>
      <c r="C311" s="2" t="s">
        <v>18</v>
      </c>
      <c r="D311" s="2">
        <v>0</v>
      </c>
      <c r="E311" s="2">
        <v>1</v>
      </c>
    </row>
    <row r="312" spans="1:5">
      <c r="A312" s="2">
        <v>311</v>
      </c>
      <c r="B312" s="2" t="s">
        <v>18</v>
      </c>
      <c r="C312" s="2" t="s">
        <v>18</v>
      </c>
      <c r="D312" s="2">
        <v>3.7999999999999999E-2</v>
      </c>
      <c r="E312" s="2">
        <v>0.96199999999999997</v>
      </c>
    </row>
    <row r="313" spans="1:5">
      <c r="A313" s="2">
        <v>312</v>
      </c>
      <c r="B313" s="2" t="s">
        <v>18</v>
      </c>
      <c r="C313" s="2" t="s">
        <v>18</v>
      </c>
      <c r="D313" s="2">
        <v>0</v>
      </c>
      <c r="E313" s="2">
        <v>1</v>
      </c>
    </row>
    <row r="314" spans="1:5">
      <c r="A314" s="2">
        <v>313</v>
      </c>
      <c r="B314" s="2" t="s">
        <v>18</v>
      </c>
      <c r="C314" s="2" t="s">
        <v>18</v>
      </c>
      <c r="D314" s="2">
        <v>0</v>
      </c>
      <c r="E314" s="2">
        <v>1</v>
      </c>
    </row>
    <row r="315" spans="1:5">
      <c r="A315" s="2">
        <v>314</v>
      </c>
      <c r="B315" s="2" t="s">
        <v>18</v>
      </c>
      <c r="C315" s="2" t="s">
        <v>18</v>
      </c>
      <c r="D315" s="2">
        <v>0</v>
      </c>
      <c r="E315" s="2">
        <v>1</v>
      </c>
    </row>
    <row r="316" spans="1:5">
      <c r="A316" s="2">
        <v>315</v>
      </c>
      <c r="B316" s="2" t="s">
        <v>18</v>
      </c>
      <c r="C316" s="2" t="s">
        <v>18</v>
      </c>
      <c r="D316" s="2">
        <v>0.02</v>
      </c>
      <c r="E316" s="2">
        <v>0.98</v>
      </c>
    </row>
    <row r="317" spans="1:5">
      <c r="A317" s="2">
        <v>316</v>
      </c>
      <c r="B317" s="2" t="s">
        <v>18</v>
      </c>
      <c r="C317" s="2" t="s">
        <v>18</v>
      </c>
      <c r="D317" s="2">
        <v>0</v>
      </c>
      <c r="E317" s="2">
        <v>1</v>
      </c>
    </row>
    <row r="318" spans="1:5">
      <c r="A318" s="2">
        <v>317</v>
      </c>
      <c r="B318" s="2" t="s">
        <v>18</v>
      </c>
      <c r="C318" s="2" t="s">
        <v>18</v>
      </c>
      <c r="D318" s="2">
        <v>0</v>
      </c>
      <c r="E318" s="2">
        <v>1</v>
      </c>
    </row>
    <row r="319" spans="1:5">
      <c r="A319" s="2">
        <v>318</v>
      </c>
      <c r="B319" s="2" t="s">
        <v>18</v>
      </c>
      <c r="C319" s="2" t="s">
        <v>18</v>
      </c>
      <c r="D319" s="2">
        <v>0</v>
      </c>
      <c r="E319" s="2">
        <v>1</v>
      </c>
    </row>
    <row r="320" spans="1:5">
      <c r="A320" s="2">
        <v>319</v>
      </c>
      <c r="B320" s="2" t="s">
        <v>18</v>
      </c>
      <c r="C320" s="2" t="s">
        <v>18</v>
      </c>
      <c r="D320" s="2">
        <v>0</v>
      </c>
      <c r="E320" s="2">
        <v>1</v>
      </c>
    </row>
    <row r="321" spans="1:5">
      <c r="A321" s="2">
        <v>320</v>
      </c>
      <c r="B321" s="2" t="s">
        <v>18</v>
      </c>
      <c r="C321" s="2" t="s">
        <v>18</v>
      </c>
      <c r="D321" s="2">
        <v>0</v>
      </c>
      <c r="E321" s="2">
        <v>1</v>
      </c>
    </row>
    <row r="322" spans="1:5">
      <c r="A322" s="2">
        <v>321</v>
      </c>
      <c r="B322" s="2" t="s">
        <v>18</v>
      </c>
      <c r="C322" s="2" t="s">
        <v>18</v>
      </c>
      <c r="D322" s="2">
        <v>0</v>
      </c>
      <c r="E322" s="2">
        <v>1</v>
      </c>
    </row>
    <row r="323" spans="1:5">
      <c r="A323" s="2">
        <v>322</v>
      </c>
      <c r="B323" s="2" t="s">
        <v>18</v>
      </c>
      <c r="C323" s="2" t="s">
        <v>18</v>
      </c>
      <c r="D323" s="2">
        <v>0</v>
      </c>
      <c r="E323" s="2">
        <v>1</v>
      </c>
    </row>
    <row r="324" spans="1:5">
      <c r="A324" s="2">
        <v>323</v>
      </c>
      <c r="B324" s="2" t="s">
        <v>18</v>
      </c>
      <c r="C324" s="2" t="s">
        <v>18</v>
      </c>
      <c r="D324" s="2">
        <v>0</v>
      </c>
      <c r="E324" s="2">
        <v>1</v>
      </c>
    </row>
    <row r="325" spans="1:5">
      <c r="A325" s="2">
        <v>324</v>
      </c>
      <c r="B325" s="2" t="s">
        <v>18</v>
      </c>
      <c r="C325" s="2" t="s">
        <v>18</v>
      </c>
      <c r="D325" s="2">
        <v>0</v>
      </c>
      <c r="E325" s="2">
        <v>1</v>
      </c>
    </row>
    <row r="326" spans="1:5">
      <c r="A326" s="2">
        <v>325</v>
      </c>
      <c r="B326" s="2" t="s">
        <v>18</v>
      </c>
      <c r="C326" s="2" t="s">
        <v>18</v>
      </c>
      <c r="D326" s="2">
        <v>0</v>
      </c>
      <c r="E326" s="2">
        <v>1</v>
      </c>
    </row>
    <row r="327" spans="1:5">
      <c r="A327" s="2">
        <v>326</v>
      </c>
      <c r="B327" s="2" t="s">
        <v>18</v>
      </c>
      <c r="C327" s="2" t="s">
        <v>18</v>
      </c>
      <c r="D327" s="2">
        <v>0</v>
      </c>
      <c r="E327" s="2">
        <v>1</v>
      </c>
    </row>
    <row r="328" spans="1:5">
      <c r="A328" s="2">
        <v>327</v>
      </c>
      <c r="B328" s="2" t="s">
        <v>18</v>
      </c>
      <c r="C328" s="2" t="s">
        <v>18</v>
      </c>
      <c r="D328" s="2">
        <v>0</v>
      </c>
      <c r="E328" s="2">
        <v>1</v>
      </c>
    </row>
    <row r="329" spans="1:5">
      <c r="A329" s="2">
        <v>328</v>
      </c>
      <c r="B329" s="2" t="s">
        <v>18</v>
      </c>
      <c r="C329" s="2" t="s">
        <v>18</v>
      </c>
      <c r="D329" s="2">
        <v>0</v>
      </c>
      <c r="E329" s="2">
        <v>1</v>
      </c>
    </row>
    <row r="330" spans="1:5">
      <c r="A330" s="2">
        <v>329</v>
      </c>
      <c r="B330" s="2" t="s">
        <v>18</v>
      </c>
      <c r="C330" s="2" t="s">
        <v>18</v>
      </c>
      <c r="D330" s="2">
        <v>0</v>
      </c>
      <c r="E330" s="2">
        <v>1</v>
      </c>
    </row>
    <row r="331" spans="1:5">
      <c r="A331" s="2">
        <v>330</v>
      </c>
      <c r="B331" s="2" t="s">
        <v>18</v>
      </c>
      <c r="C331" s="2" t="s">
        <v>18</v>
      </c>
      <c r="D331" s="2">
        <v>0</v>
      </c>
      <c r="E331" s="2">
        <v>1</v>
      </c>
    </row>
    <row r="332" spans="1:5">
      <c r="A332" s="2">
        <v>331</v>
      </c>
      <c r="B332" s="2" t="s">
        <v>18</v>
      </c>
      <c r="C332" s="2" t="s">
        <v>18</v>
      </c>
      <c r="D332" s="2">
        <v>0</v>
      </c>
      <c r="E332" s="2">
        <v>1</v>
      </c>
    </row>
    <row r="333" spans="1:5">
      <c r="A333" s="2">
        <v>332</v>
      </c>
      <c r="B333" s="2" t="s">
        <v>18</v>
      </c>
      <c r="C333" s="2" t="s">
        <v>18</v>
      </c>
      <c r="D333" s="2">
        <v>0</v>
      </c>
      <c r="E333" s="2">
        <v>1</v>
      </c>
    </row>
    <row r="334" spans="1:5">
      <c r="A334" s="2">
        <v>333</v>
      </c>
      <c r="B334" s="2" t="s">
        <v>18</v>
      </c>
      <c r="C334" s="2" t="s">
        <v>18</v>
      </c>
      <c r="D334" s="2">
        <v>0</v>
      </c>
      <c r="E334" s="2">
        <v>1</v>
      </c>
    </row>
    <row r="335" spans="1:5">
      <c r="A335" s="2">
        <v>334</v>
      </c>
      <c r="B335" s="2" t="s">
        <v>18</v>
      </c>
      <c r="C335" s="2" t="s">
        <v>18</v>
      </c>
      <c r="D335" s="2">
        <v>0</v>
      </c>
      <c r="E335" s="2">
        <v>1</v>
      </c>
    </row>
    <row r="336" spans="1:5">
      <c r="A336" s="2">
        <v>335</v>
      </c>
      <c r="B336" s="2" t="s">
        <v>18</v>
      </c>
      <c r="C336" s="2" t="s">
        <v>18</v>
      </c>
      <c r="D336" s="2">
        <v>0</v>
      </c>
      <c r="E336" s="2">
        <v>1</v>
      </c>
    </row>
    <row r="337" spans="1:5">
      <c r="A337" s="2">
        <v>336</v>
      </c>
      <c r="B337" s="2" t="s">
        <v>18</v>
      </c>
      <c r="C337" s="2" t="s">
        <v>18</v>
      </c>
      <c r="D337" s="2">
        <v>0</v>
      </c>
      <c r="E337" s="2">
        <v>1</v>
      </c>
    </row>
    <row r="338" spans="1:5">
      <c r="A338" s="2">
        <v>337</v>
      </c>
      <c r="B338" s="2" t="s">
        <v>18</v>
      </c>
      <c r="C338" s="2" t="s">
        <v>18</v>
      </c>
      <c r="D338" s="2">
        <v>0</v>
      </c>
      <c r="E338" s="2">
        <v>1</v>
      </c>
    </row>
    <row r="339" spans="1:5">
      <c r="A339" s="2">
        <v>338</v>
      </c>
      <c r="B339" s="2" t="s">
        <v>18</v>
      </c>
      <c r="C339" s="2" t="s">
        <v>18</v>
      </c>
      <c r="D339" s="2">
        <v>0</v>
      </c>
      <c r="E339" s="2">
        <v>1</v>
      </c>
    </row>
    <row r="340" spans="1:5">
      <c r="A340" s="2">
        <v>339</v>
      </c>
      <c r="B340" s="2" t="s">
        <v>18</v>
      </c>
      <c r="C340" s="2" t="s">
        <v>18</v>
      </c>
      <c r="D340" s="2">
        <v>0</v>
      </c>
      <c r="E340" s="2">
        <v>1</v>
      </c>
    </row>
    <row r="341" spans="1:5">
      <c r="A341" s="2">
        <v>340</v>
      </c>
      <c r="B341" s="2" t="s">
        <v>18</v>
      </c>
      <c r="C341" s="2" t="s">
        <v>18</v>
      </c>
      <c r="D341" s="2">
        <v>0.11</v>
      </c>
      <c r="E341" s="2">
        <v>0.89</v>
      </c>
    </row>
    <row r="342" spans="1:5">
      <c r="A342" s="2">
        <v>341</v>
      </c>
      <c r="B342" s="2" t="s">
        <v>18</v>
      </c>
      <c r="C342" s="2" t="s">
        <v>18</v>
      </c>
      <c r="D342" s="2">
        <v>0</v>
      </c>
      <c r="E342" s="2">
        <v>1</v>
      </c>
    </row>
    <row r="343" spans="1:5">
      <c r="A343" s="2">
        <v>342</v>
      </c>
      <c r="B343" s="2" t="s">
        <v>18</v>
      </c>
      <c r="C343" s="2" t="s">
        <v>18</v>
      </c>
      <c r="D343" s="2">
        <v>0</v>
      </c>
      <c r="E343" s="2">
        <v>1</v>
      </c>
    </row>
    <row r="344" spans="1:5">
      <c r="A344" s="2">
        <v>343</v>
      </c>
      <c r="B344" s="2" t="s">
        <v>18</v>
      </c>
      <c r="C344" s="2" t="s">
        <v>18</v>
      </c>
      <c r="D344" s="2">
        <v>0</v>
      </c>
      <c r="E344" s="2">
        <v>1</v>
      </c>
    </row>
    <row r="345" spans="1:5">
      <c r="A345" s="2">
        <v>344</v>
      </c>
      <c r="B345" s="2" t="s">
        <v>18</v>
      </c>
      <c r="C345" s="2" t="s">
        <v>18</v>
      </c>
      <c r="D345" s="2">
        <v>0</v>
      </c>
      <c r="E345" s="2">
        <v>1</v>
      </c>
    </row>
    <row r="346" spans="1:5">
      <c r="A346" s="2">
        <v>345</v>
      </c>
      <c r="B346" s="2" t="s">
        <v>18</v>
      </c>
      <c r="C346" s="2" t="s">
        <v>18</v>
      </c>
      <c r="D346" s="2">
        <v>0</v>
      </c>
      <c r="E346" s="2">
        <v>1</v>
      </c>
    </row>
    <row r="347" spans="1:5">
      <c r="A347" s="2">
        <v>346</v>
      </c>
      <c r="B347" s="2" t="s">
        <v>18</v>
      </c>
      <c r="C347" s="2" t="s">
        <v>18</v>
      </c>
      <c r="D347" s="2">
        <v>0</v>
      </c>
      <c r="E347" s="2">
        <v>1</v>
      </c>
    </row>
    <row r="348" spans="1:5">
      <c r="A348" s="2">
        <v>347</v>
      </c>
      <c r="B348" s="2" t="s">
        <v>18</v>
      </c>
      <c r="C348" s="2" t="s">
        <v>18</v>
      </c>
      <c r="D348" s="2">
        <v>0</v>
      </c>
      <c r="E348" s="2">
        <v>1</v>
      </c>
    </row>
    <row r="349" spans="1:5">
      <c r="A349" s="2">
        <v>348</v>
      </c>
      <c r="B349" s="2" t="s">
        <v>18</v>
      </c>
      <c r="C349" s="2" t="s">
        <v>18</v>
      </c>
      <c r="D349" s="2">
        <v>0</v>
      </c>
      <c r="E349" s="2">
        <v>1</v>
      </c>
    </row>
    <row r="350" spans="1:5">
      <c r="A350" s="2">
        <v>349</v>
      </c>
      <c r="B350" s="2" t="s">
        <v>18</v>
      </c>
      <c r="C350" s="2" t="s">
        <v>18</v>
      </c>
      <c r="D350" s="2">
        <v>0</v>
      </c>
      <c r="E350" s="2">
        <v>1</v>
      </c>
    </row>
    <row r="351" spans="1:5">
      <c r="A351" s="2">
        <v>350</v>
      </c>
      <c r="B351" s="2" t="s">
        <v>18</v>
      </c>
      <c r="C351" s="2" t="s">
        <v>18</v>
      </c>
      <c r="D351" s="2">
        <v>0</v>
      </c>
      <c r="E351" s="2">
        <v>1</v>
      </c>
    </row>
    <row r="352" spans="1:5">
      <c r="A352" s="2">
        <v>351</v>
      </c>
      <c r="B352" s="2" t="s">
        <v>18</v>
      </c>
      <c r="C352" s="2" t="s">
        <v>18</v>
      </c>
      <c r="D352" s="2">
        <v>0</v>
      </c>
      <c r="E352" s="2">
        <v>1</v>
      </c>
    </row>
    <row r="353" spans="1:5">
      <c r="A353" s="2">
        <v>352</v>
      </c>
      <c r="B353" s="2" t="s">
        <v>18</v>
      </c>
      <c r="C353" s="2" t="s">
        <v>18</v>
      </c>
      <c r="D353" s="2">
        <v>0</v>
      </c>
      <c r="E353" s="2">
        <v>1</v>
      </c>
    </row>
    <row r="354" spans="1:5">
      <c r="A354" s="2">
        <v>353</v>
      </c>
      <c r="B354" s="2" t="s">
        <v>18</v>
      </c>
      <c r="C354" s="2" t="s">
        <v>18</v>
      </c>
      <c r="D354" s="2">
        <v>2E-3</v>
      </c>
      <c r="E354" s="2">
        <v>0.998</v>
      </c>
    </row>
    <row r="355" spans="1:5">
      <c r="A355" s="2">
        <v>354</v>
      </c>
      <c r="B355" s="2" t="s">
        <v>18</v>
      </c>
      <c r="C355" s="2" t="s">
        <v>18</v>
      </c>
      <c r="D355" s="2">
        <v>0</v>
      </c>
      <c r="E355" s="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Q35" sqref="Q35"/>
    </sheetView>
  </sheetViews>
  <sheetFormatPr baseColWidth="10" defaultRowHeight="16"/>
  <sheetData>
    <row r="1" spans="1:14">
      <c r="A1" s="2" t="s">
        <v>394</v>
      </c>
      <c r="B1" s="2" t="s">
        <v>7</v>
      </c>
      <c r="C1" s="2" t="s">
        <v>406</v>
      </c>
      <c r="D1" s="2" t="s">
        <v>33</v>
      </c>
      <c r="E1" s="2" t="s">
        <v>20</v>
      </c>
      <c r="F1" s="2" t="s">
        <v>26</v>
      </c>
      <c r="G1" s="2" t="s">
        <v>52</v>
      </c>
      <c r="H1" s="2" t="s">
        <v>39</v>
      </c>
      <c r="I1" s="2" t="s">
        <v>125</v>
      </c>
      <c r="J1" s="2" t="s">
        <v>43</v>
      </c>
      <c r="K1" s="2" t="s">
        <v>115</v>
      </c>
      <c r="L1" s="2" t="s">
        <v>48</v>
      </c>
      <c r="M1" s="2" t="s">
        <v>59</v>
      </c>
      <c r="N1" s="2" t="s">
        <v>99</v>
      </c>
    </row>
    <row r="2" spans="1:14">
      <c r="A2" s="2">
        <v>1</v>
      </c>
      <c r="B2" s="2" t="s">
        <v>20</v>
      </c>
      <c r="C2" s="2" t="s">
        <v>20</v>
      </c>
      <c r="D2" s="2">
        <v>0</v>
      </c>
      <c r="E2" s="2">
        <v>0.99</v>
      </c>
      <c r="F2" s="2">
        <v>0</v>
      </c>
      <c r="G2" s="2">
        <v>0</v>
      </c>
      <c r="H2" s="2">
        <v>0.01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</row>
    <row r="3" spans="1:14">
      <c r="A3" s="2">
        <v>2</v>
      </c>
      <c r="B3" s="2" t="s">
        <v>26</v>
      </c>
      <c r="C3" s="2" t="s">
        <v>26</v>
      </c>
      <c r="D3" s="2">
        <v>0.15</v>
      </c>
      <c r="E3" s="2">
        <v>0.09</v>
      </c>
      <c r="F3" s="2">
        <v>0.62</v>
      </c>
      <c r="G3" s="2">
        <v>0</v>
      </c>
      <c r="H3" s="2">
        <v>0.04</v>
      </c>
      <c r="I3" s="2">
        <v>0</v>
      </c>
      <c r="J3" s="2">
        <v>0.1</v>
      </c>
      <c r="K3" s="2">
        <v>0</v>
      </c>
      <c r="L3" s="2">
        <v>0</v>
      </c>
      <c r="M3" s="2">
        <v>0</v>
      </c>
      <c r="N3" s="2">
        <v>0</v>
      </c>
    </row>
    <row r="4" spans="1:14">
      <c r="A4" s="2">
        <v>3</v>
      </c>
      <c r="B4" s="2" t="s">
        <v>20</v>
      </c>
      <c r="C4" s="2" t="s">
        <v>20</v>
      </c>
      <c r="D4" s="2">
        <v>0</v>
      </c>
      <c r="E4" s="2">
        <v>1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</row>
    <row r="5" spans="1:14">
      <c r="A5" s="2">
        <v>4</v>
      </c>
      <c r="B5" s="2" t="s">
        <v>33</v>
      </c>
      <c r="C5" s="2" t="s">
        <v>33</v>
      </c>
      <c r="D5" s="2">
        <v>0.66</v>
      </c>
      <c r="E5" s="2">
        <v>0</v>
      </c>
      <c r="F5" s="2">
        <v>0</v>
      </c>
      <c r="G5" s="2">
        <v>0</v>
      </c>
      <c r="H5" s="2">
        <v>0.16</v>
      </c>
      <c r="I5" s="2">
        <v>0</v>
      </c>
      <c r="J5" s="2">
        <v>0.11</v>
      </c>
      <c r="K5" s="2">
        <v>0</v>
      </c>
      <c r="L5" s="2">
        <v>0</v>
      </c>
      <c r="M5" s="2">
        <v>0.04</v>
      </c>
      <c r="N5" s="2">
        <v>0.03</v>
      </c>
    </row>
    <row r="6" spans="1:14">
      <c r="A6" s="2">
        <v>5</v>
      </c>
      <c r="B6" s="2" t="s">
        <v>20</v>
      </c>
      <c r="C6" s="2" t="s">
        <v>20</v>
      </c>
      <c r="D6" s="2">
        <v>0</v>
      </c>
      <c r="E6" s="2">
        <v>1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14">
      <c r="A7" s="2">
        <v>6</v>
      </c>
      <c r="B7" s="2" t="s">
        <v>39</v>
      </c>
      <c r="C7" s="2" t="s">
        <v>39</v>
      </c>
      <c r="D7" s="2">
        <v>0</v>
      </c>
      <c r="E7" s="2">
        <v>0</v>
      </c>
      <c r="F7" s="2">
        <v>0</v>
      </c>
      <c r="G7" s="2">
        <v>0</v>
      </c>
      <c r="H7" s="2">
        <v>1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</row>
    <row r="8" spans="1:14">
      <c r="A8" s="2">
        <v>7</v>
      </c>
      <c r="B8" s="2" t="s">
        <v>43</v>
      </c>
      <c r="C8" s="2" t="s">
        <v>43</v>
      </c>
      <c r="D8" s="2">
        <v>0.1</v>
      </c>
      <c r="E8" s="2">
        <v>0</v>
      </c>
      <c r="F8" s="2">
        <v>0</v>
      </c>
      <c r="G8" s="2">
        <v>0.04</v>
      </c>
      <c r="H8" s="2">
        <v>0.05</v>
      </c>
      <c r="I8" s="2">
        <v>0</v>
      </c>
      <c r="J8" s="2">
        <v>0.77</v>
      </c>
      <c r="K8" s="2">
        <v>0</v>
      </c>
      <c r="L8" s="2">
        <v>0</v>
      </c>
      <c r="M8" s="2">
        <v>0.04</v>
      </c>
      <c r="N8" s="2">
        <v>0</v>
      </c>
    </row>
    <row r="9" spans="1:14">
      <c r="A9" s="2">
        <v>8</v>
      </c>
      <c r="B9" s="2" t="s">
        <v>43</v>
      </c>
      <c r="C9" s="2" t="s">
        <v>43</v>
      </c>
      <c r="D9" s="2">
        <v>0</v>
      </c>
      <c r="E9" s="2">
        <v>0</v>
      </c>
      <c r="F9" s="2">
        <v>0</v>
      </c>
      <c r="G9" s="2">
        <v>0</v>
      </c>
      <c r="H9" s="2">
        <v>0.21</v>
      </c>
      <c r="I9" s="2">
        <v>0</v>
      </c>
      <c r="J9" s="2">
        <v>0.78</v>
      </c>
      <c r="K9" s="2">
        <v>0</v>
      </c>
      <c r="L9" s="2">
        <v>0.01</v>
      </c>
      <c r="M9" s="2">
        <v>0</v>
      </c>
      <c r="N9" s="2">
        <v>0</v>
      </c>
    </row>
    <row r="10" spans="1:14">
      <c r="A10" s="2">
        <v>9</v>
      </c>
      <c r="B10" s="2" t="s">
        <v>48</v>
      </c>
      <c r="C10" s="2" t="s">
        <v>48</v>
      </c>
      <c r="D10" s="2">
        <v>0</v>
      </c>
      <c r="E10" s="2">
        <v>0</v>
      </c>
      <c r="F10" s="2">
        <v>0.08</v>
      </c>
      <c r="G10" s="2">
        <v>0</v>
      </c>
      <c r="H10" s="2">
        <v>0.03</v>
      </c>
      <c r="I10" s="2">
        <v>0</v>
      </c>
      <c r="J10" s="2">
        <v>0</v>
      </c>
      <c r="K10" s="2">
        <v>0</v>
      </c>
      <c r="L10" s="2">
        <v>0.89</v>
      </c>
      <c r="M10" s="2">
        <v>0</v>
      </c>
      <c r="N10" s="2">
        <v>0</v>
      </c>
    </row>
    <row r="11" spans="1:14">
      <c r="A11" s="2">
        <v>10</v>
      </c>
      <c r="B11" s="2" t="s">
        <v>52</v>
      </c>
      <c r="C11" s="2" t="s">
        <v>52</v>
      </c>
      <c r="D11" s="2">
        <v>0</v>
      </c>
      <c r="E11" s="2">
        <v>0</v>
      </c>
      <c r="F11" s="2">
        <v>0</v>
      </c>
      <c r="G11" s="2">
        <v>0.99</v>
      </c>
      <c r="H11" s="2">
        <v>0</v>
      </c>
      <c r="I11" s="2">
        <v>0</v>
      </c>
      <c r="J11" s="2">
        <v>0.01</v>
      </c>
      <c r="K11" s="2">
        <v>0</v>
      </c>
      <c r="L11" s="2">
        <v>0</v>
      </c>
      <c r="M11" s="2">
        <v>0</v>
      </c>
      <c r="N11" s="2">
        <v>0</v>
      </c>
    </row>
    <row r="12" spans="1:14">
      <c r="A12" s="2">
        <v>11</v>
      </c>
      <c r="B12" s="2" t="s">
        <v>20</v>
      </c>
      <c r="C12" s="2" t="s">
        <v>20</v>
      </c>
      <c r="D12" s="2">
        <v>0</v>
      </c>
      <c r="E12" s="2">
        <v>1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</row>
    <row r="13" spans="1:14">
      <c r="A13" s="2">
        <v>12</v>
      </c>
      <c r="B13" s="2" t="s">
        <v>59</v>
      </c>
      <c r="C13" s="2" t="s">
        <v>59</v>
      </c>
      <c r="D13" s="2">
        <v>0.12</v>
      </c>
      <c r="E13" s="2">
        <v>0.02</v>
      </c>
      <c r="F13" s="2">
        <v>0</v>
      </c>
      <c r="G13" s="2">
        <v>0</v>
      </c>
      <c r="H13" s="2">
        <v>0.04</v>
      </c>
      <c r="I13" s="2">
        <v>0</v>
      </c>
      <c r="J13" s="2">
        <v>0.14000000000000001</v>
      </c>
      <c r="K13" s="2">
        <v>0</v>
      </c>
      <c r="L13" s="2">
        <v>0</v>
      </c>
      <c r="M13" s="2">
        <v>0.68</v>
      </c>
      <c r="N13" s="2">
        <v>0</v>
      </c>
    </row>
    <row r="14" spans="1:14">
      <c r="A14" s="2">
        <v>13</v>
      </c>
      <c r="B14" s="2" t="s">
        <v>43</v>
      </c>
      <c r="C14" s="2" t="s">
        <v>43</v>
      </c>
      <c r="D14" s="2">
        <v>0.01</v>
      </c>
      <c r="E14" s="2">
        <v>0.02</v>
      </c>
      <c r="F14" s="2">
        <v>0</v>
      </c>
      <c r="G14" s="2">
        <v>0.2</v>
      </c>
      <c r="H14" s="2">
        <v>0.01</v>
      </c>
      <c r="I14" s="2">
        <v>0</v>
      </c>
      <c r="J14" s="2">
        <v>0.76</v>
      </c>
      <c r="K14" s="2">
        <v>0</v>
      </c>
      <c r="L14" s="2">
        <v>0</v>
      </c>
      <c r="M14" s="2">
        <v>0</v>
      </c>
      <c r="N14" s="2">
        <v>0</v>
      </c>
    </row>
    <row r="15" spans="1:14">
      <c r="A15" s="2">
        <v>14</v>
      </c>
      <c r="B15" s="2" t="s">
        <v>20</v>
      </c>
      <c r="C15" s="2" t="s">
        <v>20</v>
      </c>
      <c r="D15" s="2">
        <v>0.12</v>
      </c>
      <c r="E15" s="2">
        <v>0.67</v>
      </c>
      <c r="F15" s="2">
        <v>0</v>
      </c>
      <c r="G15" s="2">
        <v>0</v>
      </c>
      <c r="H15" s="2">
        <v>7.0000000000000007E-2</v>
      </c>
      <c r="I15" s="2">
        <v>0</v>
      </c>
      <c r="J15" s="2">
        <v>0.03</v>
      </c>
      <c r="K15" s="2">
        <v>0.04</v>
      </c>
      <c r="L15" s="2">
        <v>0</v>
      </c>
      <c r="M15" s="2">
        <v>0.02</v>
      </c>
      <c r="N15" s="2">
        <v>0.05</v>
      </c>
    </row>
    <row r="16" spans="1:14">
      <c r="A16" s="2">
        <v>15</v>
      </c>
      <c r="B16" s="2" t="s">
        <v>39</v>
      </c>
      <c r="C16" s="2" t="s">
        <v>39</v>
      </c>
      <c r="D16" s="2">
        <v>0.01</v>
      </c>
      <c r="E16" s="2">
        <v>7.0000000000000007E-2</v>
      </c>
      <c r="F16" s="2">
        <v>0</v>
      </c>
      <c r="G16" s="2">
        <v>0</v>
      </c>
      <c r="H16" s="2">
        <v>0.78</v>
      </c>
      <c r="I16" s="2">
        <v>0</v>
      </c>
      <c r="J16" s="2">
        <v>0.13</v>
      </c>
      <c r="K16" s="2">
        <v>0</v>
      </c>
      <c r="L16" s="2">
        <v>0</v>
      </c>
      <c r="M16" s="2">
        <v>0.01</v>
      </c>
      <c r="N16" s="2">
        <v>0</v>
      </c>
    </row>
    <row r="17" spans="1:14">
      <c r="A17" s="2">
        <v>16</v>
      </c>
      <c r="B17" s="2" t="s">
        <v>48</v>
      </c>
      <c r="C17" s="2" t="s">
        <v>48</v>
      </c>
      <c r="D17" s="2">
        <v>0</v>
      </c>
      <c r="E17" s="2">
        <v>0</v>
      </c>
      <c r="F17" s="2">
        <v>0.03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0.97</v>
      </c>
      <c r="M17" s="2">
        <v>0</v>
      </c>
      <c r="N17" s="2">
        <v>0</v>
      </c>
    </row>
    <row r="18" spans="1:14">
      <c r="A18" s="2">
        <v>17</v>
      </c>
      <c r="B18" s="2" t="s">
        <v>20</v>
      </c>
      <c r="C18" s="2" t="s">
        <v>20</v>
      </c>
      <c r="D18" s="2">
        <v>0.01</v>
      </c>
      <c r="E18" s="2">
        <v>0.99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</row>
    <row r="19" spans="1:14">
      <c r="A19" s="2">
        <v>18</v>
      </c>
      <c r="B19" s="2" t="s">
        <v>39</v>
      </c>
      <c r="C19" s="2" t="s">
        <v>39</v>
      </c>
      <c r="D19" s="2">
        <v>0.05</v>
      </c>
      <c r="E19" s="2">
        <v>0.06</v>
      </c>
      <c r="F19" s="2">
        <v>0</v>
      </c>
      <c r="G19" s="2">
        <v>0</v>
      </c>
      <c r="H19" s="2">
        <v>0.73</v>
      </c>
      <c r="I19" s="2">
        <v>0</v>
      </c>
      <c r="J19" s="2">
        <v>0.03</v>
      </c>
      <c r="K19" s="2">
        <v>0</v>
      </c>
      <c r="L19" s="2">
        <v>0</v>
      </c>
      <c r="M19" s="2">
        <v>0.13</v>
      </c>
      <c r="N19" s="2">
        <v>0</v>
      </c>
    </row>
    <row r="20" spans="1:14">
      <c r="A20" s="2">
        <v>19</v>
      </c>
      <c r="B20" s="2" t="s">
        <v>59</v>
      </c>
      <c r="C20" s="2" t="s">
        <v>59</v>
      </c>
      <c r="D20" s="2">
        <v>0.06</v>
      </c>
      <c r="E20" s="2">
        <v>0</v>
      </c>
      <c r="F20" s="2">
        <v>0</v>
      </c>
      <c r="G20" s="2">
        <v>0</v>
      </c>
      <c r="H20" s="2">
        <v>0.06</v>
      </c>
      <c r="I20" s="2">
        <v>0</v>
      </c>
      <c r="J20" s="2">
        <v>0</v>
      </c>
      <c r="K20" s="2">
        <v>0</v>
      </c>
      <c r="L20" s="2">
        <v>0</v>
      </c>
      <c r="M20" s="2">
        <v>0.88</v>
      </c>
      <c r="N20" s="2">
        <v>0</v>
      </c>
    </row>
    <row r="21" spans="1:14">
      <c r="A21" s="2">
        <v>20</v>
      </c>
      <c r="B21" s="2" t="s">
        <v>39</v>
      </c>
      <c r="C21" s="2" t="s">
        <v>39</v>
      </c>
      <c r="D21" s="2">
        <v>0</v>
      </c>
      <c r="E21" s="2">
        <v>0.14000000000000001</v>
      </c>
      <c r="F21" s="2">
        <v>0</v>
      </c>
      <c r="G21" s="2">
        <v>0</v>
      </c>
      <c r="H21" s="2">
        <v>0.77</v>
      </c>
      <c r="I21" s="2">
        <v>0</v>
      </c>
      <c r="J21" s="2">
        <v>0.01</v>
      </c>
      <c r="K21" s="2">
        <v>0</v>
      </c>
      <c r="L21" s="2">
        <v>0</v>
      </c>
      <c r="M21" s="2">
        <v>0.08</v>
      </c>
      <c r="N21" s="2">
        <v>0</v>
      </c>
    </row>
    <row r="22" spans="1:14">
      <c r="A22" s="2">
        <v>21</v>
      </c>
      <c r="B22" s="2" t="s">
        <v>20</v>
      </c>
      <c r="C22" s="2" t="s">
        <v>20</v>
      </c>
      <c r="D22" s="2">
        <v>0</v>
      </c>
      <c r="E22" s="2">
        <v>1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</row>
    <row r="23" spans="1:14">
      <c r="A23" s="2">
        <v>22</v>
      </c>
      <c r="B23" s="2" t="s">
        <v>20</v>
      </c>
      <c r="C23" s="2" t="s">
        <v>20</v>
      </c>
      <c r="D23" s="2">
        <v>0</v>
      </c>
      <c r="E23" s="2">
        <v>1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</row>
    <row r="24" spans="1:14">
      <c r="A24" s="2">
        <v>23</v>
      </c>
      <c r="B24" s="2" t="s">
        <v>39</v>
      </c>
      <c r="C24" s="2" t="s">
        <v>39</v>
      </c>
      <c r="D24" s="2">
        <v>0.08</v>
      </c>
      <c r="E24" s="2">
        <v>0</v>
      </c>
      <c r="F24" s="2">
        <v>0.03</v>
      </c>
      <c r="G24" s="2">
        <v>0</v>
      </c>
      <c r="H24" s="2">
        <v>0.89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</row>
    <row r="25" spans="1:14">
      <c r="A25" s="2">
        <v>24</v>
      </c>
      <c r="B25" s="2" t="s">
        <v>43</v>
      </c>
      <c r="C25" s="2" t="s">
        <v>43</v>
      </c>
      <c r="D25" s="2">
        <v>0.08</v>
      </c>
      <c r="E25" s="2">
        <v>0</v>
      </c>
      <c r="F25" s="2">
        <v>0</v>
      </c>
      <c r="G25" s="2">
        <v>0.01</v>
      </c>
      <c r="H25" s="2">
        <v>0.14000000000000001</v>
      </c>
      <c r="I25" s="2">
        <v>0</v>
      </c>
      <c r="J25" s="2">
        <v>0.76</v>
      </c>
      <c r="K25" s="2">
        <v>0</v>
      </c>
      <c r="L25" s="2">
        <v>0</v>
      </c>
      <c r="M25" s="2">
        <v>0.01</v>
      </c>
      <c r="N25" s="2">
        <v>0</v>
      </c>
    </row>
    <row r="26" spans="1:14">
      <c r="A26" s="2">
        <v>25</v>
      </c>
      <c r="B26" s="2" t="s">
        <v>39</v>
      </c>
      <c r="C26" s="2" t="s">
        <v>39</v>
      </c>
      <c r="D26" s="2">
        <v>0</v>
      </c>
      <c r="E26" s="2">
        <v>0.38</v>
      </c>
      <c r="F26" s="2">
        <v>0</v>
      </c>
      <c r="G26" s="2">
        <v>0</v>
      </c>
      <c r="H26" s="2">
        <v>0.59</v>
      </c>
      <c r="I26" s="2">
        <v>0</v>
      </c>
      <c r="J26" s="2">
        <v>0.03</v>
      </c>
      <c r="K26" s="2">
        <v>0</v>
      </c>
      <c r="L26" s="2">
        <v>0</v>
      </c>
      <c r="M26" s="2">
        <v>0</v>
      </c>
      <c r="N26" s="2">
        <v>0</v>
      </c>
    </row>
    <row r="27" spans="1:14">
      <c r="A27" s="2">
        <v>26</v>
      </c>
      <c r="B27" s="2" t="s">
        <v>43</v>
      </c>
      <c r="C27" s="2" t="s">
        <v>43</v>
      </c>
      <c r="D27" s="2">
        <v>0.06</v>
      </c>
      <c r="E27" s="2">
        <v>0</v>
      </c>
      <c r="F27" s="2">
        <v>0</v>
      </c>
      <c r="G27" s="2">
        <v>0.05</v>
      </c>
      <c r="H27" s="2">
        <v>0.05</v>
      </c>
      <c r="I27" s="2">
        <v>0</v>
      </c>
      <c r="J27" s="2">
        <v>0.83</v>
      </c>
      <c r="K27" s="2">
        <v>0</v>
      </c>
      <c r="L27" s="2">
        <v>0.01</v>
      </c>
      <c r="M27" s="2">
        <v>0</v>
      </c>
      <c r="N27" s="2">
        <v>0</v>
      </c>
    </row>
    <row r="28" spans="1:14">
      <c r="A28" s="2">
        <v>27</v>
      </c>
      <c r="B28" s="2" t="s">
        <v>33</v>
      </c>
      <c r="C28" s="2" t="s">
        <v>33</v>
      </c>
      <c r="D28" s="2">
        <v>0.82</v>
      </c>
      <c r="E28" s="2">
        <v>0.08</v>
      </c>
      <c r="F28" s="2">
        <v>0.03</v>
      </c>
      <c r="G28" s="2">
        <v>0</v>
      </c>
      <c r="H28" s="2">
        <v>0.05</v>
      </c>
      <c r="I28" s="2">
        <v>0</v>
      </c>
      <c r="J28" s="2">
        <v>0</v>
      </c>
      <c r="K28" s="2">
        <v>0</v>
      </c>
      <c r="L28" s="2">
        <v>0</v>
      </c>
      <c r="M28" s="2">
        <v>0.02</v>
      </c>
      <c r="N28" s="2">
        <v>0</v>
      </c>
    </row>
    <row r="29" spans="1:14">
      <c r="A29" s="2">
        <v>28</v>
      </c>
      <c r="B29" s="2" t="s">
        <v>39</v>
      </c>
      <c r="C29" s="2" t="s">
        <v>39</v>
      </c>
      <c r="D29" s="2">
        <v>0.08</v>
      </c>
      <c r="E29" s="2">
        <v>0</v>
      </c>
      <c r="F29" s="2">
        <v>0</v>
      </c>
      <c r="G29" s="2">
        <v>0</v>
      </c>
      <c r="H29" s="2">
        <v>0.7</v>
      </c>
      <c r="I29" s="2">
        <v>0</v>
      </c>
      <c r="J29" s="2">
        <v>0.2</v>
      </c>
      <c r="K29" s="2">
        <v>0.02</v>
      </c>
      <c r="L29" s="2">
        <v>0</v>
      </c>
      <c r="M29" s="2">
        <v>0</v>
      </c>
      <c r="N29" s="2">
        <v>0</v>
      </c>
    </row>
    <row r="30" spans="1:14">
      <c r="A30" s="2">
        <v>29</v>
      </c>
      <c r="B30" s="2" t="s">
        <v>52</v>
      </c>
      <c r="C30" s="2" t="s">
        <v>52</v>
      </c>
      <c r="D30" s="2">
        <v>0</v>
      </c>
      <c r="E30" s="2">
        <v>0.01</v>
      </c>
      <c r="F30" s="2">
        <v>0</v>
      </c>
      <c r="G30" s="2">
        <v>0.67</v>
      </c>
      <c r="H30" s="2">
        <v>0.18</v>
      </c>
      <c r="I30" s="2">
        <v>0.01</v>
      </c>
      <c r="J30" s="2">
        <v>0.1</v>
      </c>
      <c r="K30" s="2">
        <v>0.02</v>
      </c>
      <c r="L30" s="2">
        <v>0.01</v>
      </c>
      <c r="M30" s="2">
        <v>0</v>
      </c>
      <c r="N30" s="2">
        <v>0</v>
      </c>
    </row>
    <row r="31" spans="1:14">
      <c r="A31" s="2">
        <v>30</v>
      </c>
      <c r="B31" s="2" t="s">
        <v>20</v>
      </c>
      <c r="C31" s="2" t="s">
        <v>20</v>
      </c>
      <c r="D31" s="2">
        <v>0.04</v>
      </c>
      <c r="E31" s="2">
        <v>0.69</v>
      </c>
      <c r="F31" s="2">
        <v>0</v>
      </c>
      <c r="G31" s="2">
        <v>0</v>
      </c>
      <c r="H31" s="2">
        <v>0.03</v>
      </c>
      <c r="I31" s="2">
        <v>0</v>
      </c>
      <c r="J31" s="2">
        <v>0.24</v>
      </c>
      <c r="K31" s="2">
        <v>0</v>
      </c>
      <c r="L31" s="2">
        <v>0</v>
      </c>
      <c r="M31" s="2">
        <v>0</v>
      </c>
      <c r="N31" s="2">
        <v>0</v>
      </c>
    </row>
    <row r="32" spans="1:14">
      <c r="A32" s="2">
        <v>31</v>
      </c>
      <c r="B32" s="2" t="s">
        <v>33</v>
      </c>
      <c r="C32" s="2" t="s">
        <v>33</v>
      </c>
      <c r="D32" s="2">
        <v>0.75</v>
      </c>
      <c r="E32" s="2">
        <v>0</v>
      </c>
      <c r="F32" s="2">
        <v>0</v>
      </c>
      <c r="G32" s="2">
        <v>0</v>
      </c>
      <c r="H32" s="2">
        <v>0.18</v>
      </c>
      <c r="I32" s="2">
        <v>0.05</v>
      </c>
      <c r="J32" s="2">
        <v>0.01</v>
      </c>
      <c r="K32" s="2">
        <v>0</v>
      </c>
      <c r="L32" s="2">
        <v>0.01</v>
      </c>
      <c r="M32" s="2">
        <v>0</v>
      </c>
      <c r="N32" s="2">
        <v>0</v>
      </c>
    </row>
    <row r="33" spans="1:14">
      <c r="A33" s="2">
        <v>32</v>
      </c>
      <c r="B33" s="2" t="s">
        <v>20</v>
      </c>
      <c r="C33" s="2" t="s">
        <v>20</v>
      </c>
      <c r="D33" s="2">
        <v>0</v>
      </c>
      <c r="E33" s="2">
        <v>1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</row>
    <row r="34" spans="1:14">
      <c r="A34" s="2">
        <v>33</v>
      </c>
      <c r="B34" s="2" t="s">
        <v>59</v>
      </c>
      <c r="C34" s="2" t="s">
        <v>59</v>
      </c>
      <c r="D34" s="2">
        <v>0.01</v>
      </c>
      <c r="E34" s="2">
        <v>0</v>
      </c>
      <c r="F34" s="2">
        <v>0</v>
      </c>
      <c r="G34" s="2">
        <v>0</v>
      </c>
      <c r="H34" s="2">
        <v>0.09</v>
      </c>
      <c r="I34" s="2">
        <v>0</v>
      </c>
      <c r="J34" s="2">
        <v>0.23</v>
      </c>
      <c r="K34" s="2">
        <v>0</v>
      </c>
      <c r="L34" s="2">
        <v>0</v>
      </c>
      <c r="M34" s="2">
        <v>0.67</v>
      </c>
      <c r="N34" s="2">
        <v>0</v>
      </c>
    </row>
    <row r="35" spans="1:14">
      <c r="A35" s="2">
        <v>34</v>
      </c>
      <c r="B35" s="2" t="s">
        <v>20</v>
      </c>
      <c r="C35" s="2" t="s">
        <v>20</v>
      </c>
      <c r="D35" s="2">
        <v>0.01</v>
      </c>
      <c r="E35" s="2">
        <v>0.98</v>
      </c>
      <c r="F35" s="2">
        <v>0</v>
      </c>
      <c r="G35" s="2">
        <v>0</v>
      </c>
      <c r="H35" s="2">
        <v>0.01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</row>
    <row r="36" spans="1:14">
      <c r="A36" s="2">
        <v>35</v>
      </c>
      <c r="B36" s="2" t="s">
        <v>20</v>
      </c>
      <c r="C36" s="2" t="s">
        <v>20</v>
      </c>
      <c r="D36" s="2">
        <v>0</v>
      </c>
      <c r="E36" s="2">
        <v>0.98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0.02</v>
      </c>
      <c r="N36" s="2">
        <v>0</v>
      </c>
    </row>
    <row r="37" spans="1:14">
      <c r="A37" s="2">
        <v>36</v>
      </c>
      <c r="B37" s="2" t="s">
        <v>20</v>
      </c>
      <c r="C37" s="2" t="s">
        <v>20</v>
      </c>
      <c r="D37" s="2">
        <v>0</v>
      </c>
      <c r="E37" s="2">
        <v>1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</row>
    <row r="38" spans="1:14">
      <c r="A38" s="2">
        <v>37</v>
      </c>
      <c r="B38" s="2" t="s">
        <v>99</v>
      </c>
      <c r="C38" s="2" t="s">
        <v>99</v>
      </c>
      <c r="D38" s="2">
        <v>0.03</v>
      </c>
      <c r="E38" s="2">
        <v>0.01</v>
      </c>
      <c r="F38" s="2">
        <v>0</v>
      </c>
      <c r="G38" s="2">
        <v>0</v>
      </c>
      <c r="H38" s="2">
        <v>0.15</v>
      </c>
      <c r="I38" s="2">
        <v>0</v>
      </c>
      <c r="J38" s="2">
        <v>0.01</v>
      </c>
      <c r="K38" s="2">
        <v>0</v>
      </c>
      <c r="L38" s="2">
        <v>0</v>
      </c>
      <c r="M38" s="2">
        <v>0.17</v>
      </c>
      <c r="N38" s="2">
        <v>0.63</v>
      </c>
    </row>
    <row r="39" spans="1:14">
      <c r="A39" s="2">
        <v>38</v>
      </c>
      <c r="B39" s="2" t="s">
        <v>39</v>
      </c>
      <c r="C39" s="2" t="s">
        <v>39</v>
      </c>
      <c r="D39" s="2">
        <v>0.02</v>
      </c>
      <c r="E39" s="2">
        <v>0.01</v>
      </c>
      <c r="F39" s="2">
        <v>0</v>
      </c>
      <c r="G39" s="2">
        <v>0</v>
      </c>
      <c r="H39" s="2">
        <v>0.91</v>
      </c>
      <c r="I39" s="2">
        <v>0</v>
      </c>
      <c r="J39" s="2">
        <v>0</v>
      </c>
      <c r="K39" s="2">
        <v>0</v>
      </c>
      <c r="L39" s="2">
        <v>0</v>
      </c>
      <c r="M39" s="2">
        <v>0.05</v>
      </c>
      <c r="N39" s="2">
        <v>0.01</v>
      </c>
    </row>
    <row r="40" spans="1:14">
      <c r="A40" s="2">
        <v>39</v>
      </c>
      <c r="B40" s="2" t="s">
        <v>43</v>
      </c>
      <c r="C40" s="2" t="s">
        <v>43</v>
      </c>
      <c r="D40" s="2">
        <v>0.02</v>
      </c>
      <c r="E40" s="2">
        <v>0</v>
      </c>
      <c r="F40" s="2">
        <v>0</v>
      </c>
      <c r="G40" s="2">
        <v>0</v>
      </c>
      <c r="H40" s="2">
        <v>0.01</v>
      </c>
      <c r="I40" s="2">
        <v>0</v>
      </c>
      <c r="J40" s="2">
        <v>0.97</v>
      </c>
      <c r="K40" s="2">
        <v>0</v>
      </c>
      <c r="L40" s="2">
        <v>0</v>
      </c>
      <c r="M40" s="2">
        <v>0</v>
      </c>
      <c r="N40" s="2">
        <v>0</v>
      </c>
    </row>
    <row r="41" spans="1:14">
      <c r="A41" s="2">
        <v>40</v>
      </c>
      <c r="B41" s="2" t="s">
        <v>39</v>
      </c>
      <c r="C41" s="2" t="s">
        <v>39</v>
      </c>
      <c r="D41" s="2">
        <v>0.04</v>
      </c>
      <c r="E41" s="2">
        <v>0</v>
      </c>
      <c r="F41" s="2">
        <v>0</v>
      </c>
      <c r="G41" s="2">
        <v>0</v>
      </c>
      <c r="H41" s="2">
        <v>0.77</v>
      </c>
      <c r="I41" s="2">
        <v>0</v>
      </c>
      <c r="J41" s="2">
        <v>0</v>
      </c>
      <c r="K41" s="2">
        <v>0</v>
      </c>
      <c r="L41" s="2">
        <v>0</v>
      </c>
      <c r="M41" s="2">
        <v>0.19</v>
      </c>
      <c r="N41" s="2">
        <v>0</v>
      </c>
    </row>
    <row r="42" spans="1:14">
      <c r="A42" s="2">
        <v>41</v>
      </c>
      <c r="B42" s="2" t="s">
        <v>39</v>
      </c>
      <c r="C42" s="2" t="s">
        <v>39</v>
      </c>
      <c r="D42" s="2">
        <v>0</v>
      </c>
      <c r="E42" s="2">
        <v>0.04</v>
      </c>
      <c r="F42" s="2">
        <v>0</v>
      </c>
      <c r="G42" s="2">
        <v>0</v>
      </c>
      <c r="H42" s="2">
        <v>0.81</v>
      </c>
      <c r="I42" s="2">
        <v>0</v>
      </c>
      <c r="J42" s="2">
        <v>0.06</v>
      </c>
      <c r="K42" s="2">
        <v>0</v>
      </c>
      <c r="L42" s="2">
        <v>0</v>
      </c>
      <c r="M42" s="2">
        <v>0.08</v>
      </c>
      <c r="N42" s="2">
        <v>0.01</v>
      </c>
    </row>
    <row r="43" spans="1:14">
      <c r="A43" s="2">
        <v>42</v>
      </c>
      <c r="B43" s="2" t="s">
        <v>20</v>
      </c>
      <c r="C43" s="2" t="s">
        <v>20</v>
      </c>
      <c r="D43" s="2">
        <v>0</v>
      </c>
      <c r="E43" s="2">
        <v>1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</row>
    <row r="44" spans="1:14">
      <c r="A44" s="2">
        <v>43</v>
      </c>
      <c r="B44" s="2" t="s">
        <v>20</v>
      </c>
      <c r="C44" s="2" t="s">
        <v>20</v>
      </c>
      <c r="D44" s="2">
        <v>0</v>
      </c>
      <c r="E44" s="2">
        <v>1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</row>
    <row r="45" spans="1:14">
      <c r="A45" s="2">
        <v>44</v>
      </c>
      <c r="B45" s="2" t="s">
        <v>20</v>
      </c>
      <c r="C45" s="2" t="s">
        <v>20</v>
      </c>
      <c r="D45" s="2">
        <v>0</v>
      </c>
      <c r="E45" s="2">
        <v>1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</row>
    <row r="46" spans="1:14">
      <c r="A46" s="2">
        <v>45</v>
      </c>
      <c r="B46" s="2" t="s">
        <v>20</v>
      </c>
      <c r="C46" s="2" t="s">
        <v>20</v>
      </c>
      <c r="D46" s="2">
        <v>0</v>
      </c>
      <c r="E46" s="2">
        <v>1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</row>
    <row r="47" spans="1:14">
      <c r="A47" s="2">
        <v>46</v>
      </c>
      <c r="B47" s="2" t="s">
        <v>39</v>
      </c>
      <c r="C47" s="2" t="s">
        <v>39</v>
      </c>
      <c r="D47" s="2">
        <v>0</v>
      </c>
      <c r="E47" s="2">
        <v>0</v>
      </c>
      <c r="F47" s="2">
        <v>0</v>
      </c>
      <c r="G47" s="2">
        <v>0</v>
      </c>
      <c r="H47" s="2">
        <v>0.91</v>
      </c>
      <c r="I47" s="2">
        <v>0</v>
      </c>
      <c r="J47" s="2">
        <v>0.09</v>
      </c>
      <c r="K47" s="2">
        <v>0</v>
      </c>
      <c r="L47" s="2">
        <v>0</v>
      </c>
      <c r="M47" s="2">
        <v>0</v>
      </c>
      <c r="N47" s="2">
        <v>0</v>
      </c>
    </row>
    <row r="48" spans="1:14">
      <c r="A48" s="2">
        <v>47</v>
      </c>
      <c r="B48" s="2" t="s">
        <v>20</v>
      </c>
      <c r="C48" s="2" t="s">
        <v>20</v>
      </c>
      <c r="D48" s="2">
        <v>0</v>
      </c>
      <c r="E48" s="2">
        <v>1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</row>
    <row r="49" spans="1:14">
      <c r="A49" s="2">
        <v>48</v>
      </c>
      <c r="B49" s="2" t="s">
        <v>115</v>
      </c>
      <c r="C49" s="2" t="s">
        <v>115</v>
      </c>
      <c r="D49" s="2">
        <v>0</v>
      </c>
      <c r="E49" s="2">
        <v>0.23</v>
      </c>
      <c r="F49" s="2">
        <v>0</v>
      </c>
      <c r="G49" s="2">
        <v>0.01</v>
      </c>
      <c r="H49" s="2">
        <v>0.12</v>
      </c>
      <c r="I49" s="2">
        <v>0</v>
      </c>
      <c r="J49" s="2">
        <v>0</v>
      </c>
      <c r="K49" s="2">
        <v>0.61</v>
      </c>
      <c r="L49" s="2">
        <v>0</v>
      </c>
      <c r="M49" s="2">
        <v>0.03</v>
      </c>
      <c r="N49" s="2">
        <v>0</v>
      </c>
    </row>
    <row r="50" spans="1:14">
      <c r="A50" s="2">
        <v>49</v>
      </c>
      <c r="B50" s="2" t="s">
        <v>39</v>
      </c>
      <c r="C50" s="2" t="s">
        <v>39</v>
      </c>
      <c r="D50" s="2">
        <v>0.1</v>
      </c>
      <c r="E50" s="2">
        <v>0</v>
      </c>
      <c r="F50" s="2">
        <v>0</v>
      </c>
      <c r="G50" s="2">
        <v>0</v>
      </c>
      <c r="H50" s="2">
        <v>0.81</v>
      </c>
      <c r="I50" s="2">
        <v>0</v>
      </c>
      <c r="J50" s="2">
        <v>0</v>
      </c>
      <c r="K50" s="2">
        <v>0</v>
      </c>
      <c r="L50" s="2">
        <v>0</v>
      </c>
      <c r="M50" s="2">
        <v>0.09</v>
      </c>
      <c r="N50" s="2">
        <v>0</v>
      </c>
    </row>
    <row r="51" spans="1:14">
      <c r="A51" s="2">
        <v>50</v>
      </c>
      <c r="B51" s="2" t="s">
        <v>39</v>
      </c>
      <c r="C51" s="2" t="s">
        <v>39</v>
      </c>
      <c r="D51" s="2">
        <v>0</v>
      </c>
      <c r="E51" s="2">
        <v>0.03</v>
      </c>
      <c r="F51" s="2">
        <v>0</v>
      </c>
      <c r="G51" s="2">
        <v>0</v>
      </c>
      <c r="H51" s="2">
        <v>0.88</v>
      </c>
      <c r="I51" s="2">
        <v>0</v>
      </c>
      <c r="J51" s="2">
        <v>0.04</v>
      </c>
      <c r="K51" s="2">
        <v>0</v>
      </c>
      <c r="L51" s="2">
        <v>0</v>
      </c>
      <c r="M51" s="2">
        <v>0.05</v>
      </c>
      <c r="N51" s="2">
        <v>0</v>
      </c>
    </row>
    <row r="52" spans="1:14">
      <c r="A52" s="2">
        <v>51</v>
      </c>
      <c r="B52" s="2" t="s">
        <v>20</v>
      </c>
      <c r="C52" s="2" t="s">
        <v>20</v>
      </c>
      <c r="D52" s="2">
        <v>0</v>
      </c>
      <c r="E52" s="2">
        <v>0.98</v>
      </c>
      <c r="F52" s="2">
        <v>0</v>
      </c>
      <c r="G52" s="2">
        <v>0</v>
      </c>
      <c r="H52" s="2">
        <v>0.01</v>
      </c>
      <c r="I52" s="2">
        <v>0.01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</row>
    <row r="53" spans="1:14">
      <c r="A53" s="2">
        <v>52</v>
      </c>
      <c r="B53" s="2" t="s">
        <v>43</v>
      </c>
      <c r="C53" s="2" t="s">
        <v>43</v>
      </c>
      <c r="D53" s="2">
        <v>0.06</v>
      </c>
      <c r="E53" s="2">
        <v>0.01</v>
      </c>
      <c r="F53" s="2">
        <v>0</v>
      </c>
      <c r="G53" s="2">
        <v>0</v>
      </c>
      <c r="H53" s="2">
        <v>0.19</v>
      </c>
      <c r="I53" s="2">
        <v>0</v>
      </c>
      <c r="J53" s="2">
        <v>0.61</v>
      </c>
      <c r="K53" s="2">
        <v>0</v>
      </c>
      <c r="L53" s="2">
        <v>0</v>
      </c>
      <c r="M53" s="2">
        <v>0.13</v>
      </c>
      <c r="N53" s="2">
        <v>0</v>
      </c>
    </row>
    <row r="54" spans="1:14">
      <c r="A54" s="2">
        <v>53</v>
      </c>
      <c r="B54" s="2" t="s">
        <v>20</v>
      </c>
      <c r="C54" s="2" t="s">
        <v>20</v>
      </c>
      <c r="D54" s="2">
        <v>0</v>
      </c>
      <c r="E54" s="2">
        <v>0.93</v>
      </c>
      <c r="F54" s="2">
        <v>0</v>
      </c>
      <c r="G54" s="2">
        <v>0.05</v>
      </c>
      <c r="H54" s="2">
        <v>0.02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</row>
    <row r="55" spans="1:14">
      <c r="A55" s="2">
        <v>54</v>
      </c>
      <c r="B55" s="2" t="s">
        <v>39</v>
      </c>
      <c r="C55" s="2" t="s">
        <v>39</v>
      </c>
      <c r="D55" s="2">
        <v>0.04</v>
      </c>
      <c r="E55" s="2">
        <v>0.01</v>
      </c>
      <c r="F55" s="2">
        <v>0</v>
      </c>
      <c r="G55" s="2">
        <v>0</v>
      </c>
      <c r="H55" s="2">
        <v>0.92</v>
      </c>
      <c r="I55" s="2">
        <v>0</v>
      </c>
      <c r="J55" s="2">
        <v>0</v>
      </c>
      <c r="K55" s="2">
        <v>0</v>
      </c>
      <c r="L55" s="2">
        <v>0</v>
      </c>
      <c r="M55" s="2">
        <v>0.03</v>
      </c>
      <c r="N55" s="2">
        <v>0</v>
      </c>
    </row>
    <row r="56" spans="1:14">
      <c r="A56" s="2">
        <v>55</v>
      </c>
      <c r="B56" s="2" t="s">
        <v>20</v>
      </c>
      <c r="C56" s="2" t="s">
        <v>20</v>
      </c>
      <c r="D56" s="2">
        <v>0</v>
      </c>
      <c r="E56" s="2">
        <v>1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</row>
    <row r="57" spans="1:14">
      <c r="A57" s="2">
        <v>56</v>
      </c>
      <c r="B57" s="2" t="s">
        <v>43</v>
      </c>
      <c r="C57" s="2" t="s">
        <v>43</v>
      </c>
      <c r="D57" s="2">
        <v>0</v>
      </c>
      <c r="E57" s="2">
        <v>0.25</v>
      </c>
      <c r="F57" s="2">
        <v>0</v>
      </c>
      <c r="G57" s="2">
        <v>0</v>
      </c>
      <c r="H57" s="2">
        <v>0</v>
      </c>
      <c r="I57" s="2">
        <v>0</v>
      </c>
      <c r="J57" s="2">
        <v>0.75</v>
      </c>
      <c r="K57" s="2">
        <v>0</v>
      </c>
      <c r="L57" s="2">
        <v>0</v>
      </c>
      <c r="M57" s="2">
        <v>0</v>
      </c>
      <c r="N57" s="2">
        <v>0</v>
      </c>
    </row>
    <row r="58" spans="1:14">
      <c r="A58" s="2">
        <v>57</v>
      </c>
      <c r="B58" s="2" t="s">
        <v>125</v>
      </c>
      <c r="C58" s="2" t="s">
        <v>125</v>
      </c>
      <c r="D58" s="2">
        <v>0</v>
      </c>
      <c r="E58" s="2">
        <v>0.02</v>
      </c>
      <c r="F58" s="2">
        <v>0</v>
      </c>
      <c r="G58" s="2">
        <v>0</v>
      </c>
      <c r="H58" s="2">
        <v>0.03</v>
      </c>
      <c r="I58" s="2">
        <v>0.93</v>
      </c>
      <c r="J58" s="2">
        <v>0.01</v>
      </c>
      <c r="K58" s="2">
        <v>0</v>
      </c>
      <c r="L58" s="2">
        <v>0</v>
      </c>
      <c r="M58" s="2">
        <v>0.01</v>
      </c>
      <c r="N58" s="2">
        <v>0</v>
      </c>
    </row>
    <row r="59" spans="1:14">
      <c r="A59" s="2">
        <v>58</v>
      </c>
      <c r="B59" s="2" t="s">
        <v>39</v>
      </c>
      <c r="C59" s="2" t="s">
        <v>39</v>
      </c>
      <c r="D59" s="2">
        <v>0</v>
      </c>
      <c r="E59" s="2">
        <v>0.1</v>
      </c>
      <c r="F59" s="2">
        <v>0</v>
      </c>
      <c r="G59" s="2">
        <v>0</v>
      </c>
      <c r="H59" s="2">
        <v>0.78</v>
      </c>
      <c r="I59" s="2">
        <v>0</v>
      </c>
      <c r="J59" s="2">
        <v>0.05</v>
      </c>
      <c r="K59" s="2">
        <v>0</v>
      </c>
      <c r="L59" s="2">
        <v>0</v>
      </c>
      <c r="M59" s="2">
        <v>7.0000000000000007E-2</v>
      </c>
      <c r="N59" s="2">
        <v>0</v>
      </c>
    </row>
    <row r="60" spans="1:14">
      <c r="A60" s="2">
        <v>59</v>
      </c>
      <c r="B60" s="2" t="s">
        <v>39</v>
      </c>
      <c r="C60" s="2" t="s">
        <v>39</v>
      </c>
      <c r="D60" s="2">
        <v>0.33</v>
      </c>
      <c r="E60" s="2">
        <v>0</v>
      </c>
      <c r="F60" s="2">
        <v>0.02</v>
      </c>
      <c r="G60" s="2">
        <v>0</v>
      </c>
      <c r="H60" s="2">
        <v>0.65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</row>
    <row r="61" spans="1:14">
      <c r="A61" s="2">
        <v>60</v>
      </c>
      <c r="B61" s="2" t="s">
        <v>52</v>
      </c>
      <c r="C61" s="2" t="s">
        <v>52</v>
      </c>
      <c r="D61" s="2">
        <v>0</v>
      </c>
      <c r="E61" s="2">
        <v>0</v>
      </c>
      <c r="F61" s="2">
        <v>0</v>
      </c>
      <c r="G61" s="2">
        <v>1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</row>
    <row r="62" spans="1:14">
      <c r="A62" s="2">
        <v>61</v>
      </c>
      <c r="B62" s="2" t="s">
        <v>48</v>
      </c>
      <c r="C62" s="2" t="s">
        <v>48</v>
      </c>
      <c r="D62" s="2">
        <v>0.02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0.98</v>
      </c>
      <c r="M62" s="2">
        <v>0</v>
      </c>
      <c r="N62" s="2">
        <v>0</v>
      </c>
    </row>
    <row r="63" spans="1:14">
      <c r="A63" s="2">
        <v>62</v>
      </c>
      <c r="B63" s="2" t="s">
        <v>39</v>
      </c>
      <c r="C63" s="2" t="s">
        <v>39</v>
      </c>
      <c r="D63" s="2">
        <v>0</v>
      </c>
      <c r="E63" s="2">
        <v>0.03</v>
      </c>
      <c r="F63" s="2">
        <v>0</v>
      </c>
      <c r="G63" s="2">
        <v>0</v>
      </c>
      <c r="H63" s="2">
        <v>0.69</v>
      </c>
      <c r="I63" s="2">
        <v>0</v>
      </c>
      <c r="J63" s="2">
        <v>0.24</v>
      </c>
      <c r="K63" s="2">
        <v>0</v>
      </c>
      <c r="L63" s="2">
        <v>0</v>
      </c>
      <c r="M63" s="2">
        <v>0.04</v>
      </c>
      <c r="N63" s="2">
        <v>0</v>
      </c>
    </row>
    <row r="64" spans="1:14">
      <c r="A64" s="2">
        <v>63</v>
      </c>
      <c r="B64" s="2" t="s">
        <v>20</v>
      </c>
      <c r="C64" s="2" t="s">
        <v>20</v>
      </c>
      <c r="D64" s="2">
        <v>0</v>
      </c>
      <c r="E64" s="2">
        <v>1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</row>
    <row r="65" spans="1:14">
      <c r="A65" s="2">
        <v>64</v>
      </c>
      <c r="B65" s="2" t="s">
        <v>52</v>
      </c>
      <c r="C65" s="2" t="s">
        <v>52</v>
      </c>
      <c r="D65" s="2">
        <v>0</v>
      </c>
      <c r="E65" s="2">
        <v>0</v>
      </c>
      <c r="F65" s="2">
        <v>0</v>
      </c>
      <c r="G65" s="2">
        <v>0.89</v>
      </c>
      <c r="H65" s="2">
        <v>0</v>
      </c>
      <c r="I65" s="2">
        <v>0</v>
      </c>
      <c r="J65" s="2">
        <v>0.11</v>
      </c>
      <c r="K65" s="2">
        <v>0</v>
      </c>
      <c r="L65" s="2">
        <v>0</v>
      </c>
      <c r="M65" s="2">
        <v>0</v>
      </c>
      <c r="N65" s="2">
        <v>0</v>
      </c>
    </row>
    <row r="66" spans="1:14">
      <c r="A66" s="2">
        <v>65</v>
      </c>
      <c r="B66" s="2" t="s">
        <v>26</v>
      </c>
      <c r="C66" s="2" t="s">
        <v>26</v>
      </c>
      <c r="D66" s="2">
        <v>0</v>
      </c>
      <c r="E66" s="2">
        <v>0</v>
      </c>
      <c r="F66" s="2">
        <v>1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</row>
    <row r="67" spans="1:14">
      <c r="A67" s="2">
        <v>66</v>
      </c>
      <c r="B67" s="2" t="s">
        <v>43</v>
      </c>
      <c r="C67" s="2" t="s">
        <v>43</v>
      </c>
      <c r="D67" s="2">
        <v>0.14000000000000001</v>
      </c>
      <c r="E67" s="2">
        <v>0</v>
      </c>
      <c r="F67" s="2">
        <v>0</v>
      </c>
      <c r="G67" s="2">
        <v>0.09</v>
      </c>
      <c r="H67" s="2">
        <v>0.02</v>
      </c>
      <c r="I67" s="2">
        <v>0</v>
      </c>
      <c r="J67" s="2">
        <v>0.67</v>
      </c>
      <c r="K67" s="2">
        <v>0</v>
      </c>
      <c r="L67" s="2">
        <v>0</v>
      </c>
      <c r="M67" s="2">
        <v>0.01</v>
      </c>
      <c r="N67" s="2">
        <v>7.0000000000000007E-2</v>
      </c>
    </row>
    <row r="68" spans="1:14">
      <c r="A68" s="2">
        <v>67</v>
      </c>
      <c r="B68" s="2" t="s">
        <v>39</v>
      </c>
      <c r="C68" s="2" t="s">
        <v>39</v>
      </c>
      <c r="D68" s="2">
        <v>0</v>
      </c>
      <c r="E68" s="2">
        <v>0</v>
      </c>
      <c r="F68" s="2">
        <v>0</v>
      </c>
      <c r="G68" s="2">
        <v>0</v>
      </c>
      <c r="H68" s="2">
        <v>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</row>
    <row r="69" spans="1:14">
      <c r="A69" s="2">
        <v>68</v>
      </c>
      <c r="B69" s="2" t="s">
        <v>52</v>
      </c>
      <c r="C69" s="2" t="s">
        <v>52</v>
      </c>
      <c r="D69" s="2">
        <v>0</v>
      </c>
      <c r="E69" s="2">
        <v>0</v>
      </c>
      <c r="F69" s="2">
        <v>0</v>
      </c>
      <c r="G69" s="2">
        <v>0.96</v>
      </c>
      <c r="H69" s="2">
        <v>0</v>
      </c>
      <c r="I69" s="2">
        <v>0</v>
      </c>
      <c r="J69" s="2">
        <v>0.04</v>
      </c>
      <c r="K69" s="2">
        <v>0</v>
      </c>
      <c r="L69" s="2">
        <v>0</v>
      </c>
      <c r="M69" s="2">
        <v>0</v>
      </c>
      <c r="N69" s="2">
        <v>0</v>
      </c>
    </row>
    <row r="70" spans="1:14">
      <c r="A70" s="2">
        <v>69</v>
      </c>
      <c r="B70" s="2" t="s">
        <v>52</v>
      </c>
      <c r="C70" s="2" t="s">
        <v>52</v>
      </c>
      <c r="D70" s="2">
        <v>0</v>
      </c>
      <c r="E70" s="2">
        <v>0</v>
      </c>
      <c r="F70" s="2">
        <v>0</v>
      </c>
      <c r="G70" s="2">
        <v>0.99</v>
      </c>
      <c r="H70" s="2">
        <v>0</v>
      </c>
      <c r="I70" s="2">
        <v>0</v>
      </c>
      <c r="J70" s="2">
        <v>0.01</v>
      </c>
      <c r="K70" s="2">
        <v>0</v>
      </c>
      <c r="L70" s="2">
        <v>0</v>
      </c>
      <c r="M70" s="2">
        <v>0</v>
      </c>
      <c r="N70" s="2">
        <v>0</v>
      </c>
    </row>
    <row r="71" spans="1:14">
      <c r="A71" s="2">
        <v>70</v>
      </c>
      <c r="B71" s="2" t="s">
        <v>33</v>
      </c>
      <c r="C71" s="2" t="s">
        <v>33</v>
      </c>
      <c r="D71" s="2">
        <v>1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</row>
    <row r="72" spans="1:14">
      <c r="A72" s="2">
        <v>71</v>
      </c>
      <c r="B72" s="2" t="s">
        <v>20</v>
      </c>
      <c r="C72" s="2" t="s">
        <v>20</v>
      </c>
      <c r="D72" s="2">
        <v>0</v>
      </c>
      <c r="E72" s="2">
        <v>0.92</v>
      </c>
      <c r="F72" s="2">
        <v>0</v>
      </c>
      <c r="G72" s="2">
        <v>0</v>
      </c>
      <c r="H72" s="2">
        <v>0.04</v>
      </c>
      <c r="I72" s="2">
        <v>0</v>
      </c>
      <c r="J72" s="2">
        <v>0.03</v>
      </c>
      <c r="K72" s="2">
        <v>0</v>
      </c>
      <c r="L72" s="2">
        <v>0</v>
      </c>
      <c r="M72" s="2">
        <v>0.01</v>
      </c>
      <c r="N72" s="2">
        <v>0</v>
      </c>
    </row>
    <row r="73" spans="1:14">
      <c r="A73" s="2">
        <v>72</v>
      </c>
      <c r="B73" s="2" t="s">
        <v>20</v>
      </c>
      <c r="C73" s="2" t="s">
        <v>20</v>
      </c>
      <c r="D73" s="2">
        <v>0</v>
      </c>
      <c r="E73" s="2">
        <v>0.99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0.01</v>
      </c>
      <c r="N73" s="2">
        <v>0</v>
      </c>
    </row>
    <row r="74" spans="1:14">
      <c r="A74" s="2">
        <v>73</v>
      </c>
      <c r="B74" s="2" t="s">
        <v>20</v>
      </c>
      <c r="C74" s="2" t="s">
        <v>20</v>
      </c>
      <c r="D74" s="2">
        <v>0</v>
      </c>
      <c r="E74" s="2">
        <v>1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</row>
    <row r="75" spans="1:14">
      <c r="A75" s="2">
        <v>74</v>
      </c>
      <c r="B75" s="2" t="s">
        <v>39</v>
      </c>
      <c r="C75" s="2" t="s">
        <v>39</v>
      </c>
      <c r="D75" s="2">
        <v>0</v>
      </c>
      <c r="E75" s="2">
        <v>0.08</v>
      </c>
      <c r="F75" s="2">
        <v>0</v>
      </c>
      <c r="G75" s="2">
        <v>0.03</v>
      </c>
      <c r="H75" s="2">
        <v>0.75</v>
      </c>
      <c r="I75" s="2">
        <v>0</v>
      </c>
      <c r="J75" s="2">
        <v>0.14000000000000001</v>
      </c>
      <c r="K75" s="2">
        <v>0</v>
      </c>
      <c r="L75" s="2">
        <v>0</v>
      </c>
      <c r="M75" s="2">
        <v>0</v>
      </c>
      <c r="N75" s="2">
        <v>0</v>
      </c>
    </row>
    <row r="76" spans="1:14">
      <c r="A76" s="2">
        <v>75</v>
      </c>
      <c r="B76" s="2" t="s">
        <v>43</v>
      </c>
      <c r="C76" s="2" t="s">
        <v>43</v>
      </c>
      <c r="D76" s="2">
        <v>0</v>
      </c>
      <c r="E76" s="2">
        <v>0</v>
      </c>
      <c r="F76" s="2">
        <v>0</v>
      </c>
      <c r="G76" s="2">
        <v>0</v>
      </c>
      <c r="H76" s="2">
        <v>0.26</v>
      </c>
      <c r="I76" s="2">
        <v>0</v>
      </c>
      <c r="J76" s="2">
        <v>0.74</v>
      </c>
      <c r="K76" s="2">
        <v>0</v>
      </c>
      <c r="L76" s="2">
        <v>0</v>
      </c>
      <c r="M76" s="2">
        <v>0</v>
      </c>
      <c r="N76" s="2">
        <v>0</v>
      </c>
    </row>
    <row r="77" spans="1:14">
      <c r="A77" s="2">
        <v>76</v>
      </c>
      <c r="B77" s="2" t="s">
        <v>20</v>
      </c>
      <c r="C77" s="2" t="s">
        <v>20</v>
      </c>
      <c r="D77" s="2">
        <v>0</v>
      </c>
      <c r="E77" s="2">
        <v>1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</row>
    <row r="78" spans="1:14">
      <c r="A78" s="2">
        <v>77</v>
      </c>
      <c r="B78" s="2" t="s">
        <v>33</v>
      </c>
      <c r="C78" s="2" t="s">
        <v>33</v>
      </c>
      <c r="D78" s="2">
        <v>1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</row>
    <row r="79" spans="1:14">
      <c r="A79" s="2">
        <v>78</v>
      </c>
      <c r="B79" s="2" t="s">
        <v>59</v>
      </c>
      <c r="C79" s="2" t="s">
        <v>59</v>
      </c>
      <c r="D79" s="2">
        <v>0.02</v>
      </c>
      <c r="E79" s="2">
        <v>0</v>
      </c>
      <c r="F79" s="2">
        <v>0</v>
      </c>
      <c r="G79" s="2">
        <v>0</v>
      </c>
      <c r="H79" s="2">
        <v>0.12</v>
      </c>
      <c r="I79" s="2">
        <v>0</v>
      </c>
      <c r="J79" s="2">
        <v>0.01</v>
      </c>
      <c r="K79" s="2">
        <v>0</v>
      </c>
      <c r="L79" s="2">
        <v>0</v>
      </c>
      <c r="M79" s="2">
        <v>0.85</v>
      </c>
      <c r="N79" s="2">
        <v>0</v>
      </c>
    </row>
    <row r="80" spans="1:14">
      <c r="A80" s="2">
        <v>79</v>
      </c>
      <c r="B80" s="2" t="s">
        <v>20</v>
      </c>
      <c r="C80" s="2" t="s">
        <v>20</v>
      </c>
      <c r="D80" s="2">
        <v>0</v>
      </c>
      <c r="E80" s="2">
        <v>1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</row>
    <row r="81" spans="1:14">
      <c r="A81" s="2">
        <v>80</v>
      </c>
      <c r="B81" s="2" t="s">
        <v>43</v>
      </c>
      <c r="C81" s="2" t="s">
        <v>43</v>
      </c>
      <c r="D81" s="2">
        <v>0.05</v>
      </c>
      <c r="E81" s="2">
        <v>0</v>
      </c>
      <c r="F81" s="2">
        <v>0</v>
      </c>
      <c r="G81" s="2">
        <v>0</v>
      </c>
      <c r="H81" s="2">
        <v>0.21</v>
      </c>
      <c r="I81" s="2">
        <v>0</v>
      </c>
      <c r="J81" s="2">
        <v>0.73</v>
      </c>
      <c r="K81" s="2">
        <v>0</v>
      </c>
      <c r="L81" s="2">
        <v>0</v>
      </c>
      <c r="M81" s="2">
        <v>0</v>
      </c>
      <c r="N81" s="2">
        <v>0.01</v>
      </c>
    </row>
    <row r="82" spans="1:14">
      <c r="A82" s="2">
        <v>81</v>
      </c>
      <c r="B82" s="2" t="s">
        <v>33</v>
      </c>
      <c r="C82" s="2" t="s">
        <v>33</v>
      </c>
      <c r="D82" s="2">
        <v>0.82</v>
      </c>
      <c r="E82" s="2">
        <v>0</v>
      </c>
      <c r="F82" s="2">
        <v>0</v>
      </c>
      <c r="G82" s="2">
        <v>0</v>
      </c>
      <c r="H82" s="2">
        <v>0.02</v>
      </c>
      <c r="I82" s="2">
        <v>0</v>
      </c>
      <c r="J82" s="2">
        <v>0.13</v>
      </c>
      <c r="K82" s="2">
        <v>0.03</v>
      </c>
      <c r="L82" s="2">
        <v>0</v>
      </c>
      <c r="M82" s="2">
        <v>0</v>
      </c>
      <c r="N82" s="2">
        <v>0</v>
      </c>
    </row>
    <row r="83" spans="1:14">
      <c r="A83" s="2">
        <v>82</v>
      </c>
      <c r="B83" s="2" t="s">
        <v>20</v>
      </c>
      <c r="C83" s="2" t="s">
        <v>20</v>
      </c>
      <c r="D83" s="2">
        <v>0</v>
      </c>
      <c r="E83" s="2">
        <v>1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</row>
    <row r="84" spans="1:14">
      <c r="A84" s="2">
        <v>83</v>
      </c>
      <c r="B84" s="2" t="s">
        <v>33</v>
      </c>
      <c r="C84" s="2" t="s">
        <v>33</v>
      </c>
      <c r="D84" s="2">
        <v>0.92</v>
      </c>
      <c r="E84" s="2">
        <v>0</v>
      </c>
      <c r="F84" s="2">
        <v>0</v>
      </c>
      <c r="G84" s="2">
        <v>0.04</v>
      </c>
      <c r="H84" s="2">
        <v>0</v>
      </c>
      <c r="I84" s="2">
        <v>0</v>
      </c>
      <c r="J84" s="2">
        <v>0</v>
      </c>
      <c r="K84" s="2">
        <v>0</v>
      </c>
      <c r="L84" s="2">
        <v>0.02</v>
      </c>
      <c r="M84" s="2">
        <v>0.02</v>
      </c>
      <c r="N84" s="2">
        <v>0</v>
      </c>
    </row>
    <row r="85" spans="1:14">
      <c r="A85" s="2">
        <v>84</v>
      </c>
      <c r="B85" s="2" t="s">
        <v>20</v>
      </c>
      <c r="C85" s="2" t="s">
        <v>20</v>
      </c>
      <c r="D85" s="2">
        <v>0</v>
      </c>
      <c r="E85" s="2">
        <v>1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</row>
    <row r="86" spans="1:14">
      <c r="A86" s="2">
        <v>85</v>
      </c>
      <c r="B86" s="2" t="s">
        <v>20</v>
      </c>
      <c r="C86" s="2" t="s">
        <v>20</v>
      </c>
      <c r="D86" s="2">
        <v>0</v>
      </c>
      <c r="E86" s="2">
        <v>0.96</v>
      </c>
      <c r="F86" s="2">
        <v>0</v>
      </c>
      <c r="G86" s="2">
        <v>0</v>
      </c>
      <c r="H86" s="2">
        <v>0</v>
      </c>
      <c r="I86" s="2">
        <v>0</v>
      </c>
      <c r="J86" s="2">
        <v>0.03</v>
      </c>
      <c r="K86" s="2">
        <v>0</v>
      </c>
      <c r="L86" s="2">
        <v>0.01</v>
      </c>
      <c r="M86" s="2">
        <v>0</v>
      </c>
      <c r="N86" s="2">
        <v>0</v>
      </c>
    </row>
    <row r="87" spans="1:14">
      <c r="A87" s="2">
        <v>86</v>
      </c>
      <c r="B87" s="2" t="s">
        <v>39</v>
      </c>
      <c r="C87" s="2" t="s">
        <v>39</v>
      </c>
      <c r="D87" s="2">
        <v>0.1</v>
      </c>
      <c r="E87" s="2">
        <v>0.24</v>
      </c>
      <c r="F87" s="2">
        <v>0</v>
      </c>
      <c r="G87" s="2">
        <v>0</v>
      </c>
      <c r="H87" s="2">
        <v>0.66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</row>
    <row r="88" spans="1:14">
      <c r="A88" s="2">
        <v>87</v>
      </c>
      <c r="B88" s="2" t="s">
        <v>20</v>
      </c>
      <c r="C88" s="2" t="s">
        <v>20</v>
      </c>
      <c r="D88" s="2">
        <v>0</v>
      </c>
      <c r="E88" s="2">
        <v>1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</row>
    <row r="89" spans="1:14">
      <c r="A89" s="2">
        <v>88</v>
      </c>
      <c r="B89" s="2" t="s">
        <v>52</v>
      </c>
      <c r="C89" s="2" t="s">
        <v>52</v>
      </c>
      <c r="D89" s="2">
        <v>0</v>
      </c>
      <c r="E89" s="2">
        <v>0</v>
      </c>
      <c r="F89" s="2">
        <v>0</v>
      </c>
      <c r="G89" s="2">
        <v>0.98</v>
      </c>
      <c r="H89" s="2">
        <v>0</v>
      </c>
      <c r="I89" s="2">
        <v>0</v>
      </c>
      <c r="J89" s="2">
        <v>0.02</v>
      </c>
      <c r="K89" s="2">
        <v>0</v>
      </c>
      <c r="L89" s="2">
        <v>0</v>
      </c>
      <c r="M89" s="2">
        <v>0</v>
      </c>
      <c r="N89" s="2">
        <v>0</v>
      </c>
    </row>
    <row r="90" spans="1:14">
      <c r="A90" s="2">
        <v>89</v>
      </c>
      <c r="B90" s="2" t="s">
        <v>20</v>
      </c>
      <c r="C90" s="2" t="s">
        <v>20</v>
      </c>
      <c r="D90" s="2">
        <v>0</v>
      </c>
      <c r="E90" s="2">
        <v>1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</row>
    <row r="91" spans="1:14">
      <c r="A91" s="2">
        <v>90</v>
      </c>
      <c r="B91" s="2" t="s">
        <v>43</v>
      </c>
      <c r="C91" s="2" t="s">
        <v>43</v>
      </c>
      <c r="D91" s="2">
        <v>0.04</v>
      </c>
      <c r="E91" s="2">
        <v>0.01</v>
      </c>
      <c r="F91" s="2">
        <v>0</v>
      </c>
      <c r="G91" s="2">
        <v>0</v>
      </c>
      <c r="H91" s="2">
        <v>0.09</v>
      </c>
      <c r="I91" s="2">
        <v>0</v>
      </c>
      <c r="J91" s="2">
        <v>0.85</v>
      </c>
      <c r="K91" s="2">
        <v>0</v>
      </c>
      <c r="L91" s="2">
        <v>0</v>
      </c>
      <c r="M91" s="2">
        <v>0.01</v>
      </c>
      <c r="N91" s="2">
        <v>0</v>
      </c>
    </row>
    <row r="92" spans="1:14">
      <c r="A92" s="2">
        <v>91</v>
      </c>
      <c r="B92" s="2" t="s">
        <v>39</v>
      </c>
      <c r="C92" s="2" t="s">
        <v>39</v>
      </c>
      <c r="D92" s="2">
        <v>0.03</v>
      </c>
      <c r="E92" s="2">
        <v>0.01</v>
      </c>
      <c r="F92" s="2">
        <v>0</v>
      </c>
      <c r="G92" s="2">
        <v>0</v>
      </c>
      <c r="H92" s="2">
        <v>0.82</v>
      </c>
      <c r="I92" s="2">
        <v>0.02</v>
      </c>
      <c r="J92" s="2">
        <v>0.01</v>
      </c>
      <c r="K92" s="2">
        <v>0</v>
      </c>
      <c r="L92" s="2">
        <v>0</v>
      </c>
      <c r="M92" s="2">
        <v>0.11</v>
      </c>
      <c r="N92" s="2">
        <v>0</v>
      </c>
    </row>
    <row r="93" spans="1:14">
      <c r="A93" s="2">
        <v>92</v>
      </c>
      <c r="B93" s="2" t="s">
        <v>43</v>
      </c>
      <c r="C93" s="2" t="s">
        <v>43</v>
      </c>
      <c r="D93" s="2">
        <v>0.12</v>
      </c>
      <c r="E93" s="2">
        <v>0.04</v>
      </c>
      <c r="F93" s="2">
        <v>0</v>
      </c>
      <c r="G93" s="2">
        <v>0</v>
      </c>
      <c r="H93" s="2">
        <v>0.17</v>
      </c>
      <c r="I93" s="2">
        <v>0</v>
      </c>
      <c r="J93" s="2">
        <v>0.64</v>
      </c>
      <c r="K93" s="2">
        <v>0</v>
      </c>
      <c r="L93" s="2">
        <v>0</v>
      </c>
      <c r="M93" s="2">
        <v>0.03</v>
      </c>
      <c r="N93" s="2">
        <v>0</v>
      </c>
    </row>
    <row r="94" spans="1:14">
      <c r="A94" s="2">
        <v>93</v>
      </c>
      <c r="B94" s="2" t="s">
        <v>39</v>
      </c>
      <c r="C94" s="2" t="s">
        <v>39</v>
      </c>
      <c r="D94" s="2">
        <v>0.01</v>
      </c>
      <c r="E94" s="2">
        <v>0.01</v>
      </c>
      <c r="F94" s="2">
        <v>0</v>
      </c>
      <c r="G94" s="2">
        <v>0</v>
      </c>
      <c r="H94" s="2">
        <v>0.82</v>
      </c>
      <c r="I94" s="2">
        <v>0</v>
      </c>
      <c r="J94" s="2">
        <v>0.1</v>
      </c>
      <c r="K94" s="2">
        <v>0</v>
      </c>
      <c r="L94" s="2">
        <v>0</v>
      </c>
      <c r="M94" s="2">
        <v>0.06</v>
      </c>
      <c r="N94" s="2">
        <v>0</v>
      </c>
    </row>
    <row r="95" spans="1:14">
      <c r="A95" s="2">
        <v>94</v>
      </c>
      <c r="B95" s="2" t="s">
        <v>39</v>
      </c>
      <c r="C95" s="2" t="s">
        <v>39</v>
      </c>
      <c r="D95" s="2">
        <v>0</v>
      </c>
      <c r="E95" s="2">
        <v>0.04</v>
      </c>
      <c r="F95" s="2">
        <v>0</v>
      </c>
      <c r="G95" s="2">
        <v>0</v>
      </c>
      <c r="H95" s="2">
        <v>0.68</v>
      </c>
      <c r="I95" s="2">
        <v>0</v>
      </c>
      <c r="J95" s="2">
        <v>0.18</v>
      </c>
      <c r="K95" s="2">
        <v>0</v>
      </c>
      <c r="L95" s="2">
        <v>0</v>
      </c>
      <c r="M95" s="2">
        <v>0.1</v>
      </c>
      <c r="N95" s="2">
        <v>0</v>
      </c>
    </row>
    <row r="96" spans="1:14">
      <c r="A96" s="2">
        <v>95</v>
      </c>
      <c r="B96" s="2" t="s">
        <v>43</v>
      </c>
      <c r="C96" s="2" t="s">
        <v>43</v>
      </c>
      <c r="D96" s="2">
        <v>0.02</v>
      </c>
      <c r="E96" s="2">
        <v>0.02</v>
      </c>
      <c r="F96" s="2">
        <v>0</v>
      </c>
      <c r="G96" s="2">
        <v>0</v>
      </c>
      <c r="H96" s="2">
        <v>0</v>
      </c>
      <c r="I96" s="2">
        <v>0</v>
      </c>
      <c r="J96" s="2">
        <v>0.93</v>
      </c>
      <c r="K96" s="2">
        <v>0</v>
      </c>
      <c r="L96" s="2">
        <v>0</v>
      </c>
      <c r="M96" s="2">
        <v>0.03</v>
      </c>
      <c r="N96" s="2">
        <v>0</v>
      </c>
    </row>
    <row r="97" spans="1:14">
      <c r="A97" s="2">
        <v>96</v>
      </c>
      <c r="B97" s="2" t="s">
        <v>20</v>
      </c>
      <c r="C97" s="2" t="s">
        <v>20</v>
      </c>
      <c r="D97" s="2">
        <v>0</v>
      </c>
      <c r="E97" s="2">
        <v>1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</row>
    <row r="98" spans="1:14">
      <c r="A98" s="2">
        <v>97</v>
      </c>
      <c r="B98" s="2" t="s">
        <v>39</v>
      </c>
      <c r="C98" s="2" t="s">
        <v>39</v>
      </c>
      <c r="D98" s="2">
        <v>0</v>
      </c>
      <c r="E98" s="2">
        <v>0</v>
      </c>
      <c r="F98" s="2">
        <v>0</v>
      </c>
      <c r="G98" s="2">
        <v>0</v>
      </c>
      <c r="H98" s="2">
        <v>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</row>
    <row r="99" spans="1:14">
      <c r="A99" s="2">
        <v>98</v>
      </c>
      <c r="B99" s="2" t="s">
        <v>52</v>
      </c>
      <c r="C99" s="2" t="s">
        <v>52</v>
      </c>
      <c r="D99" s="2">
        <v>0</v>
      </c>
      <c r="E99" s="2">
        <v>0</v>
      </c>
      <c r="F99" s="2">
        <v>0</v>
      </c>
      <c r="G99" s="2">
        <v>0.98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0.02</v>
      </c>
      <c r="N99" s="2">
        <v>0</v>
      </c>
    </row>
    <row r="100" spans="1:14">
      <c r="A100" s="2">
        <v>99</v>
      </c>
      <c r="B100" s="2" t="s">
        <v>20</v>
      </c>
      <c r="C100" s="2" t="s">
        <v>20</v>
      </c>
      <c r="D100" s="2">
        <v>0</v>
      </c>
      <c r="E100" s="2">
        <v>0.99</v>
      </c>
      <c r="F100" s="2">
        <v>0</v>
      </c>
      <c r="G100" s="2">
        <v>0</v>
      </c>
      <c r="H100" s="2">
        <v>0.01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</row>
    <row r="101" spans="1:14">
      <c r="A101" s="2">
        <v>100</v>
      </c>
      <c r="B101" s="2" t="s">
        <v>33</v>
      </c>
      <c r="C101" s="2" t="s">
        <v>33</v>
      </c>
      <c r="D101" s="2">
        <v>0.89</v>
      </c>
      <c r="E101" s="2">
        <v>0</v>
      </c>
      <c r="F101" s="2">
        <v>0</v>
      </c>
      <c r="G101" s="2">
        <v>0</v>
      </c>
      <c r="H101" s="2">
        <v>0.02</v>
      </c>
      <c r="I101" s="2">
        <v>0</v>
      </c>
      <c r="J101" s="2">
        <v>0.04</v>
      </c>
      <c r="K101" s="2">
        <v>0.05</v>
      </c>
      <c r="L101" s="2">
        <v>0</v>
      </c>
      <c r="M101" s="2">
        <v>0</v>
      </c>
      <c r="N101" s="2">
        <v>0</v>
      </c>
    </row>
    <row r="102" spans="1:14">
      <c r="A102" s="2">
        <v>101</v>
      </c>
      <c r="B102" s="2" t="s">
        <v>39</v>
      </c>
      <c r="C102" s="2" t="s">
        <v>39</v>
      </c>
      <c r="D102" s="2">
        <v>0.03</v>
      </c>
      <c r="E102" s="2">
        <v>0</v>
      </c>
      <c r="F102" s="2">
        <v>0</v>
      </c>
      <c r="G102" s="2">
        <v>0</v>
      </c>
      <c r="H102" s="2">
        <v>0.7</v>
      </c>
      <c r="I102" s="2">
        <v>0</v>
      </c>
      <c r="J102" s="2">
        <v>0.23</v>
      </c>
      <c r="K102" s="2">
        <v>0</v>
      </c>
      <c r="L102" s="2">
        <v>0</v>
      </c>
      <c r="M102" s="2">
        <v>0.04</v>
      </c>
      <c r="N102" s="2">
        <v>0</v>
      </c>
    </row>
    <row r="103" spans="1:14">
      <c r="A103" s="2">
        <v>102</v>
      </c>
      <c r="B103" s="2" t="s">
        <v>20</v>
      </c>
      <c r="C103" s="2" t="s">
        <v>20</v>
      </c>
      <c r="D103" s="2">
        <v>0</v>
      </c>
      <c r="E103" s="2">
        <v>1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</row>
    <row r="104" spans="1:14">
      <c r="A104" s="2">
        <v>103</v>
      </c>
      <c r="B104" s="2" t="s">
        <v>59</v>
      </c>
      <c r="C104" s="2" t="s">
        <v>59</v>
      </c>
      <c r="D104" s="2">
        <v>0.02</v>
      </c>
      <c r="E104" s="2">
        <v>0</v>
      </c>
      <c r="F104" s="2">
        <v>0</v>
      </c>
      <c r="G104" s="2">
        <v>0</v>
      </c>
      <c r="H104" s="2">
        <v>0.2</v>
      </c>
      <c r="I104" s="2">
        <v>0</v>
      </c>
      <c r="J104" s="2">
        <v>0.1</v>
      </c>
      <c r="K104" s="2">
        <v>0</v>
      </c>
      <c r="L104" s="2">
        <v>0</v>
      </c>
      <c r="M104" s="2">
        <v>0.68</v>
      </c>
      <c r="N104" s="2">
        <v>0</v>
      </c>
    </row>
    <row r="105" spans="1:14">
      <c r="A105" s="2">
        <v>104</v>
      </c>
      <c r="B105" s="2" t="s">
        <v>20</v>
      </c>
      <c r="C105" s="2" t="s">
        <v>20</v>
      </c>
      <c r="D105" s="2">
        <v>0</v>
      </c>
      <c r="E105" s="2">
        <v>0.93</v>
      </c>
      <c r="F105" s="2">
        <v>0</v>
      </c>
      <c r="G105" s="2">
        <v>0</v>
      </c>
      <c r="H105" s="2">
        <v>0.01</v>
      </c>
      <c r="I105" s="2">
        <v>0</v>
      </c>
      <c r="J105" s="2">
        <v>0</v>
      </c>
      <c r="K105" s="2">
        <v>0</v>
      </c>
      <c r="L105" s="2">
        <v>0</v>
      </c>
      <c r="M105" s="2">
        <v>0.06</v>
      </c>
      <c r="N105" s="2">
        <v>0</v>
      </c>
    </row>
    <row r="106" spans="1:14">
      <c r="A106" s="2">
        <v>105</v>
      </c>
      <c r="B106" s="2" t="s">
        <v>43</v>
      </c>
      <c r="C106" s="2" t="s">
        <v>43</v>
      </c>
      <c r="D106" s="2">
        <v>0</v>
      </c>
      <c r="E106" s="2">
        <v>0</v>
      </c>
      <c r="F106" s="2">
        <v>0</v>
      </c>
      <c r="G106" s="2">
        <v>0</v>
      </c>
      <c r="H106" s="2">
        <v>0.03</v>
      </c>
      <c r="I106" s="2">
        <v>0</v>
      </c>
      <c r="J106" s="2">
        <v>0.96</v>
      </c>
      <c r="K106" s="2">
        <v>0.01</v>
      </c>
      <c r="L106" s="2">
        <v>0</v>
      </c>
      <c r="M106" s="2">
        <v>0</v>
      </c>
      <c r="N106" s="2">
        <v>0</v>
      </c>
    </row>
    <row r="107" spans="1:14">
      <c r="A107" s="2">
        <v>106</v>
      </c>
      <c r="B107" s="2" t="s">
        <v>20</v>
      </c>
      <c r="C107" s="2" t="s">
        <v>20</v>
      </c>
      <c r="D107" s="2">
        <v>0</v>
      </c>
      <c r="E107" s="2">
        <v>1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</row>
    <row r="108" spans="1:14">
      <c r="A108" s="2">
        <v>107</v>
      </c>
      <c r="B108" s="2" t="s">
        <v>20</v>
      </c>
      <c r="C108" s="2" t="s">
        <v>20</v>
      </c>
      <c r="D108" s="2">
        <v>0</v>
      </c>
      <c r="E108" s="2">
        <v>1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</row>
    <row r="109" spans="1:14">
      <c r="A109" s="2">
        <v>108</v>
      </c>
      <c r="B109" s="2" t="s">
        <v>20</v>
      </c>
      <c r="C109" s="2" t="s">
        <v>20</v>
      </c>
      <c r="D109" s="2">
        <v>0</v>
      </c>
      <c r="E109" s="2">
        <v>1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</row>
    <row r="110" spans="1:14">
      <c r="A110" s="2">
        <v>109</v>
      </c>
      <c r="B110" s="2" t="s">
        <v>39</v>
      </c>
      <c r="C110" s="2" t="s">
        <v>39</v>
      </c>
      <c r="D110" s="2">
        <v>0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</row>
    <row r="111" spans="1:14">
      <c r="A111" s="2">
        <v>110</v>
      </c>
      <c r="B111" s="2" t="s">
        <v>43</v>
      </c>
      <c r="C111" s="2" t="s">
        <v>43</v>
      </c>
      <c r="D111" s="2">
        <v>0.03</v>
      </c>
      <c r="E111" s="2">
        <v>0.11</v>
      </c>
      <c r="F111" s="2">
        <v>0</v>
      </c>
      <c r="G111" s="2">
        <v>0</v>
      </c>
      <c r="H111" s="2">
        <v>0.16</v>
      </c>
      <c r="I111" s="2">
        <v>0</v>
      </c>
      <c r="J111" s="2">
        <v>0.64</v>
      </c>
      <c r="K111" s="2">
        <v>0</v>
      </c>
      <c r="L111" s="2">
        <v>0</v>
      </c>
      <c r="M111" s="2">
        <v>0.06</v>
      </c>
      <c r="N111" s="2">
        <v>0</v>
      </c>
    </row>
    <row r="112" spans="1:14">
      <c r="A112" s="2">
        <v>111</v>
      </c>
      <c r="B112" s="2" t="s">
        <v>59</v>
      </c>
      <c r="C112" s="2" t="s">
        <v>59</v>
      </c>
      <c r="D112" s="2">
        <v>0.08</v>
      </c>
      <c r="E112" s="2">
        <v>0</v>
      </c>
      <c r="F112" s="2">
        <v>0</v>
      </c>
      <c r="G112" s="2">
        <v>0</v>
      </c>
      <c r="H112" s="2">
        <v>0.13</v>
      </c>
      <c r="I112" s="2">
        <v>0.01</v>
      </c>
      <c r="J112" s="2">
        <v>0.11</v>
      </c>
      <c r="K112" s="2">
        <v>0</v>
      </c>
      <c r="L112" s="2">
        <v>0</v>
      </c>
      <c r="M112" s="2">
        <v>0.67</v>
      </c>
      <c r="N112" s="2">
        <v>0</v>
      </c>
    </row>
    <row r="113" spans="1:14">
      <c r="A113" s="2">
        <v>112</v>
      </c>
      <c r="B113" s="2" t="s">
        <v>20</v>
      </c>
      <c r="C113" s="2" t="s">
        <v>20</v>
      </c>
      <c r="D113" s="2">
        <v>0</v>
      </c>
      <c r="E113" s="2">
        <v>1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</row>
    <row r="114" spans="1:14">
      <c r="A114" s="2">
        <v>113</v>
      </c>
      <c r="B114" s="2" t="s">
        <v>39</v>
      </c>
      <c r="C114" s="2" t="s">
        <v>39</v>
      </c>
      <c r="D114" s="2">
        <v>0.01</v>
      </c>
      <c r="E114" s="2">
        <v>0</v>
      </c>
      <c r="F114" s="2">
        <v>0</v>
      </c>
      <c r="G114" s="2">
        <v>0</v>
      </c>
      <c r="H114" s="2">
        <v>0.89</v>
      </c>
      <c r="I114" s="2">
        <v>0</v>
      </c>
      <c r="J114" s="2">
        <v>0.03</v>
      </c>
      <c r="K114" s="2">
        <v>7.0000000000000007E-2</v>
      </c>
      <c r="L114" s="2">
        <v>0</v>
      </c>
      <c r="M114" s="2">
        <v>0</v>
      </c>
      <c r="N114" s="2">
        <v>0</v>
      </c>
    </row>
    <row r="115" spans="1:14">
      <c r="A115" s="2">
        <v>114</v>
      </c>
      <c r="B115" s="2" t="s">
        <v>20</v>
      </c>
      <c r="C115" s="2" t="s">
        <v>20</v>
      </c>
      <c r="D115" s="2">
        <v>0</v>
      </c>
      <c r="E115" s="2">
        <v>1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</row>
    <row r="116" spans="1:14">
      <c r="A116" s="2">
        <v>115</v>
      </c>
      <c r="B116" s="2" t="s">
        <v>20</v>
      </c>
      <c r="C116" s="2" t="s">
        <v>20</v>
      </c>
      <c r="D116" s="2">
        <v>0.01</v>
      </c>
      <c r="E116" s="2">
        <v>0.99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</row>
    <row r="117" spans="1:14">
      <c r="A117" s="2">
        <v>116</v>
      </c>
      <c r="B117" s="2" t="s">
        <v>43</v>
      </c>
      <c r="C117" s="2" t="s">
        <v>43</v>
      </c>
      <c r="D117" s="2">
        <v>0</v>
      </c>
      <c r="E117" s="2">
        <v>0</v>
      </c>
      <c r="F117" s="2">
        <v>0</v>
      </c>
      <c r="G117" s="2">
        <v>0</v>
      </c>
      <c r="H117" s="2">
        <v>0.04</v>
      </c>
      <c r="I117" s="2">
        <v>0</v>
      </c>
      <c r="J117" s="2">
        <v>0.89</v>
      </c>
      <c r="K117" s="2">
        <v>0</v>
      </c>
      <c r="L117" s="2">
        <v>0</v>
      </c>
      <c r="M117" s="2">
        <v>7.0000000000000007E-2</v>
      </c>
      <c r="N117" s="2">
        <v>0</v>
      </c>
    </row>
    <row r="118" spans="1:14">
      <c r="A118" s="2">
        <v>117</v>
      </c>
      <c r="B118" s="2" t="s">
        <v>33</v>
      </c>
      <c r="C118" s="2" t="s">
        <v>33</v>
      </c>
      <c r="D118" s="2">
        <v>0.99</v>
      </c>
      <c r="E118" s="2">
        <v>0</v>
      </c>
      <c r="F118" s="2">
        <v>0</v>
      </c>
      <c r="G118" s="2">
        <v>0</v>
      </c>
      <c r="H118" s="2">
        <v>0.01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</row>
    <row r="119" spans="1:14">
      <c r="A119" s="2">
        <v>118</v>
      </c>
      <c r="B119" s="2" t="s">
        <v>20</v>
      </c>
      <c r="C119" s="2" t="s">
        <v>20</v>
      </c>
      <c r="D119" s="2">
        <v>0</v>
      </c>
      <c r="E119" s="2">
        <v>1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</row>
    <row r="120" spans="1:14">
      <c r="A120" s="2">
        <v>119</v>
      </c>
      <c r="B120" s="2" t="s">
        <v>59</v>
      </c>
      <c r="C120" s="2" t="s">
        <v>59</v>
      </c>
      <c r="D120" s="2">
        <v>0.05</v>
      </c>
      <c r="E120" s="2">
        <v>0</v>
      </c>
      <c r="F120" s="2">
        <v>0</v>
      </c>
      <c r="G120" s="2">
        <v>0</v>
      </c>
      <c r="H120" s="2">
        <v>0.02</v>
      </c>
      <c r="I120" s="2">
        <v>0</v>
      </c>
      <c r="J120" s="2">
        <v>0</v>
      </c>
      <c r="K120" s="2">
        <v>0</v>
      </c>
      <c r="L120" s="2">
        <v>0</v>
      </c>
      <c r="M120" s="2">
        <v>0.93</v>
      </c>
      <c r="N120" s="2">
        <v>0</v>
      </c>
    </row>
    <row r="121" spans="1:14">
      <c r="A121" s="2">
        <v>120</v>
      </c>
      <c r="B121" s="2" t="s">
        <v>48</v>
      </c>
      <c r="C121" s="2" t="s">
        <v>48</v>
      </c>
      <c r="D121" s="2">
        <v>0</v>
      </c>
      <c r="E121" s="2">
        <v>0.02</v>
      </c>
      <c r="F121" s="2">
        <v>0.01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0.97</v>
      </c>
      <c r="M121" s="2">
        <v>0</v>
      </c>
      <c r="N121" s="2">
        <v>0</v>
      </c>
    </row>
    <row r="122" spans="1:14">
      <c r="A122" s="2">
        <v>121</v>
      </c>
      <c r="B122" s="2" t="s">
        <v>99</v>
      </c>
      <c r="C122" s="2" t="s">
        <v>99</v>
      </c>
      <c r="D122" s="2">
        <v>0</v>
      </c>
      <c r="E122" s="2">
        <v>0.06</v>
      </c>
      <c r="F122" s="2">
        <v>0</v>
      </c>
      <c r="G122" s="2">
        <v>0</v>
      </c>
      <c r="H122" s="2">
        <v>7.0000000000000007E-2</v>
      </c>
      <c r="I122" s="2">
        <v>0</v>
      </c>
      <c r="J122" s="2">
        <v>7.0000000000000007E-2</v>
      </c>
      <c r="K122" s="2">
        <v>0</v>
      </c>
      <c r="L122" s="2">
        <v>0</v>
      </c>
      <c r="M122" s="2">
        <v>0</v>
      </c>
      <c r="N122" s="2">
        <v>0.8</v>
      </c>
    </row>
    <row r="123" spans="1:14">
      <c r="A123" s="2">
        <v>122</v>
      </c>
      <c r="B123" s="2" t="s">
        <v>33</v>
      </c>
      <c r="C123" s="2" t="s">
        <v>33</v>
      </c>
      <c r="D123" s="2">
        <v>0.72</v>
      </c>
      <c r="E123" s="2">
        <v>0.03</v>
      </c>
      <c r="F123" s="2">
        <v>0</v>
      </c>
      <c r="G123" s="2">
        <v>0</v>
      </c>
      <c r="H123" s="2">
        <v>0.06</v>
      </c>
      <c r="I123" s="2">
        <v>0</v>
      </c>
      <c r="J123" s="2">
        <v>0.02</v>
      </c>
      <c r="K123" s="2">
        <v>0</v>
      </c>
      <c r="L123" s="2">
        <v>0</v>
      </c>
      <c r="M123" s="2">
        <v>0.17</v>
      </c>
      <c r="N123" s="2">
        <v>0</v>
      </c>
    </row>
    <row r="124" spans="1:14">
      <c r="A124" s="2">
        <v>123</v>
      </c>
      <c r="B124" s="2" t="s">
        <v>33</v>
      </c>
      <c r="C124" s="2" t="s">
        <v>33</v>
      </c>
      <c r="D124" s="2">
        <v>0.65</v>
      </c>
      <c r="E124" s="2">
        <v>0</v>
      </c>
      <c r="F124" s="2">
        <v>0</v>
      </c>
      <c r="G124" s="2">
        <v>0</v>
      </c>
      <c r="H124" s="2">
        <v>0.01</v>
      </c>
      <c r="I124" s="2">
        <v>0</v>
      </c>
      <c r="J124" s="2">
        <v>0.01</v>
      </c>
      <c r="K124" s="2">
        <v>0</v>
      </c>
      <c r="L124" s="2">
        <v>0</v>
      </c>
      <c r="M124" s="2">
        <v>0.33</v>
      </c>
      <c r="N124" s="2">
        <v>0</v>
      </c>
    </row>
    <row r="125" spans="1:14">
      <c r="A125" s="2">
        <v>124</v>
      </c>
      <c r="B125" s="2" t="s">
        <v>20</v>
      </c>
      <c r="C125" s="2" t="s">
        <v>20</v>
      </c>
      <c r="D125" s="2">
        <v>0</v>
      </c>
      <c r="E125" s="2">
        <v>1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</row>
    <row r="126" spans="1:14">
      <c r="A126" s="2">
        <v>125</v>
      </c>
      <c r="B126" s="2" t="s">
        <v>43</v>
      </c>
      <c r="C126" s="2" t="s">
        <v>43</v>
      </c>
      <c r="D126" s="2">
        <v>0.03</v>
      </c>
      <c r="E126" s="2">
        <v>0.01</v>
      </c>
      <c r="F126" s="2">
        <v>0</v>
      </c>
      <c r="G126" s="2">
        <v>0</v>
      </c>
      <c r="H126" s="2">
        <v>0.15</v>
      </c>
      <c r="I126" s="2">
        <v>0</v>
      </c>
      <c r="J126" s="2">
        <v>0.75</v>
      </c>
      <c r="K126" s="2">
        <v>0</v>
      </c>
      <c r="L126" s="2">
        <v>0</v>
      </c>
      <c r="M126" s="2">
        <v>0.06</v>
      </c>
      <c r="N126" s="2">
        <v>0</v>
      </c>
    </row>
    <row r="127" spans="1:14">
      <c r="A127" s="2">
        <v>126</v>
      </c>
      <c r="B127" s="2" t="s">
        <v>52</v>
      </c>
      <c r="C127" s="2" t="s">
        <v>52</v>
      </c>
      <c r="D127" s="2">
        <v>0</v>
      </c>
      <c r="E127" s="2">
        <v>0</v>
      </c>
      <c r="F127" s="2">
        <v>0</v>
      </c>
      <c r="G127" s="2">
        <v>0.93</v>
      </c>
      <c r="H127" s="2">
        <v>0</v>
      </c>
      <c r="I127" s="2">
        <v>0</v>
      </c>
      <c r="J127" s="2">
        <v>0.04</v>
      </c>
      <c r="K127" s="2">
        <v>0</v>
      </c>
      <c r="L127" s="2">
        <v>0</v>
      </c>
      <c r="M127" s="2">
        <v>0.03</v>
      </c>
      <c r="N127" s="2">
        <v>0</v>
      </c>
    </row>
    <row r="128" spans="1:14">
      <c r="A128" s="2">
        <v>127</v>
      </c>
      <c r="B128" s="2" t="s">
        <v>52</v>
      </c>
      <c r="C128" s="2" t="s">
        <v>52</v>
      </c>
      <c r="D128" s="2">
        <v>0</v>
      </c>
      <c r="E128" s="2">
        <v>0</v>
      </c>
      <c r="F128" s="2">
        <v>0</v>
      </c>
      <c r="G128" s="2">
        <v>0.97</v>
      </c>
      <c r="H128" s="2">
        <v>0</v>
      </c>
      <c r="I128" s="2">
        <v>0</v>
      </c>
      <c r="J128" s="2">
        <v>0.03</v>
      </c>
      <c r="K128" s="2">
        <v>0</v>
      </c>
      <c r="L128" s="2">
        <v>0</v>
      </c>
      <c r="M128" s="2">
        <v>0</v>
      </c>
      <c r="N128" s="2">
        <v>0</v>
      </c>
    </row>
    <row r="129" spans="1:14">
      <c r="A129" s="2">
        <v>128</v>
      </c>
      <c r="B129" s="2" t="s">
        <v>20</v>
      </c>
      <c r="C129" s="2" t="s">
        <v>20</v>
      </c>
      <c r="D129" s="2">
        <v>0</v>
      </c>
      <c r="E129" s="2">
        <v>1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</row>
    <row r="130" spans="1:14">
      <c r="A130" s="2">
        <v>129</v>
      </c>
      <c r="B130" s="2" t="s">
        <v>39</v>
      </c>
      <c r="C130" s="2" t="s">
        <v>39</v>
      </c>
      <c r="D130" s="2">
        <v>0.01</v>
      </c>
      <c r="E130" s="2">
        <v>0</v>
      </c>
      <c r="F130" s="2">
        <v>0</v>
      </c>
      <c r="G130" s="2">
        <v>0</v>
      </c>
      <c r="H130" s="2">
        <v>0.99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</row>
    <row r="131" spans="1:14">
      <c r="A131" s="2">
        <v>130</v>
      </c>
      <c r="B131" s="2" t="s">
        <v>59</v>
      </c>
      <c r="C131" s="2" t="s">
        <v>59</v>
      </c>
      <c r="D131" s="2">
        <v>0</v>
      </c>
      <c r="E131" s="2">
        <v>0.03</v>
      </c>
      <c r="F131" s="2">
        <v>0</v>
      </c>
      <c r="G131" s="2">
        <v>0</v>
      </c>
      <c r="H131" s="2">
        <v>0.23</v>
      </c>
      <c r="I131" s="2">
        <v>0</v>
      </c>
      <c r="J131" s="2">
        <v>0</v>
      </c>
      <c r="K131" s="2">
        <v>0</v>
      </c>
      <c r="L131" s="2">
        <v>0</v>
      </c>
      <c r="M131" s="2">
        <v>0.74</v>
      </c>
      <c r="N131" s="2">
        <v>0</v>
      </c>
    </row>
    <row r="132" spans="1:14">
      <c r="A132" s="2">
        <v>131</v>
      </c>
      <c r="B132" s="2" t="s">
        <v>39</v>
      </c>
      <c r="C132" s="2" t="s">
        <v>39</v>
      </c>
      <c r="D132" s="2">
        <v>0</v>
      </c>
      <c r="E132" s="2">
        <v>0</v>
      </c>
      <c r="F132" s="2">
        <v>0</v>
      </c>
      <c r="G132" s="2">
        <v>0</v>
      </c>
      <c r="H132" s="2">
        <v>0.99</v>
      </c>
      <c r="I132" s="2">
        <v>0</v>
      </c>
      <c r="J132" s="2">
        <v>0.01</v>
      </c>
      <c r="K132" s="2">
        <v>0</v>
      </c>
      <c r="L132" s="2">
        <v>0</v>
      </c>
      <c r="M132" s="2">
        <v>0</v>
      </c>
      <c r="N132" s="2">
        <v>0</v>
      </c>
    </row>
    <row r="133" spans="1:14">
      <c r="A133" s="2">
        <v>132</v>
      </c>
      <c r="B133" s="2" t="s">
        <v>20</v>
      </c>
      <c r="C133" s="2" t="s">
        <v>20</v>
      </c>
      <c r="D133" s="2">
        <v>0</v>
      </c>
      <c r="E133" s="2">
        <v>0.95</v>
      </c>
      <c r="F133" s="2">
        <v>0</v>
      </c>
      <c r="G133" s="2">
        <v>0</v>
      </c>
      <c r="H133" s="2">
        <v>0</v>
      </c>
      <c r="I133" s="2">
        <v>0</v>
      </c>
      <c r="J133" s="2">
        <v>0.05</v>
      </c>
      <c r="K133" s="2">
        <v>0</v>
      </c>
      <c r="L133" s="2">
        <v>0</v>
      </c>
      <c r="M133" s="2">
        <v>0</v>
      </c>
      <c r="N133" s="2">
        <v>0</v>
      </c>
    </row>
    <row r="134" spans="1:14">
      <c r="A134" s="2">
        <v>133</v>
      </c>
      <c r="B134" s="2" t="s">
        <v>20</v>
      </c>
      <c r="C134" s="2" t="s">
        <v>20</v>
      </c>
      <c r="D134" s="2">
        <v>0</v>
      </c>
      <c r="E134" s="2">
        <v>1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</row>
    <row r="135" spans="1:14">
      <c r="A135" s="2">
        <v>134</v>
      </c>
      <c r="B135" s="2" t="s">
        <v>59</v>
      </c>
      <c r="C135" s="2" t="s">
        <v>59</v>
      </c>
      <c r="D135" s="2">
        <v>0</v>
      </c>
      <c r="E135" s="2">
        <v>0</v>
      </c>
      <c r="F135" s="2">
        <v>0</v>
      </c>
      <c r="G135" s="2">
        <v>0.24</v>
      </c>
      <c r="H135" s="2">
        <v>0</v>
      </c>
      <c r="I135" s="2">
        <v>0</v>
      </c>
      <c r="J135" s="2">
        <v>0.08</v>
      </c>
      <c r="K135" s="2">
        <v>0</v>
      </c>
      <c r="L135" s="2">
        <v>0</v>
      </c>
      <c r="M135" s="2">
        <v>0.68</v>
      </c>
      <c r="N135" s="2">
        <v>0</v>
      </c>
    </row>
    <row r="136" spans="1:14">
      <c r="A136" s="2">
        <v>135</v>
      </c>
      <c r="B136" s="2" t="s">
        <v>20</v>
      </c>
      <c r="C136" s="2" t="s">
        <v>20</v>
      </c>
      <c r="D136" s="2">
        <v>0</v>
      </c>
      <c r="E136" s="2">
        <v>1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</row>
    <row r="137" spans="1:14">
      <c r="A137" s="2">
        <v>136</v>
      </c>
      <c r="B137" s="2" t="s">
        <v>20</v>
      </c>
      <c r="C137" s="2" t="s">
        <v>20</v>
      </c>
      <c r="D137" s="2">
        <v>7.0000000000000007E-2</v>
      </c>
      <c r="E137" s="2">
        <v>0.93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</row>
    <row r="138" spans="1:14">
      <c r="A138" s="2">
        <v>137</v>
      </c>
      <c r="B138" s="2" t="s">
        <v>99</v>
      </c>
      <c r="C138" s="2" t="s">
        <v>99</v>
      </c>
      <c r="D138" s="2">
        <v>0.2</v>
      </c>
      <c r="E138" s="2">
        <v>0</v>
      </c>
      <c r="F138" s="2">
        <v>0</v>
      </c>
      <c r="G138" s="2">
        <v>0</v>
      </c>
      <c r="H138" s="2">
        <v>0.01</v>
      </c>
      <c r="I138" s="2">
        <v>0</v>
      </c>
      <c r="J138" s="2">
        <v>0.05</v>
      </c>
      <c r="K138" s="2">
        <v>0</v>
      </c>
      <c r="L138" s="2">
        <v>0</v>
      </c>
      <c r="M138" s="2">
        <v>0</v>
      </c>
      <c r="N138" s="2">
        <v>0.74</v>
      </c>
    </row>
    <row r="139" spans="1:14">
      <c r="A139" s="2">
        <v>138</v>
      </c>
      <c r="B139" s="2" t="s">
        <v>20</v>
      </c>
      <c r="C139" s="2" t="s">
        <v>20</v>
      </c>
      <c r="D139" s="2">
        <v>0</v>
      </c>
      <c r="E139" s="2">
        <v>1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</row>
    <row r="140" spans="1:14">
      <c r="A140" s="2">
        <v>139</v>
      </c>
      <c r="B140" s="2" t="s">
        <v>43</v>
      </c>
      <c r="C140" s="2" t="s">
        <v>43</v>
      </c>
      <c r="D140" s="2">
        <v>0.15</v>
      </c>
      <c r="E140" s="2">
        <v>0</v>
      </c>
      <c r="F140" s="2">
        <v>0</v>
      </c>
      <c r="G140" s="2">
        <v>0</v>
      </c>
      <c r="H140" s="2">
        <v>0.13</v>
      </c>
      <c r="I140" s="2">
        <v>0</v>
      </c>
      <c r="J140" s="2">
        <v>0.68</v>
      </c>
      <c r="K140" s="2">
        <v>0</v>
      </c>
      <c r="L140" s="2">
        <v>0</v>
      </c>
      <c r="M140" s="2">
        <v>0.04</v>
      </c>
      <c r="N140" s="2">
        <v>0</v>
      </c>
    </row>
    <row r="141" spans="1:14">
      <c r="A141" s="2">
        <v>140</v>
      </c>
      <c r="B141" s="2" t="s">
        <v>43</v>
      </c>
      <c r="C141" s="2" t="s">
        <v>43</v>
      </c>
      <c r="D141" s="2">
        <v>0</v>
      </c>
      <c r="E141" s="2">
        <v>0</v>
      </c>
      <c r="F141" s="2">
        <v>0</v>
      </c>
      <c r="G141" s="2">
        <v>0.01</v>
      </c>
      <c r="H141" s="2">
        <v>0.01</v>
      </c>
      <c r="I141" s="2">
        <v>0</v>
      </c>
      <c r="J141" s="2">
        <v>0.98</v>
      </c>
      <c r="K141" s="2">
        <v>0</v>
      </c>
      <c r="L141" s="2">
        <v>0</v>
      </c>
      <c r="M141" s="2">
        <v>0</v>
      </c>
      <c r="N141" s="2">
        <v>0</v>
      </c>
    </row>
    <row r="142" spans="1:14">
      <c r="A142" s="2">
        <v>141</v>
      </c>
      <c r="B142" s="2" t="s">
        <v>20</v>
      </c>
      <c r="C142" s="2" t="s">
        <v>20</v>
      </c>
      <c r="D142" s="2">
        <v>0</v>
      </c>
      <c r="E142" s="2">
        <v>1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</row>
    <row r="143" spans="1:14">
      <c r="A143" s="2">
        <v>142</v>
      </c>
      <c r="B143" s="2" t="s">
        <v>59</v>
      </c>
      <c r="C143" s="2" t="s">
        <v>59</v>
      </c>
      <c r="D143" s="2">
        <v>0</v>
      </c>
      <c r="E143" s="2">
        <v>0.02</v>
      </c>
      <c r="F143" s="2">
        <v>0</v>
      </c>
      <c r="G143" s="2">
        <v>0</v>
      </c>
      <c r="H143" s="2">
        <v>0.04</v>
      </c>
      <c r="I143" s="2">
        <v>0</v>
      </c>
      <c r="J143" s="2">
        <v>0.19</v>
      </c>
      <c r="K143" s="2">
        <v>0</v>
      </c>
      <c r="L143" s="2">
        <v>0</v>
      </c>
      <c r="M143" s="2">
        <v>0.75</v>
      </c>
      <c r="N143" s="2">
        <v>0</v>
      </c>
    </row>
    <row r="144" spans="1:14">
      <c r="A144" s="2">
        <v>143</v>
      </c>
      <c r="B144" s="2" t="s">
        <v>48</v>
      </c>
      <c r="C144" s="2" t="s">
        <v>48</v>
      </c>
      <c r="D144" s="2">
        <v>0</v>
      </c>
      <c r="E144" s="2">
        <v>0.06</v>
      </c>
      <c r="F144" s="2">
        <v>0</v>
      </c>
      <c r="G144" s="2">
        <v>0</v>
      </c>
      <c r="H144" s="2">
        <v>0.06</v>
      </c>
      <c r="I144" s="2">
        <v>0</v>
      </c>
      <c r="J144" s="2">
        <v>0.02</v>
      </c>
      <c r="K144" s="2">
        <v>0</v>
      </c>
      <c r="L144" s="2">
        <v>0.86</v>
      </c>
      <c r="M144" s="2">
        <v>0</v>
      </c>
      <c r="N144" s="2">
        <v>0</v>
      </c>
    </row>
    <row r="145" spans="1:14">
      <c r="A145" s="2">
        <v>144</v>
      </c>
      <c r="B145" s="2" t="s">
        <v>39</v>
      </c>
      <c r="C145" s="2" t="s">
        <v>39</v>
      </c>
      <c r="D145" s="2">
        <v>0.04</v>
      </c>
      <c r="E145" s="2">
        <v>0</v>
      </c>
      <c r="F145" s="2">
        <v>0</v>
      </c>
      <c r="G145" s="2">
        <v>0</v>
      </c>
      <c r="H145" s="2">
        <v>0.9</v>
      </c>
      <c r="I145" s="2">
        <v>0</v>
      </c>
      <c r="J145" s="2">
        <v>0.04</v>
      </c>
      <c r="K145" s="2">
        <v>0</v>
      </c>
      <c r="L145" s="2">
        <v>0</v>
      </c>
      <c r="M145" s="2">
        <v>0.02</v>
      </c>
      <c r="N145" s="2">
        <v>0</v>
      </c>
    </row>
    <row r="146" spans="1:14">
      <c r="A146" s="2">
        <v>145</v>
      </c>
      <c r="B146" s="2" t="s">
        <v>20</v>
      </c>
      <c r="C146" s="2" t="s">
        <v>20</v>
      </c>
      <c r="D146" s="2">
        <v>0</v>
      </c>
      <c r="E146" s="2">
        <v>1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</row>
    <row r="147" spans="1:14">
      <c r="A147" s="2">
        <v>146</v>
      </c>
      <c r="B147" s="2" t="s">
        <v>39</v>
      </c>
      <c r="C147" s="2" t="s">
        <v>39</v>
      </c>
      <c r="D147" s="2">
        <v>0</v>
      </c>
      <c r="E147" s="2">
        <v>7.0000000000000007E-2</v>
      </c>
      <c r="F147" s="2">
        <v>0</v>
      </c>
      <c r="G147" s="2">
        <v>0</v>
      </c>
      <c r="H147" s="2">
        <v>0.69</v>
      </c>
      <c r="I147" s="2">
        <v>0.01</v>
      </c>
      <c r="J147" s="2">
        <v>0.02</v>
      </c>
      <c r="K147" s="2">
        <v>0</v>
      </c>
      <c r="L147" s="2">
        <v>0</v>
      </c>
      <c r="M147" s="2">
        <v>0.21</v>
      </c>
      <c r="N147" s="2">
        <v>0</v>
      </c>
    </row>
    <row r="148" spans="1:14">
      <c r="A148" s="2">
        <v>147</v>
      </c>
      <c r="B148" s="2" t="s">
        <v>39</v>
      </c>
      <c r="C148" s="2" t="s">
        <v>39</v>
      </c>
      <c r="D148" s="2">
        <v>0.01</v>
      </c>
      <c r="E148" s="2">
        <v>0</v>
      </c>
      <c r="F148" s="2">
        <v>0</v>
      </c>
      <c r="G148" s="2">
        <v>0</v>
      </c>
      <c r="H148" s="2">
        <v>0.85</v>
      </c>
      <c r="I148" s="2">
        <v>0.01</v>
      </c>
      <c r="J148" s="2">
        <v>0.01</v>
      </c>
      <c r="K148" s="2">
        <v>0</v>
      </c>
      <c r="L148" s="2">
        <v>0</v>
      </c>
      <c r="M148" s="2">
        <v>0.12</v>
      </c>
      <c r="N148" s="2">
        <v>0</v>
      </c>
    </row>
    <row r="149" spans="1:14">
      <c r="A149" s="2">
        <v>148</v>
      </c>
      <c r="B149" s="2" t="s">
        <v>52</v>
      </c>
      <c r="C149" s="2" t="s">
        <v>52</v>
      </c>
      <c r="D149" s="2">
        <v>0</v>
      </c>
      <c r="E149" s="2">
        <v>0</v>
      </c>
      <c r="F149" s="2">
        <v>0</v>
      </c>
      <c r="G149" s="2">
        <v>1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</row>
    <row r="150" spans="1:14">
      <c r="A150" s="2">
        <v>149</v>
      </c>
      <c r="B150" s="2" t="s">
        <v>20</v>
      </c>
      <c r="C150" s="2" t="s">
        <v>20</v>
      </c>
      <c r="D150" s="2">
        <v>0</v>
      </c>
      <c r="E150" s="2">
        <v>1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</row>
    <row r="151" spans="1:14">
      <c r="A151" s="2">
        <v>150</v>
      </c>
      <c r="B151" s="2" t="s">
        <v>20</v>
      </c>
      <c r="C151" s="2" t="s">
        <v>20</v>
      </c>
      <c r="D151" s="2">
        <v>0.01</v>
      </c>
      <c r="E151" s="2">
        <v>0.99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</row>
    <row r="152" spans="1:14">
      <c r="A152" s="2">
        <v>151</v>
      </c>
      <c r="B152" s="2" t="s">
        <v>52</v>
      </c>
      <c r="C152" s="2" t="s">
        <v>52</v>
      </c>
      <c r="D152" s="2">
        <v>0</v>
      </c>
      <c r="E152" s="2">
        <v>0</v>
      </c>
      <c r="F152" s="2">
        <v>0</v>
      </c>
      <c r="G152" s="2">
        <v>0.92</v>
      </c>
      <c r="H152" s="2">
        <v>0</v>
      </c>
      <c r="I152" s="2">
        <v>0</v>
      </c>
      <c r="J152" s="2">
        <v>0.08</v>
      </c>
      <c r="K152" s="2">
        <v>0</v>
      </c>
      <c r="L152" s="2">
        <v>0</v>
      </c>
      <c r="M152" s="2">
        <v>0</v>
      </c>
      <c r="N152" s="2">
        <v>0</v>
      </c>
    </row>
    <row r="153" spans="1:14">
      <c r="A153" s="2">
        <v>152</v>
      </c>
      <c r="B153" s="2" t="s">
        <v>39</v>
      </c>
      <c r="C153" s="2" t="s">
        <v>39</v>
      </c>
      <c r="D153" s="2">
        <v>0.01</v>
      </c>
      <c r="E153" s="2">
        <v>0</v>
      </c>
      <c r="F153" s="2">
        <v>0</v>
      </c>
      <c r="G153" s="2">
        <v>0</v>
      </c>
      <c r="H153" s="2">
        <v>0.98</v>
      </c>
      <c r="I153" s="2">
        <v>0.01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</row>
    <row r="154" spans="1:14">
      <c r="A154" s="2">
        <v>153</v>
      </c>
      <c r="B154" s="2" t="s">
        <v>20</v>
      </c>
      <c r="C154" s="2" t="s">
        <v>20</v>
      </c>
      <c r="D154" s="2">
        <v>0</v>
      </c>
      <c r="E154" s="2">
        <v>1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</row>
    <row r="155" spans="1:14">
      <c r="A155" s="2">
        <v>154</v>
      </c>
      <c r="B155" s="2" t="s">
        <v>52</v>
      </c>
      <c r="C155" s="2" t="s">
        <v>52</v>
      </c>
      <c r="D155" s="2">
        <v>0</v>
      </c>
      <c r="E155" s="2">
        <v>0</v>
      </c>
      <c r="F155" s="2">
        <v>0</v>
      </c>
      <c r="G155" s="2">
        <v>0.98</v>
      </c>
      <c r="H155" s="2">
        <v>0</v>
      </c>
      <c r="I155" s="2">
        <v>0</v>
      </c>
      <c r="J155" s="2">
        <v>0</v>
      </c>
      <c r="K155" s="2">
        <v>0</v>
      </c>
      <c r="L155" s="2">
        <v>0.02</v>
      </c>
      <c r="M155" s="2">
        <v>0</v>
      </c>
      <c r="N155" s="2">
        <v>0</v>
      </c>
    </row>
    <row r="156" spans="1:14">
      <c r="A156" s="2">
        <v>155</v>
      </c>
      <c r="B156" s="2" t="s">
        <v>39</v>
      </c>
      <c r="C156" s="2" t="s">
        <v>39</v>
      </c>
      <c r="D156" s="2">
        <v>0.02</v>
      </c>
      <c r="E156" s="2">
        <v>0.01</v>
      </c>
      <c r="F156" s="2">
        <v>0</v>
      </c>
      <c r="G156" s="2">
        <v>0</v>
      </c>
      <c r="H156" s="2">
        <v>0.72</v>
      </c>
      <c r="I156" s="2">
        <v>0</v>
      </c>
      <c r="J156" s="2">
        <v>0.16</v>
      </c>
      <c r="K156" s="2">
        <v>0</v>
      </c>
      <c r="L156" s="2">
        <v>0</v>
      </c>
      <c r="M156" s="2">
        <v>0.09</v>
      </c>
      <c r="N156" s="2">
        <v>0</v>
      </c>
    </row>
    <row r="157" spans="1:14">
      <c r="A157" s="2">
        <v>156</v>
      </c>
      <c r="B157" s="2" t="s">
        <v>43</v>
      </c>
      <c r="C157" s="2" t="s">
        <v>43</v>
      </c>
      <c r="D157" s="2">
        <v>0.14000000000000001</v>
      </c>
      <c r="E157" s="2">
        <v>7.0000000000000007E-2</v>
      </c>
      <c r="F157" s="2">
        <v>0</v>
      </c>
      <c r="G157" s="2">
        <v>0</v>
      </c>
      <c r="H157" s="2">
        <v>0.09</v>
      </c>
      <c r="I157" s="2">
        <v>0</v>
      </c>
      <c r="J157" s="2">
        <v>0.7</v>
      </c>
      <c r="K157" s="2">
        <v>0</v>
      </c>
      <c r="L157" s="2">
        <v>0</v>
      </c>
      <c r="M157" s="2">
        <v>0</v>
      </c>
      <c r="N157" s="2">
        <v>0</v>
      </c>
    </row>
    <row r="158" spans="1:14">
      <c r="A158" s="2">
        <v>157</v>
      </c>
      <c r="B158" s="2" t="s">
        <v>20</v>
      </c>
      <c r="C158" s="2" t="s">
        <v>20</v>
      </c>
      <c r="D158" s="2">
        <v>0</v>
      </c>
      <c r="E158" s="2">
        <v>1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</row>
    <row r="159" spans="1:14">
      <c r="A159" s="2">
        <v>158</v>
      </c>
      <c r="B159" s="2" t="s">
        <v>39</v>
      </c>
      <c r="C159" s="2" t="s">
        <v>39</v>
      </c>
      <c r="D159" s="2">
        <v>0</v>
      </c>
      <c r="E159" s="2">
        <v>0</v>
      </c>
      <c r="F159" s="2">
        <v>0</v>
      </c>
      <c r="G159" s="2">
        <v>0</v>
      </c>
      <c r="H159" s="2">
        <v>0.97</v>
      </c>
      <c r="I159" s="2">
        <v>0</v>
      </c>
      <c r="J159" s="2">
        <v>0.03</v>
      </c>
      <c r="K159" s="2">
        <v>0</v>
      </c>
      <c r="L159" s="2">
        <v>0</v>
      </c>
      <c r="M159" s="2">
        <v>0</v>
      </c>
      <c r="N159" s="2">
        <v>0</v>
      </c>
    </row>
    <row r="160" spans="1:14">
      <c r="A160" s="2">
        <v>159</v>
      </c>
      <c r="B160" s="2" t="s">
        <v>43</v>
      </c>
      <c r="C160" s="2" t="s">
        <v>43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1</v>
      </c>
      <c r="K160" s="2">
        <v>0</v>
      </c>
      <c r="L160" s="2">
        <v>0</v>
      </c>
      <c r="M160" s="2">
        <v>0</v>
      </c>
      <c r="N160" s="2">
        <v>0</v>
      </c>
    </row>
    <row r="161" spans="1:14">
      <c r="A161" s="2">
        <v>160</v>
      </c>
      <c r="B161" s="2" t="s">
        <v>39</v>
      </c>
      <c r="C161" s="2" t="s">
        <v>39</v>
      </c>
      <c r="D161" s="2">
        <v>0</v>
      </c>
      <c r="E161" s="2">
        <v>0.06</v>
      </c>
      <c r="F161" s="2">
        <v>0</v>
      </c>
      <c r="G161" s="2">
        <v>0</v>
      </c>
      <c r="H161" s="2">
        <v>0.69</v>
      </c>
      <c r="I161" s="2">
        <v>0.01</v>
      </c>
      <c r="J161" s="2">
        <v>0.03</v>
      </c>
      <c r="K161" s="2">
        <v>0</v>
      </c>
      <c r="L161" s="2">
        <v>0</v>
      </c>
      <c r="M161" s="2">
        <v>0.18</v>
      </c>
      <c r="N161" s="2">
        <v>0.03</v>
      </c>
    </row>
    <row r="162" spans="1:14">
      <c r="A162" s="2">
        <v>161</v>
      </c>
      <c r="B162" s="2" t="s">
        <v>39</v>
      </c>
      <c r="C162" s="2" t="s">
        <v>39</v>
      </c>
      <c r="D162" s="2">
        <v>0.02</v>
      </c>
      <c r="E162" s="2">
        <v>0</v>
      </c>
      <c r="F162" s="2">
        <v>0</v>
      </c>
      <c r="G162" s="2">
        <v>0</v>
      </c>
      <c r="H162" s="2">
        <v>0.84</v>
      </c>
      <c r="I162" s="2">
        <v>0</v>
      </c>
      <c r="J162" s="2">
        <v>0.06</v>
      </c>
      <c r="K162" s="2">
        <v>0</v>
      </c>
      <c r="L162" s="2">
        <v>0</v>
      </c>
      <c r="M162" s="2">
        <v>7.0000000000000007E-2</v>
      </c>
      <c r="N162" s="2">
        <v>0.01</v>
      </c>
    </row>
    <row r="163" spans="1:14">
      <c r="A163" s="2">
        <v>162</v>
      </c>
      <c r="B163" s="2" t="s">
        <v>43</v>
      </c>
      <c r="C163" s="2" t="s">
        <v>43</v>
      </c>
      <c r="D163" s="2">
        <v>0.09</v>
      </c>
      <c r="E163" s="2">
        <v>0</v>
      </c>
      <c r="F163" s="2">
        <v>0</v>
      </c>
      <c r="G163" s="2">
        <v>0</v>
      </c>
      <c r="H163" s="2">
        <v>0.01</v>
      </c>
      <c r="I163" s="2">
        <v>0</v>
      </c>
      <c r="J163" s="2">
        <v>0.88</v>
      </c>
      <c r="K163" s="2">
        <v>0</v>
      </c>
      <c r="L163" s="2">
        <v>0</v>
      </c>
      <c r="M163" s="2">
        <v>0.02</v>
      </c>
      <c r="N163" s="2">
        <v>0</v>
      </c>
    </row>
    <row r="164" spans="1:14">
      <c r="A164" s="2">
        <v>163</v>
      </c>
      <c r="B164" s="2" t="s">
        <v>59</v>
      </c>
      <c r="C164" s="2" t="s">
        <v>59</v>
      </c>
      <c r="D164" s="2">
        <v>0.06</v>
      </c>
      <c r="E164" s="2">
        <v>0</v>
      </c>
      <c r="F164" s="2">
        <v>0</v>
      </c>
      <c r="G164" s="2">
        <v>0</v>
      </c>
      <c r="H164" s="2">
        <v>0.08</v>
      </c>
      <c r="I164" s="2">
        <v>0</v>
      </c>
      <c r="J164" s="2">
        <v>0.13</v>
      </c>
      <c r="K164" s="2">
        <v>0</v>
      </c>
      <c r="L164" s="2">
        <v>0</v>
      </c>
      <c r="M164" s="2">
        <v>0.73</v>
      </c>
      <c r="N164" s="2">
        <v>0</v>
      </c>
    </row>
    <row r="165" spans="1:14">
      <c r="A165" s="2">
        <v>164</v>
      </c>
      <c r="B165" s="2" t="s">
        <v>39</v>
      </c>
      <c r="C165" s="2" t="s">
        <v>39</v>
      </c>
      <c r="D165" s="2">
        <v>0</v>
      </c>
      <c r="E165" s="2">
        <v>0.04</v>
      </c>
      <c r="F165" s="2">
        <v>0</v>
      </c>
      <c r="G165" s="2">
        <v>0</v>
      </c>
      <c r="H165" s="2">
        <v>0.86</v>
      </c>
      <c r="I165" s="2">
        <v>0</v>
      </c>
      <c r="J165" s="2">
        <v>0.09</v>
      </c>
      <c r="K165" s="2">
        <v>0</v>
      </c>
      <c r="L165" s="2">
        <v>0</v>
      </c>
      <c r="M165" s="2">
        <v>0.01</v>
      </c>
      <c r="N165" s="2">
        <v>0</v>
      </c>
    </row>
    <row r="166" spans="1:14">
      <c r="A166" s="2">
        <v>165</v>
      </c>
      <c r="B166" s="2" t="s">
        <v>39</v>
      </c>
      <c r="C166" s="2" t="s">
        <v>39</v>
      </c>
      <c r="D166" s="2">
        <v>0</v>
      </c>
      <c r="E166" s="2">
        <v>0.02</v>
      </c>
      <c r="F166" s="2">
        <v>0</v>
      </c>
      <c r="G166" s="2">
        <v>0</v>
      </c>
      <c r="H166" s="2">
        <v>0.95</v>
      </c>
      <c r="I166" s="2">
        <v>0</v>
      </c>
      <c r="J166" s="2">
        <v>0.01</v>
      </c>
      <c r="K166" s="2">
        <v>0.02</v>
      </c>
      <c r="L166" s="2">
        <v>0</v>
      </c>
      <c r="M166" s="2">
        <v>0</v>
      </c>
      <c r="N166" s="2">
        <v>0</v>
      </c>
    </row>
    <row r="167" spans="1:14">
      <c r="A167" s="2">
        <v>166</v>
      </c>
      <c r="B167" s="2" t="s">
        <v>20</v>
      </c>
      <c r="C167" s="2" t="s">
        <v>20</v>
      </c>
      <c r="D167" s="2">
        <v>0</v>
      </c>
      <c r="E167" s="2">
        <v>0.75</v>
      </c>
      <c r="F167" s="2">
        <v>0</v>
      </c>
      <c r="G167" s="2">
        <v>0</v>
      </c>
      <c r="H167" s="2">
        <v>0.17</v>
      </c>
      <c r="I167" s="2">
        <v>0</v>
      </c>
      <c r="J167" s="2">
        <v>7.0000000000000007E-2</v>
      </c>
      <c r="K167" s="2">
        <v>0</v>
      </c>
      <c r="L167" s="2">
        <v>0</v>
      </c>
      <c r="M167" s="2">
        <v>0.01</v>
      </c>
      <c r="N167" s="2">
        <v>0</v>
      </c>
    </row>
    <row r="168" spans="1:14">
      <c r="A168" s="2">
        <v>167</v>
      </c>
      <c r="B168" s="2" t="s">
        <v>20</v>
      </c>
      <c r="C168" s="2" t="s">
        <v>20</v>
      </c>
      <c r="D168" s="2">
        <v>0</v>
      </c>
      <c r="E168" s="2">
        <v>1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</row>
    <row r="169" spans="1:14">
      <c r="A169" s="2">
        <v>168</v>
      </c>
      <c r="B169" s="2" t="s">
        <v>39</v>
      </c>
      <c r="C169" s="2" t="s">
        <v>39</v>
      </c>
      <c r="D169" s="2">
        <v>0.01</v>
      </c>
      <c r="E169" s="2">
        <v>0.02</v>
      </c>
      <c r="F169" s="2">
        <v>0</v>
      </c>
      <c r="G169" s="2">
        <v>0</v>
      </c>
      <c r="H169" s="2">
        <v>0.95</v>
      </c>
      <c r="I169" s="2">
        <v>0</v>
      </c>
      <c r="J169" s="2">
        <v>0.02</v>
      </c>
      <c r="K169" s="2">
        <v>0</v>
      </c>
      <c r="L169" s="2">
        <v>0</v>
      </c>
      <c r="M169" s="2">
        <v>0</v>
      </c>
      <c r="N169" s="2">
        <v>0</v>
      </c>
    </row>
    <row r="170" spans="1:14">
      <c r="A170" s="2">
        <v>169</v>
      </c>
      <c r="B170" s="2" t="s">
        <v>43</v>
      </c>
      <c r="C170" s="2" t="s">
        <v>43</v>
      </c>
      <c r="D170" s="2">
        <v>0</v>
      </c>
      <c r="E170" s="2">
        <v>0.15</v>
      </c>
      <c r="F170" s="2">
        <v>0</v>
      </c>
      <c r="G170" s="2">
        <v>0</v>
      </c>
      <c r="H170" s="2">
        <v>0.12</v>
      </c>
      <c r="I170" s="2">
        <v>0</v>
      </c>
      <c r="J170" s="2">
        <v>0.62</v>
      </c>
      <c r="K170" s="2">
        <v>0</v>
      </c>
      <c r="L170" s="2">
        <v>0</v>
      </c>
      <c r="M170" s="2">
        <v>0.11</v>
      </c>
      <c r="N170" s="2">
        <v>0</v>
      </c>
    </row>
    <row r="171" spans="1:14">
      <c r="A171" s="2">
        <v>170</v>
      </c>
      <c r="B171" s="2" t="s">
        <v>43</v>
      </c>
      <c r="C171" s="2" t="s">
        <v>43</v>
      </c>
      <c r="D171" s="2">
        <v>0</v>
      </c>
      <c r="E171" s="2">
        <v>0</v>
      </c>
      <c r="F171" s="2">
        <v>0</v>
      </c>
      <c r="G171" s="2">
        <v>0.01</v>
      </c>
      <c r="H171" s="2">
        <v>0</v>
      </c>
      <c r="I171" s="2">
        <v>0</v>
      </c>
      <c r="J171" s="2">
        <v>0.91</v>
      </c>
      <c r="K171" s="2">
        <v>0</v>
      </c>
      <c r="L171" s="2">
        <v>0</v>
      </c>
      <c r="M171" s="2">
        <v>0.08</v>
      </c>
      <c r="N171" s="2">
        <v>0</v>
      </c>
    </row>
    <row r="172" spans="1:14">
      <c r="A172" s="2">
        <v>171</v>
      </c>
      <c r="B172" s="2" t="s">
        <v>39</v>
      </c>
      <c r="C172" s="2" t="s">
        <v>39</v>
      </c>
      <c r="D172" s="2">
        <v>0</v>
      </c>
      <c r="E172" s="2">
        <v>0</v>
      </c>
      <c r="F172" s="2">
        <v>0.03</v>
      </c>
      <c r="G172" s="2">
        <v>0</v>
      </c>
      <c r="H172" s="2">
        <v>0.93</v>
      </c>
      <c r="I172" s="2">
        <v>0</v>
      </c>
      <c r="J172" s="2">
        <v>0</v>
      </c>
      <c r="K172" s="2">
        <v>0</v>
      </c>
      <c r="L172" s="2">
        <v>0.04</v>
      </c>
      <c r="M172" s="2">
        <v>0</v>
      </c>
      <c r="N172" s="2">
        <v>0</v>
      </c>
    </row>
    <row r="173" spans="1:14">
      <c r="A173" s="2">
        <v>172</v>
      </c>
      <c r="B173" s="2" t="s">
        <v>20</v>
      </c>
      <c r="C173" s="2" t="s">
        <v>20</v>
      </c>
      <c r="D173" s="2">
        <v>0</v>
      </c>
      <c r="E173" s="2">
        <v>1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</row>
    <row r="174" spans="1:14">
      <c r="A174" s="2">
        <v>173</v>
      </c>
      <c r="B174" s="2" t="s">
        <v>59</v>
      </c>
      <c r="C174" s="2" t="s">
        <v>59</v>
      </c>
      <c r="D174" s="2">
        <v>0</v>
      </c>
      <c r="E174" s="2">
        <v>0.08</v>
      </c>
      <c r="F174" s="2">
        <v>0</v>
      </c>
      <c r="G174" s="2">
        <v>0</v>
      </c>
      <c r="H174" s="2">
        <v>0.04</v>
      </c>
      <c r="I174" s="2">
        <v>0</v>
      </c>
      <c r="J174" s="2">
        <v>0.08</v>
      </c>
      <c r="K174" s="2">
        <v>0</v>
      </c>
      <c r="L174" s="2">
        <v>0</v>
      </c>
      <c r="M174" s="2">
        <v>0.8</v>
      </c>
      <c r="N174" s="2">
        <v>0</v>
      </c>
    </row>
    <row r="175" spans="1:14">
      <c r="A175" s="2">
        <v>174</v>
      </c>
      <c r="B175" s="2" t="s">
        <v>52</v>
      </c>
      <c r="C175" s="2" t="s">
        <v>52</v>
      </c>
      <c r="D175" s="2">
        <v>0</v>
      </c>
      <c r="E175" s="2">
        <v>0</v>
      </c>
      <c r="F175" s="2">
        <v>0</v>
      </c>
      <c r="G175" s="2">
        <v>1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</row>
    <row r="176" spans="1:14">
      <c r="A176" s="2">
        <v>175</v>
      </c>
      <c r="B176" s="2" t="s">
        <v>26</v>
      </c>
      <c r="C176" s="2" t="s">
        <v>26</v>
      </c>
      <c r="D176" s="2">
        <v>0</v>
      </c>
      <c r="E176" s="2">
        <v>0</v>
      </c>
      <c r="F176" s="2">
        <v>0.99</v>
      </c>
      <c r="G176" s="2">
        <v>0</v>
      </c>
      <c r="H176" s="2">
        <v>0.01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</row>
    <row r="177" spans="1:14">
      <c r="A177" s="2">
        <v>176</v>
      </c>
      <c r="B177" s="2" t="s">
        <v>52</v>
      </c>
      <c r="C177" s="2" t="s">
        <v>52</v>
      </c>
      <c r="D177" s="2">
        <v>0</v>
      </c>
      <c r="E177" s="2">
        <v>0</v>
      </c>
      <c r="F177" s="2">
        <v>0</v>
      </c>
      <c r="G177" s="2">
        <v>1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</row>
    <row r="178" spans="1:14">
      <c r="A178" s="2">
        <v>177</v>
      </c>
      <c r="B178" s="2" t="s">
        <v>20</v>
      </c>
      <c r="C178" s="2" t="s">
        <v>20</v>
      </c>
      <c r="D178" s="2">
        <v>0</v>
      </c>
      <c r="E178" s="2">
        <v>1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</row>
    <row r="179" spans="1:14">
      <c r="A179" s="2">
        <v>178</v>
      </c>
      <c r="B179" s="2" t="s">
        <v>20</v>
      </c>
      <c r="C179" s="2" t="s">
        <v>20</v>
      </c>
      <c r="D179" s="2">
        <v>0</v>
      </c>
      <c r="E179" s="2">
        <v>0.94</v>
      </c>
      <c r="F179" s="2">
        <v>0</v>
      </c>
      <c r="G179" s="2">
        <v>0</v>
      </c>
      <c r="H179" s="2">
        <v>0.05</v>
      </c>
      <c r="I179" s="2">
        <v>0</v>
      </c>
      <c r="J179" s="2">
        <v>0.01</v>
      </c>
      <c r="K179" s="2">
        <v>0</v>
      </c>
      <c r="L179" s="2">
        <v>0</v>
      </c>
      <c r="M179" s="2">
        <v>0</v>
      </c>
      <c r="N179" s="2">
        <v>0</v>
      </c>
    </row>
    <row r="180" spans="1:14">
      <c r="A180" s="2">
        <v>179</v>
      </c>
      <c r="B180" s="2" t="s">
        <v>20</v>
      </c>
      <c r="C180" s="2" t="s">
        <v>20</v>
      </c>
      <c r="D180" s="2">
        <v>0</v>
      </c>
      <c r="E180" s="2">
        <v>1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</row>
    <row r="181" spans="1:14">
      <c r="A181" s="2">
        <v>180</v>
      </c>
      <c r="B181" s="2" t="s">
        <v>20</v>
      </c>
      <c r="C181" s="2" t="s">
        <v>20</v>
      </c>
      <c r="D181" s="2">
        <v>0.01</v>
      </c>
      <c r="E181" s="2">
        <v>0.98</v>
      </c>
      <c r="F181" s="2">
        <v>0</v>
      </c>
      <c r="G181" s="2">
        <v>0</v>
      </c>
      <c r="H181" s="2">
        <v>0.01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</row>
    <row r="182" spans="1:14">
      <c r="A182" s="2">
        <v>181</v>
      </c>
      <c r="B182" s="2" t="s">
        <v>20</v>
      </c>
      <c r="C182" s="2" t="s">
        <v>20</v>
      </c>
      <c r="D182" s="2">
        <v>0</v>
      </c>
      <c r="E182" s="2">
        <v>1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</row>
    <row r="183" spans="1:14">
      <c r="A183" s="2">
        <v>182</v>
      </c>
      <c r="B183" s="2" t="s">
        <v>20</v>
      </c>
      <c r="C183" s="2" t="s">
        <v>20</v>
      </c>
      <c r="D183" s="2">
        <v>0</v>
      </c>
      <c r="E183" s="2">
        <v>1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</row>
    <row r="184" spans="1:14">
      <c r="A184" s="2">
        <v>183</v>
      </c>
      <c r="B184" s="2" t="s">
        <v>20</v>
      </c>
      <c r="C184" s="2" t="s">
        <v>20</v>
      </c>
      <c r="D184" s="2">
        <v>0</v>
      </c>
      <c r="E184" s="2">
        <v>1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</row>
    <row r="185" spans="1:14">
      <c r="A185" s="2">
        <v>184</v>
      </c>
      <c r="B185" s="2" t="s">
        <v>20</v>
      </c>
      <c r="C185" s="2" t="s">
        <v>20</v>
      </c>
      <c r="D185" s="2">
        <v>0</v>
      </c>
      <c r="E185" s="2">
        <v>1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</row>
    <row r="186" spans="1:14">
      <c r="A186" s="2">
        <v>185</v>
      </c>
      <c r="B186" s="2" t="s">
        <v>39</v>
      </c>
      <c r="C186" s="2" t="s">
        <v>39</v>
      </c>
      <c r="D186" s="2">
        <v>0.2</v>
      </c>
      <c r="E186" s="2">
        <v>0</v>
      </c>
      <c r="F186" s="2">
        <v>0</v>
      </c>
      <c r="G186" s="2">
        <v>0</v>
      </c>
      <c r="H186" s="2">
        <v>0.71</v>
      </c>
      <c r="I186" s="2">
        <v>0</v>
      </c>
      <c r="J186" s="2">
        <v>0.03</v>
      </c>
      <c r="K186" s="2">
        <v>0</v>
      </c>
      <c r="L186" s="2">
        <v>0</v>
      </c>
      <c r="M186" s="2">
        <v>0.01</v>
      </c>
      <c r="N186" s="2">
        <v>0.05</v>
      </c>
    </row>
    <row r="187" spans="1:14">
      <c r="A187" s="2">
        <v>186</v>
      </c>
      <c r="B187" s="2" t="s">
        <v>20</v>
      </c>
      <c r="C187" s="2" t="s">
        <v>20</v>
      </c>
      <c r="D187" s="2">
        <v>0</v>
      </c>
      <c r="E187" s="2">
        <v>1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</row>
    <row r="188" spans="1:14">
      <c r="A188" s="2">
        <v>187</v>
      </c>
      <c r="B188" s="2" t="s">
        <v>26</v>
      </c>
      <c r="C188" s="2" t="s">
        <v>26</v>
      </c>
      <c r="D188" s="2">
        <v>0</v>
      </c>
      <c r="E188" s="2">
        <v>0</v>
      </c>
      <c r="F188" s="2">
        <v>0.88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0.12</v>
      </c>
      <c r="M188" s="2">
        <v>0</v>
      </c>
      <c r="N188" s="2">
        <v>0</v>
      </c>
    </row>
    <row r="189" spans="1:14">
      <c r="A189" s="2">
        <v>188</v>
      </c>
      <c r="B189" s="2" t="s">
        <v>20</v>
      </c>
      <c r="C189" s="2" t="s">
        <v>20</v>
      </c>
      <c r="D189" s="2">
        <v>0</v>
      </c>
      <c r="E189" s="2">
        <v>1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</row>
    <row r="190" spans="1:14">
      <c r="A190" s="2">
        <v>189</v>
      </c>
      <c r="B190" s="2" t="s">
        <v>20</v>
      </c>
      <c r="C190" s="2" t="s">
        <v>20</v>
      </c>
      <c r="D190" s="2">
        <v>0</v>
      </c>
      <c r="E190" s="2">
        <v>1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</row>
    <row r="191" spans="1:14">
      <c r="A191" s="2">
        <v>190</v>
      </c>
      <c r="B191" s="2" t="s">
        <v>52</v>
      </c>
      <c r="C191" s="2" t="s">
        <v>52</v>
      </c>
      <c r="D191" s="2">
        <v>0.01</v>
      </c>
      <c r="E191" s="2">
        <v>0</v>
      </c>
      <c r="F191" s="2">
        <v>0</v>
      </c>
      <c r="G191" s="2">
        <v>0.89</v>
      </c>
      <c r="H191" s="2">
        <v>0.02</v>
      </c>
      <c r="I191" s="2">
        <v>0</v>
      </c>
      <c r="J191" s="2">
        <v>0</v>
      </c>
      <c r="K191" s="2">
        <v>0</v>
      </c>
      <c r="L191" s="2">
        <v>0</v>
      </c>
      <c r="M191" s="2">
        <v>0.08</v>
      </c>
      <c r="N191" s="2">
        <v>0</v>
      </c>
    </row>
    <row r="192" spans="1:14">
      <c r="A192" s="2">
        <v>191</v>
      </c>
      <c r="B192" s="2" t="s">
        <v>52</v>
      </c>
      <c r="C192" s="2" t="s">
        <v>52</v>
      </c>
      <c r="D192" s="2">
        <v>0</v>
      </c>
      <c r="E192" s="2">
        <v>0</v>
      </c>
      <c r="F192" s="2">
        <v>0</v>
      </c>
      <c r="G192" s="2">
        <v>0.98</v>
      </c>
      <c r="H192" s="2">
        <v>0</v>
      </c>
      <c r="I192" s="2">
        <v>0</v>
      </c>
      <c r="J192" s="2">
        <v>0.02</v>
      </c>
      <c r="K192" s="2">
        <v>0</v>
      </c>
      <c r="L192" s="2">
        <v>0</v>
      </c>
      <c r="M192" s="2">
        <v>0</v>
      </c>
      <c r="N192" s="2">
        <v>0</v>
      </c>
    </row>
    <row r="193" spans="1:14">
      <c r="A193" s="2">
        <v>192</v>
      </c>
      <c r="B193" s="2" t="s">
        <v>20</v>
      </c>
      <c r="C193" s="2" t="s">
        <v>20</v>
      </c>
      <c r="D193" s="2">
        <v>0</v>
      </c>
      <c r="E193" s="2">
        <v>1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</row>
    <row r="194" spans="1:14">
      <c r="A194" s="2">
        <v>193</v>
      </c>
      <c r="B194" s="2" t="s">
        <v>20</v>
      </c>
      <c r="C194" s="2" t="s">
        <v>20</v>
      </c>
      <c r="D194" s="2">
        <v>0</v>
      </c>
      <c r="E194" s="2">
        <v>1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</row>
    <row r="195" spans="1:14">
      <c r="A195" s="2">
        <v>194</v>
      </c>
      <c r="B195" s="2" t="s">
        <v>43</v>
      </c>
      <c r="C195" s="2" t="s">
        <v>43</v>
      </c>
      <c r="D195" s="2">
        <v>0</v>
      </c>
      <c r="E195" s="2">
        <v>0</v>
      </c>
      <c r="F195" s="2">
        <v>0</v>
      </c>
      <c r="G195" s="2">
        <v>0</v>
      </c>
      <c r="H195" s="2">
        <v>0.02</v>
      </c>
      <c r="I195" s="2">
        <v>0</v>
      </c>
      <c r="J195" s="2">
        <v>0.98</v>
      </c>
      <c r="K195" s="2">
        <v>0</v>
      </c>
      <c r="L195" s="2">
        <v>0</v>
      </c>
      <c r="M195" s="2">
        <v>0</v>
      </c>
      <c r="N195" s="2">
        <v>0</v>
      </c>
    </row>
    <row r="196" spans="1:14">
      <c r="A196" s="2">
        <v>195</v>
      </c>
      <c r="B196" s="2" t="s">
        <v>125</v>
      </c>
      <c r="C196" s="2" t="s">
        <v>125</v>
      </c>
      <c r="D196" s="2">
        <v>0</v>
      </c>
      <c r="E196" s="2">
        <v>7.0000000000000007E-2</v>
      </c>
      <c r="F196" s="2">
        <v>0</v>
      </c>
      <c r="G196" s="2">
        <v>0</v>
      </c>
      <c r="H196" s="2">
        <v>0.12</v>
      </c>
      <c r="I196" s="2">
        <v>0.66</v>
      </c>
      <c r="J196" s="2">
        <v>0.04</v>
      </c>
      <c r="K196" s="2">
        <v>0</v>
      </c>
      <c r="L196" s="2">
        <v>0</v>
      </c>
      <c r="M196" s="2">
        <v>0.11</v>
      </c>
      <c r="N196" s="2">
        <v>0</v>
      </c>
    </row>
    <row r="197" spans="1:14">
      <c r="A197" s="2">
        <v>196</v>
      </c>
      <c r="B197" s="2" t="s">
        <v>39</v>
      </c>
      <c r="C197" s="2" t="s">
        <v>39</v>
      </c>
      <c r="D197" s="2">
        <v>0.02</v>
      </c>
      <c r="E197" s="2">
        <v>0</v>
      </c>
      <c r="F197" s="2">
        <v>0</v>
      </c>
      <c r="G197" s="2">
        <v>0</v>
      </c>
      <c r="H197" s="2">
        <v>0.72</v>
      </c>
      <c r="I197" s="2">
        <v>0</v>
      </c>
      <c r="J197" s="2">
        <v>0.17</v>
      </c>
      <c r="K197" s="2">
        <v>0</v>
      </c>
      <c r="L197" s="2">
        <v>0</v>
      </c>
      <c r="M197" s="2">
        <v>0.09</v>
      </c>
      <c r="N197" s="2">
        <v>0</v>
      </c>
    </row>
    <row r="198" spans="1:14">
      <c r="A198" s="2">
        <v>197</v>
      </c>
      <c r="B198" s="2" t="s">
        <v>59</v>
      </c>
      <c r="C198" s="2" t="s">
        <v>59</v>
      </c>
      <c r="D198" s="2">
        <v>0.02</v>
      </c>
      <c r="E198" s="2">
        <v>0</v>
      </c>
      <c r="F198" s="2">
        <v>0</v>
      </c>
      <c r="G198" s="2">
        <v>0</v>
      </c>
      <c r="H198" s="2">
        <v>0.12</v>
      </c>
      <c r="I198" s="2">
        <v>0</v>
      </c>
      <c r="J198" s="2">
        <v>0.09</v>
      </c>
      <c r="K198" s="2">
        <v>0</v>
      </c>
      <c r="L198" s="2">
        <v>0</v>
      </c>
      <c r="M198" s="2">
        <v>0.77</v>
      </c>
      <c r="N198" s="2">
        <v>0</v>
      </c>
    </row>
    <row r="199" spans="1:14">
      <c r="A199" s="2">
        <v>198</v>
      </c>
      <c r="B199" s="2" t="s">
        <v>20</v>
      </c>
      <c r="C199" s="2" t="s">
        <v>20</v>
      </c>
      <c r="D199" s="2">
        <v>0</v>
      </c>
      <c r="E199" s="2">
        <v>1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</row>
    <row r="200" spans="1:14">
      <c r="A200" s="2">
        <v>199</v>
      </c>
      <c r="B200" s="2" t="s">
        <v>20</v>
      </c>
      <c r="C200" s="2" t="s">
        <v>20</v>
      </c>
      <c r="D200" s="2">
        <v>0</v>
      </c>
      <c r="E200" s="2">
        <v>0.99</v>
      </c>
      <c r="F200" s="2">
        <v>0</v>
      </c>
      <c r="G200" s="2">
        <v>0</v>
      </c>
      <c r="H200" s="2">
        <v>0.01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</row>
    <row r="201" spans="1:14">
      <c r="A201" s="2">
        <v>200</v>
      </c>
      <c r="B201" s="2" t="s">
        <v>20</v>
      </c>
      <c r="C201" s="2" t="s">
        <v>20</v>
      </c>
      <c r="D201" s="2">
        <v>0</v>
      </c>
      <c r="E201" s="2">
        <v>0.9</v>
      </c>
      <c r="F201" s="2">
        <v>0</v>
      </c>
      <c r="G201" s="2">
        <v>0</v>
      </c>
      <c r="H201" s="2">
        <v>0.01</v>
      </c>
      <c r="I201" s="2">
        <v>0</v>
      </c>
      <c r="J201" s="2">
        <v>0.09</v>
      </c>
      <c r="K201" s="2">
        <v>0</v>
      </c>
      <c r="L201" s="2">
        <v>0</v>
      </c>
      <c r="M201" s="2">
        <v>0</v>
      </c>
      <c r="N201" s="2">
        <v>0</v>
      </c>
    </row>
    <row r="202" spans="1:14">
      <c r="A202" s="2">
        <v>201</v>
      </c>
      <c r="B202" s="2" t="s">
        <v>39</v>
      </c>
      <c r="C202" s="2" t="s">
        <v>39</v>
      </c>
      <c r="D202" s="2">
        <v>0</v>
      </c>
      <c r="E202" s="2">
        <v>0</v>
      </c>
      <c r="F202" s="2">
        <v>0</v>
      </c>
      <c r="G202" s="2">
        <v>0</v>
      </c>
      <c r="H202" s="2">
        <v>0.84</v>
      </c>
      <c r="I202" s="2">
        <v>0</v>
      </c>
      <c r="J202" s="2">
        <v>0.01</v>
      </c>
      <c r="K202" s="2">
        <v>0</v>
      </c>
      <c r="L202" s="2">
        <v>0.15</v>
      </c>
      <c r="M202" s="2">
        <v>0</v>
      </c>
      <c r="N202" s="2">
        <v>0</v>
      </c>
    </row>
    <row r="203" spans="1:14">
      <c r="A203" s="2">
        <v>202</v>
      </c>
      <c r="B203" s="2" t="s">
        <v>20</v>
      </c>
      <c r="C203" s="2" t="s">
        <v>20</v>
      </c>
      <c r="D203" s="2">
        <v>0.27</v>
      </c>
      <c r="E203" s="2">
        <v>0.73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</row>
    <row r="204" spans="1:14">
      <c r="A204" s="2">
        <v>203</v>
      </c>
      <c r="B204" s="2" t="s">
        <v>39</v>
      </c>
      <c r="C204" s="2" t="s">
        <v>39</v>
      </c>
      <c r="D204" s="2">
        <v>0</v>
      </c>
      <c r="E204" s="2">
        <v>0</v>
      </c>
      <c r="F204" s="2">
        <v>0</v>
      </c>
      <c r="G204" s="2">
        <v>0</v>
      </c>
      <c r="H204" s="2">
        <v>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</row>
    <row r="205" spans="1:14">
      <c r="A205" s="2">
        <v>204</v>
      </c>
      <c r="B205" s="2" t="s">
        <v>39</v>
      </c>
      <c r="C205" s="2" t="s">
        <v>39</v>
      </c>
      <c r="D205" s="2">
        <v>0.01</v>
      </c>
      <c r="E205" s="2">
        <v>0.11</v>
      </c>
      <c r="F205" s="2">
        <v>0</v>
      </c>
      <c r="G205" s="2">
        <v>0</v>
      </c>
      <c r="H205" s="2">
        <v>0.71</v>
      </c>
      <c r="I205" s="2">
        <v>0</v>
      </c>
      <c r="J205" s="2">
        <v>0.15</v>
      </c>
      <c r="K205" s="2">
        <v>0.02</v>
      </c>
      <c r="L205" s="2">
        <v>0</v>
      </c>
      <c r="M205" s="2">
        <v>0</v>
      </c>
      <c r="N205" s="2">
        <v>0</v>
      </c>
    </row>
    <row r="206" spans="1:14">
      <c r="A206" s="2">
        <v>205</v>
      </c>
      <c r="B206" s="2" t="s">
        <v>39</v>
      </c>
      <c r="C206" s="2" t="s">
        <v>39</v>
      </c>
      <c r="D206" s="2">
        <v>0.02</v>
      </c>
      <c r="E206" s="2">
        <v>0</v>
      </c>
      <c r="F206" s="2">
        <v>0</v>
      </c>
      <c r="G206" s="2">
        <v>0</v>
      </c>
      <c r="H206" s="2">
        <v>0.88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 s="2">
        <v>0</v>
      </c>
    </row>
    <row r="207" spans="1:14">
      <c r="A207" s="2">
        <v>206</v>
      </c>
      <c r="B207" s="2" t="s">
        <v>20</v>
      </c>
      <c r="C207" s="2" t="s">
        <v>20</v>
      </c>
      <c r="D207" s="2">
        <v>0.01</v>
      </c>
      <c r="E207" s="2">
        <v>0.95</v>
      </c>
      <c r="F207" s="2">
        <v>0</v>
      </c>
      <c r="G207" s="2">
        <v>0</v>
      </c>
      <c r="H207" s="2">
        <v>0.03</v>
      </c>
      <c r="I207" s="2">
        <v>0</v>
      </c>
      <c r="J207" s="2">
        <v>0</v>
      </c>
      <c r="K207" s="2">
        <v>0.01</v>
      </c>
      <c r="L207" s="2">
        <v>0</v>
      </c>
      <c r="M207" s="2">
        <v>0</v>
      </c>
      <c r="N207" s="2">
        <v>0</v>
      </c>
    </row>
    <row r="208" spans="1:14">
      <c r="A208" s="2">
        <v>207</v>
      </c>
      <c r="B208" s="2" t="s">
        <v>39</v>
      </c>
      <c r="C208" s="2" t="s">
        <v>39</v>
      </c>
      <c r="D208" s="2">
        <v>0.06</v>
      </c>
      <c r="E208" s="2">
        <v>0.01</v>
      </c>
      <c r="F208" s="2">
        <v>0</v>
      </c>
      <c r="G208" s="2">
        <v>0</v>
      </c>
      <c r="H208" s="2">
        <v>0.89</v>
      </c>
      <c r="I208" s="2">
        <v>0</v>
      </c>
      <c r="J208" s="2">
        <v>0.02</v>
      </c>
      <c r="K208" s="2">
        <v>0</v>
      </c>
      <c r="L208" s="2">
        <v>0</v>
      </c>
      <c r="M208" s="2">
        <v>0.02</v>
      </c>
      <c r="N208" s="2">
        <v>0</v>
      </c>
    </row>
    <row r="209" spans="1:14">
      <c r="A209" s="2">
        <v>208</v>
      </c>
      <c r="B209" s="2" t="s">
        <v>20</v>
      </c>
      <c r="C209" s="2" t="s">
        <v>20</v>
      </c>
      <c r="D209" s="2">
        <v>0</v>
      </c>
      <c r="E209" s="2">
        <v>1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</row>
    <row r="210" spans="1:14">
      <c r="A210" s="2">
        <v>209</v>
      </c>
      <c r="B210" s="2" t="s">
        <v>39</v>
      </c>
      <c r="C210" s="2" t="s">
        <v>39</v>
      </c>
      <c r="D210" s="2">
        <v>0.01</v>
      </c>
      <c r="E210" s="2">
        <v>0</v>
      </c>
      <c r="F210" s="2">
        <v>0</v>
      </c>
      <c r="G210" s="2">
        <v>0</v>
      </c>
      <c r="H210" s="2">
        <v>0.66</v>
      </c>
      <c r="I210" s="2">
        <v>0</v>
      </c>
      <c r="J210" s="2">
        <v>0.3</v>
      </c>
      <c r="K210" s="2">
        <v>0</v>
      </c>
      <c r="L210" s="2">
        <v>0</v>
      </c>
      <c r="M210" s="2">
        <v>0.03</v>
      </c>
      <c r="N210" s="2">
        <v>0</v>
      </c>
    </row>
    <row r="211" spans="1:14">
      <c r="A211" s="2">
        <v>210</v>
      </c>
      <c r="B211" s="2" t="s">
        <v>20</v>
      </c>
      <c r="C211" s="2" t="s">
        <v>20</v>
      </c>
      <c r="D211" s="2">
        <v>0</v>
      </c>
      <c r="E211" s="2">
        <v>1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</row>
    <row r="212" spans="1:14">
      <c r="A212" s="2">
        <v>211</v>
      </c>
      <c r="B212" s="2" t="s">
        <v>20</v>
      </c>
      <c r="C212" s="2" t="s">
        <v>20</v>
      </c>
      <c r="D212" s="2">
        <v>0</v>
      </c>
      <c r="E212" s="2">
        <v>1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</row>
    <row r="213" spans="1:14">
      <c r="A213" s="2">
        <v>212</v>
      </c>
      <c r="B213" s="2" t="s">
        <v>20</v>
      </c>
      <c r="C213" s="2" t="s">
        <v>20</v>
      </c>
      <c r="D213" s="2">
        <v>0</v>
      </c>
      <c r="E213" s="2">
        <v>1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</row>
    <row r="214" spans="1:14">
      <c r="A214" s="2">
        <v>213</v>
      </c>
      <c r="B214" s="2" t="s">
        <v>39</v>
      </c>
      <c r="C214" s="2" t="s">
        <v>39</v>
      </c>
      <c r="D214" s="2">
        <v>0.04</v>
      </c>
      <c r="E214" s="2">
        <v>0</v>
      </c>
      <c r="F214" s="2">
        <v>0</v>
      </c>
      <c r="G214" s="2">
        <v>0</v>
      </c>
      <c r="H214" s="2">
        <v>0.64</v>
      </c>
      <c r="I214" s="2">
        <v>0.21</v>
      </c>
      <c r="J214" s="2">
        <v>0.11</v>
      </c>
      <c r="K214" s="2">
        <v>0</v>
      </c>
      <c r="L214" s="2">
        <v>0</v>
      </c>
      <c r="M214" s="2">
        <v>0</v>
      </c>
      <c r="N214" s="2">
        <v>0</v>
      </c>
    </row>
    <row r="215" spans="1:14">
      <c r="A215" s="2">
        <v>214</v>
      </c>
      <c r="B215" s="2" t="s">
        <v>20</v>
      </c>
      <c r="C215" s="2" t="s">
        <v>20</v>
      </c>
      <c r="D215" s="2">
        <v>0</v>
      </c>
      <c r="E215" s="2">
        <v>0.97</v>
      </c>
      <c r="F215" s="2">
        <v>0</v>
      </c>
      <c r="G215" s="2">
        <v>0</v>
      </c>
      <c r="H215" s="2">
        <v>0.03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</row>
    <row r="216" spans="1:14">
      <c r="A216" s="2">
        <v>215</v>
      </c>
      <c r="B216" s="2" t="s">
        <v>20</v>
      </c>
      <c r="C216" s="2" t="s">
        <v>20</v>
      </c>
      <c r="D216" s="2">
        <v>0</v>
      </c>
      <c r="E216" s="2">
        <v>1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</row>
    <row r="217" spans="1:14">
      <c r="A217" s="2">
        <v>216</v>
      </c>
      <c r="B217" s="2" t="s">
        <v>43</v>
      </c>
      <c r="C217" s="2" t="s">
        <v>43</v>
      </c>
      <c r="D217" s="2">
        <v>0</v>
      </c>
      <c r="E217" s="2">
        <v>0.19</v>
      </c>
      <c r="F217" s="2">
        <v>0</v>
      </c>
      <c r="G217" s="2">
        <v>0</v>
      </c>
      <c r="H217" s="2">
        <v>0.03</v>
      </c>
      <c r="I217" s="2">
        <v>0</v>
      </c>
      <c r="J217" s="2">
        <v>0.73</v>
      </c>
      <c r="K217" s="2">
        <v>0</v>
      </c>
      <c r="L217" s="2">
        <v>0</v>
      </c>
      <c r="M217" s="2">
        <v>0.05</v>
      </c>
      <c r="N217" s="2">
        <v>0</v>
      </c>
    </row>
    <row r="218" spans="1:14">
      <c r="A218" s="2">
        <v>217</v>
      </c>
      <c r="B218" s="2" t="s">
        <v>43</v>
      </c>
      <c r="C218" s="2" t="s">
        <v>43</v>
      </c>
      <c r="D218" s="2">
        <v>0.04</v>
      </c>
      <c r="E218" s="2">
        <v>0.01</v>
      </c>
      <c r="F218" s="2">
        <v>0</v>
      </c>
      <c r="G218" s="2">
        <v>0</v>
      </c>
      <c r="H218" s="2">
        <v>0.01</v>
      </c>
      <c r="I218" s="2">
        <v>0</v>
      </c>
      <c r="J218" s="2">
        <v>0.91</v>
      </c>
      <c r="K218" s="2">
        <v>0</v>
      </c>
      <c r="L218" s="2">
        <v>0</v>
      </c>
      <c r="M218" s="2">
        <v>0.03</v>
      </c>
      <c r="N218" s="2">
        <v>0</v>
      </c>
    </row>
    <row r="219" spans="1:14">
      <c r="A219" s="2">
        <v>218</v>
      </c>
      <c r="B219" s="2" t="s">
        <v>20</v>
      </c>
      <c r="C219" s="2" t="s">
        <v>20</v>
      </c>
      <c r="D219" s="2">
        <v>0</v>
      </c>
      <c r="E219" s="2">
        <v>1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</row>
    <row r="220" spans="1:14">
      <c r="A220" s="2">
        <v>219</v>
      </c>
      <c r="B220" s="2" t="s">
        <v>20</v>
      </c>
      <c r="C220" s="2" t="s">
        <v>20</v>
      </c>
      <c r="D220" s="2">
        <v>0</v>
      </c>
      <c r="E220" s="2">
        <v>1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</row>
    <row r="221" spans="1:14">
      <c r="A221" s="2">
        <v>220</v>
      </c>
      <c r="B221" s="2" t="s">
        <v>20</v>
      </c>
      <c r="C221" s="2" t="s">
        <v>20</v>
      </c>
      <c r="D221" s="2">
        <v>0</v>
      </c>
      <c r="E221" s="2">
        <v>0.98</v>
      </c>
      <c r="F221" s="2">
        <v>0</v>
      </c>
      <c r="G221" s="2">
        <v>0</v>
      </c>
      <c r="H221" s="2">
        <v>0.02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</row>
    <row r="222" spans="1:14">
      <c r="A222" s="2">
        <v>221</v>
      </c>
      <c r="B222" s="2" t="s">
        <v>48</v>
      </c>
      <c r="C222" s="2" t="s">
        <v>48</v>
      </c>
      <c r="D222" s="2">
        <v>0</v>
      </c>
      <c r="E222" s="2">
        <v>0</v>
      </c>
      <c r="F222" s="2">
        <v>0</v>
      </c>
      <c r="G222" s="2">
        <v>0</v>
      </c>
      <c r="H222" s="2">
        <v>0.01</v>
      </c>
      <c r="I222" s="2">
        <v>0</v>
      </c>
      <c r="J222" s="2">
        <v>0</v>
      </c>
      <c r="K222" s="2">
        <v>0</v>
      </c>
      <c r="L222" s="2">
        <v>0.99</v>
      </c>
      <c r="M222" s="2">
        <v>0</v>
      </c>
      <c r="N222" s="2">
        <v>0</v>
      </c>
    </row>
    <row r="223" spans="1:14">
      <c r="A223" s="2">
        <v>222</v>
      </c>
      <c r="B223" s="2" t="s">
        <v>39</v>
      </c>
      <c r="C223" s="2" t="s">
        <v>39</v>
      </c>
      <c r="D223" s="2">
        <v>0</v>
      </c>
      <c r="E223" s="2">
        <v>0</v>
      </c>
      <c r="F223" s="2">
        <v>0</v>
      </c>
      <c r="G223" s="2">
        <v>0</v>
      </c>
      <c r="H223" s="2">
        <v>0.99</v>
      </c>
      <c r="I223" s="2">
        <v>0</v>
      </c>
      <c r="J223" s="2">
        <v>0.01</v>
      </c>
      <c r="K223" s="2">
        <v>0</v>
      </c>
      <c r="L223" s="2">
        <v>0</v>
      </c>
      <c r="M223" s="2">
        <v>0</v>
      </c>
      <c r="N223" s="2">
        <v>0</v>
      </c>
    </row>
    <row r="224" spans="1:14">
      <c r="A224" s="2">
        <v>223</v>
      </c>
      <c r="B224" s="2" t="s">
        <v>43</v>
      </c>
      <c r="C224" s="2" t="s">
        <v>43</v>
      </c>
      <c r="D224" s="2">
        <v>0.01</v>
      </c>
      <c r="E224" s="2">
        <v>0</v>
      </c>
      <c r="F224" s="2">
        <v>0</v>
      </c>
      <c r="G224" s="2">
        <v>0</v>
      </c>
      <c r="H224" s="2">
        <v>0.16</v>
      </c>
      <c r="I224" s="2">
        <v>0</v>
      </c>
      <c r="J224" s="2">
        <v>0.72</v>
      </c>
      <c r="K224" s="2">
        <v>0</v>
      </c>
      <c r="L224" s="2">
        <v>0</v>
      </c>
      <c r="M224" s="2">
        <v>0.11</v>
      </c>
      <c r="N224" s="2">
        <v>0</v>
      </c>
    </row>
    <row r="225" spans="1:14">
      <c r="A225" s="2">
        <v>224</v>
      </c>
      <c r="B225" s="2" t="s">
        <v>39</v>
      </c>
      <c r="C225" s="2" t="s">
        <v>39</v>
      </c>
      <c r="D225" s="2">
        <v>0</v>
      </c>
      <c r="E225" s="2">
        <v>0</v>
      </c>
      <c r="F225" s="2">
        <v>0</v>
      </c>
      <c r="G225" s="2">
        <v>0</v>
      </c>
      <c r="H225" s="2">
        <v>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</row>
    <row r="226" spans="1:14">
      <c r="A226" s="2">
        <v>225</v>
      </c>
      <c r="B226" s="2" t="s">
        <v>26</v>
      </c>
      <c r="C226" s="2" t="s">
        <v>26</v>
      </c>
      <c r="D226" s="2">
        <v>0</v>
      </c>
      <c r="E226" s="2">
        <v>0</v>
      </c>
      <c r="F226" s="2">
        <v>0.99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0.01</v>
      </c>
      <c r="M226" s="2">
        <v>0</v>
      </c>
      <c r="N226" s="2">
        <v>0</v>
      </c>
    </row>
    <row r="227" spans="1:14">
      <c r="A227" s="2">
        <v>226</v>
      </c>
      <c r="B227" s="2" t="s">
        <v>39</v>
      </c>
      <c r="C227" s="2" t="s">
        <v>39</v>
      </c>
      <c r="D227" s="2">
        <v>0.03</v>
      </c>
      <c r="E227" s="2">
        <v>0</v>
      </c>
      <c r="F227" s="2">
        <v>0</v>
      </c>
      <c r="G227" s="2">
        <v>0</v>
      </c>
      <c r="H227" s="2">
        <v>0.76</v>
      </c>
      <c r="I227" s="2">
        <v>0</v>
      </c>
      <c r="J227" s="2">
        <v>0.1</v>
      </c>
      <c r="K227" s="2">
        <v>0</v>
      </c>
      <c r="L227" s="2">
        <v>0</v>
      </c>
      <c r="M227" s="2">
        <v>0.11</v>
      </c>
      <c r="N227" s="2">
        <v>0</v>
      </c>
    </row>
    <row r="228" spans="1:14">
      <c r="A228" s="2">
        <v>227</v>
      </c>
      <c r="B228" s="2" t="s">
        <v>39</v>
      </c>
      <c r="C228" s="2" t="s">
        <v>39</v>
      </c>
      <c r="D228" s="2">
        <v>0</v>
      </c>
      <c r="E228" s="2">
        <v>0</v>
      </c>
      <c r="F228" s="2">
        <v>0</v>
      </c>
      <c r="G228" s="2">
        <v>0</v>
      </c>
      <c r="H228" s="2">
        <v>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</row>
    <row r="229" spans="1:14">
      <c r="A229" s="2">
        <v>228</v>
      </c>
      <c r="B229" s="2" t="s">
        <v>20</v>
      </c>
      <c r="C229" s="2" t="s">
        <v>20</v>
      </c>
      <c r="D229" s="2">
        <v>0.27</v>
      </c>
      <c r="E229" s="2">
        <v>0.73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</row>
    <row r="230" spans="1:14">
      <c r="A230" s="2">
        <v>229</v>
      </c>
      <c r="B230" s="2" t="s">
        <v>39</v>
      </c>
      <c r="C230" s="2" t="s">
        <v>39</v>
      </c>
      <c r="D230" s="2">
        <v>0</v>
      </c>
      <c r="E230" s="2">
        <v>0</v>
      </c>
      <c r="F230" s="2">
        <v>0</v>
      </c>
      <c r="G230" s="2">
        <v>0</v>
      </c>
      <c r="H230" s="2">
        <v>0.99</v>
      </c>
      <c r="I230" s="2">
        <v>0</v>
      </c>
      <c r="J230" s="2">
        <v>0.01</v>
      </c>
      <c r="K230" s="2">
        <v>0</v>
      </c>
      <c r="L230" s="2">
        <v>0</v>
      </c>
      <c r="M230" s="2">
        <v>0</v>
      </c>
      <c r="N230" s="2">
        <v>0</v>
      </c>
    </row>
    <row r="231" spans="1:14">
      <c r="A231" s="2">
        <v>230</v>
      </c>
      <c r="B231" s="2" t="s">
        <v>26</v>
      </c>
      <c r="C231" s="2" t="s">
        <v>26</v>
      </c>
      <c r="D231" s="2">
        <v>0</v>
      </c>
      <c r="E231" s="2">
        <v>0</v>
      </c>
      <c r="F231" s="2">
        <v>0.9</v>
      </c>
      <c r="G231" s="2">
        <v>0</v>
      </c>
      <c r="H231" s="2">
        <v>0.04</v>
      </c>
      <c r="I231" s="2">
        <v>0</v>
      </c>
      <c r="J231" s="2">
        <v>0</v>
      </c>
      <c r="K231" s="2">
        <v>0</v>
      </c>
      <c r="L231" s="2">
        <v>0.06</v>
      </c>
      <c r="M231" s="2">
        <v>0</v>
      </c>
      <c r="N231" s="2">
        <v>0</v>
      </c>
    </row>
    <row r="232" spans="1:14">
      <c r="A232" s="2">
        <v>231</v>
      </c>
      <c r="B232" s="2" t="s">
        <v>20</v>
      </c>
      <c r="C232" s="2" t="s">
        <v>20</v>
      </c>
      <c r="D232" s="2">
        <v>0</v>
      </c>
      <c r="E232" s="2">
        <v>0.99</v>
      </c>
      <c r="F232" s="2">
        <v>0</v>
      </c>
      <c r="G232" s="2">
        <v>0.01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</row>
    <row r="233" spans="1:14">
      <c r="A233" s="2">
        <v>232</v>
      </c>
      <c r="B233" s="2" t="s">
        <v>20</v>
      </c>
      <c r="C233" s="2" t="s">
        <v>20</v>
      </c>
      <c r="D233" s="2">
        <v>0</v>
      </c>
      <c r="E233" s="2">
        <v>1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</row>
    <row r="234" spans="1:14">
      <c r="A234" s="2">
        <v>233</v>
      </c>
      <c r="B234" s="2" t="s">
        <v>20</v>
      </c>
      <c r="C234" s="2" t="s">
        <v>20</v>
      </c>
      <c r="D234" s="2">
        <v>0</v>
      </c>
      <c r="E234" s="2">
        <v>0.99</v>
      </c>
      <c r="F234" s="2">
        <v>0.01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</row>
    <row r="235" spans="1:14">
      <c r="A235" s="2">
        <v>234</v>
      </c>
      <c r="B235" s="2" t="s">
        <v>52</v>
      </c>
      <c r="C235" s="2" t="s">
        <v>52</v>
      </c>
      <c r="D235" s="2">
        <v>0</v>
      </c>
      <c r="E235" s="2">
        <v>0</v>
      </c>
      <c r="F235" s="2">
        <v>0</v>
      </c>
      <c r="G235" s="2">
        <v>1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</row>
    <row r="236" spans="1:14">
      <c r="A236" s="2">
        <v>235</v>
      </c>
      <c r="B236" s="2" t="s">
        <v>20</v>
      </c>
      <c r="C236" s="2" t="s">
        <v>20</v>
      </c>
      <c r="D236" s="2">
        <v>0</v>
      </c>
      <c r="E236" s="2">
        <v>1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</row>
    <row r="237" spans="1:14">
      <c r="A237" s="2">
        <v>236</v>
      </c>
      <c r="B237" s="2" t="s">
        <v>39</v>
      </c>
      <c r="C237" s="2" t="s">
        <v>39</v>
      </c>
      <c r="D237" s="2">
        <v>0</v>
      </c>
      <c r="E237" s="2">
        <v>0.2</v>
      </c>
      <c r="F237" s="2">
        <v>0</v>
      </c>
      <c r="G237" s="2">
        <v>0</v>
      </c>
      <c r="H237" s="2">
        <v>0.77</v>
      </c>
      <c r="I237" s="2">
        <v>0</v>
      </c>
      <c r="J237" s="2">
        <v>0.03</v>
      </c>
      <c r="K237" s="2">
        <v>0</v>
      </c>
      <c r="L237" s="2">
        <v>0</v>
      </c>
      <c r="M237" s="2">
        <v>0</v>
      </c>
      <c r="N237" s="2">
        <v>0</v>
      </c>
    </row>
    <row r="238" spans="1:14">
      <c r="A238" s="2">
        <v>237</v>
      </c>
      <c r="B238" s="2" t="s">
        <v>20</v>
      </c>
      <c r="C238" s="2" t="s">
        <v>20</v>
      </c>
      <c r="D238" s="2">
        <v>0</v>
      </c>
      <c r="E238" s="2">
        <v>1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</row>
    <row r="239" spans="1:14">
      <c r="A239" s="2">
        <v>238</v>
      </c>
      <c r="B239" s="2" t="s">
        <v>20</v>
      </c>
      <c r="C239" s="2" t="s">
        <v>20</v>
      </c>
      <c r="D239" s="2">
        <v>0</v>
      </c>
      <c r="E239" s="2">
        <v>0.99</v>
      </c>
      <c r="F239" s="2">
        <v>0</v>
      </c>
      <c r="G239" s="2">
        <v>0</v>
      </c>
      <c r="H239" s="2">
        <v>0.01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</row>
    <row r="240" spans="1:14">
      <c r="A240" s="2">
        <v>239</v>
      </c>
      <c r="B240" s="2" t="s">
        <v>20</v>
      </c>
      <c r="C240" s="2" t="s">
        <v>20</v>
      </c>
      <c r="D240" s="2">
        <v>0</v>
      </c>
      <c r="E240" s="2">
        <v>1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</row>
    <row r="241" spans="1:14">
      <c r="A241" s="2">
        <v>240</v>
      </c>
      <c r="B241" s="2" t="s">
        <v>39</v>
      </c>
      <c r="C241" s="2" t="s">
        <v>39</v>
      </c>
      <c r="D241" s="2">
        <v>0</v>
      </c>
      <c r="E241" s="2">
        <v>0</v>
      </c>
      <c r="F241" s="2">
        <v>0.03</v>
      </c>
      <c r="G241" s="2">
        <v>0</v>
      </c>
      <c r="H241" s="2">
        <v>0.94</v>
      </c>
      <c r="I241" s="2">
        <v>0</v>
      </c>
      <c r="J241" s="2">
        <v>0</v>
      </c>
      <c r="K241" s="2">
        <v>0</v>
      </c>
      <c r="L241" s="2">
        <v>0.03</v>
      </c>
      <c r="M241" s="2">
        <v>0</v>
      </c>
      <c r="N241" s="2">
        <v>0</v>
      </c>
    </row>
    <row r="242" spans="1:14">
      <c r="A242" s="2">
        <v>241</v>
      </c>
      <c r="B242" s="2" t="s">
        <v>26</v>
      </c>
      <c r="C242" s="2" t="s">
        <v>26</v>
      </c>
      <c r="D242" s="2">
        <v>0</v>
      </c>
      <c r="E242" s="2">
        <v>0</v>
      </c>
      <c r="F242" s="2">
        <v>1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</row>
    <row r="243" spans="1:14">
      <c r="A243" s="2">
        <v>242</v>
      </c>
      <c r="B243" s="2" t="s">
        <v>20</v>
      </c>
      <c r="C243" s="2" t="s">
        <v>20</v>
      </c>
      <c r="D243" s="2">
        <v>0</v>
      </c>
      <c r="E243" s="2">
        <v>1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</row>
    <row r="244" spans="1:14">
      <c r="A244" s="2">
        <v>243</v>
      </c>
      <c r="B244" s="2" t="s">
        <v>48</v>
      </c>
      <c r="C244" s="2" t="s">
        <v>48</v>
      </c>
      <c r="D244" s="2">
        <v>0</v>
      </c>
      <c r="E244" s="2">
        <v>0</v>
      </c>
      <c r="F244" s="2">
        <v>0</v>
      </c>
      <c r="G244" s="2">
        <v>0</v>
      </c>
      <c r="H244" s="2">
        <v>0.01</v>
      </c>
      <c r="I244" s="2">
        <v>0</v>
      </c>
      <c r="J244" s="2">
        <v>0</v>
      </c>
      <c r="K244" s="2">
        <v>0</v>
      </c>
      <c r="L244" s="2">
        <v>0.99</v>
      </c>
      <c r="M244" s="2">
        <v>0</v>
      </c>
      <c r="N244" s="2">
        <v>0</v>
      </c>
    </row>
    <row r="245" spans="1:14">
      <c r="A245" s="2">
        <v>244</v>
      </c>
      <c r="B245" s="2" t="s">
        <v>20</v>
      </c>
      <c r="C245" s="2" t="s">
        <v>20</v>
      </c>
      <c r="D245" s="2">
        <v>0</v>
      </c>
      <c r="E245" s="2">
        <v>0.73</v>
      </c>
      <c r="F245" s="2">
        <v>0</v>
      </c>
      <c r="G245" s="2">
        <v>0</v>
      </c>
      <c r="H245" s="2">
        <v>0.26</v>
      </c>
      <c r="I245" s="2">
        <v>0</v>
      </c>
      <c r="J245" s="2">
        <v>0</v>
      </c>
      <c r="K245" s="2">
        <v>0.01</v>
      </c>
      <c r="L245" s="2">
        <v>0</v>
      </c>
      <c r="M245" s="2">
        <v>0</v>
      </c>
      <c r="N245" s="2">
        <v>0</v>
      </c>
    </row>
    <row r="246" spans="1:14">
      <c r="A246" s="2">
        <v>245</v>
      </c>
      <c r="B246" s="2" t="s">
        <v>20</v>
      </c>
      <c r="C246" s="2" t="s">
        <v>20</v>
      </c>
      <c r="D246" s="2">
        <v>0</v>
      </c>
      <c r="E246" s="2">
        <v>1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</row>
    <row r="247" spans="1:14">
      <c r="A247" s="2">
        <v>246</v>
      </c>
      <c r="B247" s="2" t="s">
        <v>20</v>
      </c>
      <c r="C247" s="2" t="s">
        <v>20</v>
      </c>
      <c r="D247" s="2">
        <v>0.01</v>
      </c>
      <c r="E247" s="2">
        <v>0.97</v>
      </c>
      <c r="F247" s="2">
        <v>0</v>
      </c>
      <c r="G247" s="2">
        <v>0</v>
      </c>
      <c r="H247" s="2">
        <v>0.02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</row>
    <row r="248" spans="1:14">
      <c r="A248" s="2">
        <v>247</v>
      </c>
      <c r="B248" s="2" t="s">
        <v>20</v>
      </c>
      <c r="C248" s="2" t="s">
        <v>20</v>
      </c>
      <c r="D248" s="2">
        <v>0</v>
      </c>
      <c r="E248" s="2">
        <v>1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</row>
    <row r="249" spans="1:14">
      <c r="A249" s="2">
        <v>248</v>
      </c>
      <c r="B249" s="2" t="s">
        <v>52</v>
      </c>
      <c r="C249" s="2" t="s">
        <v>52</v>
      </c>
      <c r="D249" s="2">
        <v>7.0000000000000007E-2</v>
      </c>
      <c r="E249" s="2">
        <v>0</v>
      </c>
      <c r="F249" s="2">
        <v>0</v>
      </c>
      <c r="G249" s="2">
        <v>0.87</v>
      </c>
      <c r="H249" s="2">
        <v>0</v>
      </c>
      <c r="I249" s="2">
        <v>0</v>
      </c>
      <c r="J249" s="2">
        <v>0.04</v>
      </c>
      <c r="K249" s="2">
        <v>0</v>
      </c>
      <c r="L249" s="2">
        <v>0</v>
      </c>
      <c r="M249" s="2">
        <v>0.02</v>
      </c>
      <c r="N249" s="2">
        <v>0</v>
      </c>
    </row>
    <row r="250" spans="1:14">
      <c r="A250" s="2">
        <v>249</v>
      </c>
      <c r="B250" s="2" t="s">
        <v>20</v>
      </c>
      <c r="C250" s="2" t="s">
        <v>20</v>
      </c>
      <c r="D250" s="2">
        <v>0</v>
      </c>
      <c r="E250" s="2">
        <v>0.9</v>
      </c>
      <c r="F250" s="2">
        <v>0</v>
      </c>
      <c r="G250" s="2">
        <v>0</v>
      </c>
      <c r="H250" s="2">
        <v>0.06</v>
      </c>
      <c r="I250" s="2">
        <v>0</v>
      </c>
      <c r="J250" s="2">
        <v>0.04</v>
      </c>
      <c r="K250" s="2">
        <v>0</v>
      </c>
      <c r="L250" s="2">
        <v>0</v>
      </c>
      <c r="M250" s="2">
        <v>0</v>
      </c>
      <c r="N250" s="2">
        <v>0</v>
      </c>
    </row>
    <row r="251" spans="1:14">
      <c r="A251" s="2">
        <v>250</v>
      </c>
      <c r="B251" s="2" t="s">
        <v>39</v>
      </c>
      <c r="C251" s="2" t="s">
        <v>39</v>
      </c>
      <c r="D251" s="2">
        <v>0</v>
      </c>
      <c r="E251" s="2">
        <v>0.09</v>
      </c>
      <c r="F251" s="2">
        <v>0</v>
      </c>
      <c r="G251" s="2">
        <v>0</v>
      </c>
      <c r="H251" s="2">
        <v>0.88</v>
      </c>
      <c r="I251" s="2">
        <v>0</v>
      </c>
      <c r="J251" s="2">
        <v>0.01</v>
      </c>
      <c r="K251" s="2">
        <v>0</v>
      </c>
      <c r="L251" s="2">
        <v>0</v>
      </c>
      <c r="M251" s="2">
        <v>0.02</v>
      </c>
      <c r="N251" s="2">
        <v>0</v>
      </c>
    </row>
    <row r="252" spans="1:14">
      <c r="A252" s="2">
        <v>251</v>
      </c>
      <c r="B252" s="2" t="s">
        <v>20</v>
      </c>
      <c r="C252" s="2" t="s">
        <v>20</v>
      </c>
      <c r="D252" s="2">
        <v>0</v>
      </c>
      <c r="E252" s="2">
        <v>1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</row>
    <row r="253" spans="1:14">
      <c r="A253" s="2">
        <v>252</v>
      </c>
      <c r="B253" s="2" t="s">
        <v>39</v>
      </c>
      <c r="C253" s="2" t="s">
        <v>39</v>
      </c>
      <c r="D253" s="2">
        <v>0.02</v>
      </c>
      <c r="E253" s="2">
        <v>0</v>
      </c>
      <c r="F253" s="2">
        <v>0</v>
      </c>
      <c r="G253" s="2">
        <v>0</v>
      </c>
      <c r="H253" s="2">
        <v>0.92</v>
      </c>
      <c r="I253" s="2">
        <v>0</v>
      </c>
      <c r="J253" s="2">
        <v>0.02</v>
      </c>
      <c r="K253" s="2">
        <v>0.04</v>
      </c>
      <c r="L253" s="2">
        <v>0</v>
      </c>
      <c r="M253" s="2">
        <v>0</v>
      </c>
      <c r="N253" s="2">
        <v>0</v>
      </c>
    </row>
    <row r="254" spans="1:14">
      <c r="A254" s="2">
        <v>253</v>
      </c>
      <c r="B254" s="2" t="s">
        <v>20</v>
      </c>
      <c r="C254" s="2" t="s">
        <v>20</v>
      </c>
      <c r="D254" s="2">
        <v>0</v>
      </c>
      <c r="E254" s="2">
        <v>1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</row>
    <row r="255" spans="1:14">
      <c r="A255" s="2">
        <v>254</v>
      </c>
      <c r="B255" s="2" t="s">
        <v>59</v>
      </c>
      <c r="C255" s="2" t="s">
        <v>59</v>
      </c>
      <c r="D255" s="2">
        <v>0.13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0.2</v>
      </c>
      <c r="K255" s="2">
        <v>0</v>
      </c>
      <c r="L255" s="2">
        <v>0</v>
      </c>
      <c r="M255" s="2">
        <v>0.67</v>
      </c>
      <c r="N255" s="2">
        <v>0</v>
      </c>
    </row>
    <row r="256" spans="1:14">
      <c r="A256" s="2">
        <v>255</v>
      </c>
      <c r="B256" s="2" t="s">
        <v>20</v>
      </c>
      <c r="C256" s="2" t="s">
        <v>20</v>
      </c>
      <c r="D256" s="2">
        <v>0</v>
      </c>
      <c r="E256" s="2">
        <v>1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</row>
    <row r="257" spans="1:14">
      <c r="A257" s="2">
        <v>256</v>
      </c>
      <c r="B257" s="2" t="s">
        <v>43</v>
      </c>
      <c r="C257" s="2" t="s">
        <v>43</v>
      </c>
      <c r="D257" s="2">
        <v>0.04</v>
      </c>
      <c r="E257" s="2">
        <v>0.06</v>
      </c>
      <c r="F257" s="2">
        <v>0</v>
      </c>
      <c r="G257" s="2">
        <v>0</v>
      </c>
      <c r="H257" s="2">
        <v>0.09</v>
      </c>
      <c r="I257" s="2">
        <v>0</v>
      </c>
      <c r="J257" s="2">
        <v>0.81</v>
      </c>
      <c r="K257" s="2">
        <v>0</v>
      </c>
      <c r="L257" s="2">
        <v>0</v>
      </c>
      <c r="M257" s="2">
        <v>0</v>
      </c>
      <c r="N257" s="2">
        <v>0</v>
      </c>
    </row>
    <row r="258" spans="1:14">
      <c r="A258" s="2">
        <v>257</v>
      </c>
      <c r="B258" s="2" t="s">
        <v>39</v>
      </c>
      <c r="C258" s="2" t="s">
        <v>39</v>
      </c>
      <c r="D258" s="2">
        <v>0</v>
      </c>
      <c r="E258" s="2">
        <v>0</v>
      </c>
      <c r="F258" s="2">
        <v>0</v>
      </c>
      <c r="G258" s="2">
        <v>0</v>
      </c>
      <c r="H258" s="2">
        <v>0.99</v>
      </c>
      <c r="I258" s="2">
        <v>0</v>
      </c>
      <c r="J258" s="2">
        <v>0</v>
      </c>
      <c r="K258" s="2">
        <v>0</v>
      </c>
      <c r="L258" s="2">
        <v>0.01</v>
      </c>
      <c r="M258" s="2">
        <v>0</v>
      </c>
      <c r="N258" s="2">
        <v>0</v>
      </c>
    </row>
    <row r="259" spans="1:14">
      <c r="A259" s="2">
        <v>258</v>
      </c>
      <c r="B259" s="2" t="s">
        <v>20</v>
      </c>
      <c r="C259" s="2" t="s">
        <v>20</v>
      </c>
      <c r="D259" s="2">
        <v>0</v>
      </c>
      <c r="E259" s="2">
        <v>0.86</v>
      </c>
      <c r="F259" s="2">
        <v>0</v>
      </c>
      <c r="G259" s="2">
        <v>0</v>
      </c>
      <c r="H259" s="2">
        <v>0.11</v>
      </c>
      <c r="I259" s="2">
        <v>0</v>
      </c>
      <c r="J259" s="2">
        <v>0.02</v>
      </c>
      <c r="K259" s="2">
        <v>0</v>
      </c>
      <c r="L259" s="2">
        <v>0</v>
      </c>
      <c r="M259" s="2">
        <v>0.01</v>
      </c>
      <c r="N259" s="2">
        <v>0</v>
      </c>
    </row>
    <row r="260" spans="1:14">
      <c r="A260" s="2">
        <v>259</v>
      </c>
      <c r="B260" s="2" t="s">
        <v>39</v>
      </c>
      <c r="C260" s="2" t="s">
        <v>39</v>
      </c>
      <c r="D260" s="2">
        <v>0</v>
      </c>
      <c r="E260" s="2">
        <v>0.13</v>
      </c>
      <c r="F260" s="2">
        <v>0</v>
      </c>
      <c r="G260" s="2">
        <v>0</v>
      </c>
      <c r="H260" s="2">
        <v>0.86</v>
      </c>
      <c r="I260" s="2">
        <v>0</v>
      </c>
      <c r="J260" s="2">
        <v>0.01</v>
      </c>
      <c r="K260" s="2">
        <v>0</v>
      </c>
      <c r="L260" s="2">
        <v>0</v>
      </c>
      <c r="M260" s="2">
        <v>0</v>
      </c>
      <c r="N260" s="2">
        <v>0</v>
      </c>
    </row>
    <row r="261" spans="1:14">
      <c r="A261" s="2">
        <v>260</v>
      </c>
      <c r="B261" s="2" t="s">
        <v>59</v>
      </c>
      <c r="C261" s="2" t="s">
        <v>59</v>
      </c>
      <c r="D261" s="2">
        <v>0.05</v>
      </c>
      <c r="E261" s="2">
        <v>0</v>
      </c>
      <c r="F261" s="2">
        <v>0</v>
      </c>
      <c r="G261" s="2">
        <v>0</v>
      </c>
      <c r="H261" s="2">
        <v>0.18</v>
      </c>
      <c r="I261" s="2">
        <v>0</v>
      </c>
      <c r="J261" s="2">
        <v>0</v>
      </c>
      <c r="K261" s="2">
        <v>0</v>
      </c>
      <c r="L261" s="2">
        <v>0</v>
      </c>
      <c r="M261" s="2">
        <v>0.77</v>
      </c>
      <c r="N261" s="2">
        <v>0</v>
      </c>
    </row>
    <row r="262" spans="1:14">
      <c r="A262" s="2">
        <v>261</v>
      </c>
      <c r="B262" s="2" t="s">
        <v>48</v>
      </c>
      <c r="C262" s="2" t="s">
        <v>48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1</v>
      </c>
      <c r="M262" s="2">
        <v>0</v>
      </c>
      <c r="N262" s="2">
        <v>0</v>
      </c>
    </row>
    <row r="263" spans="1:14">
      <c r="A263" s="2">
        <v>262</v>
      </c>
      <c r="B263" s="2" t="s">
        <v>59</v>
      </c>
      <c r="C263" s="2" t="s">
        <v>59</v>
      </c>
      <c r="D263" s="2">
        <v>0</v>
      </c>
      <c r="E263" s="2">
        <v>0.01</v>
      </c>
      <c r="F263" s="2">
        <v>0</v>
      </c>
      <c r="G263" s="2">
        <v>0</v>
      </c>
      <c r="H263" s="2">
        <v>0.02</v>
      </c>
      <c r="I263" s="2">
        <v>0</v>
      </c>
      <c r="J263" s="2">
        <v>0.22</v>
      </c>
      <c r="K263" s="2">
        <v>0</v>
      </c>
      <c r="L263" s="2">
        <v>0</v>
      </c>
      <c r="M263" s="2">
        <v>0.75</v>
      </c>
      <c r="N263" s="2">
        <v>0</v>
      </c>
    </row>
    <row r="264" spans="1:14">
      <c r="A264" s="2">
        <v>263</v>
      </c>
      <c r="B264" s="2" t="s">
        <v>43</v>
      </c>
      <c r="C264" s="2" t="s">
        <v>43</v>
      </c>
      <c r="D264" s="2">
        <v>0.02</v>
      </c>
      <c r="E264" s="2">
        <v>0</v>
      </c>
      <c r="F264" s="2">
        <v>0</v>
      </c>
      <c r="G264" s="2">
        <v>0</v>
      </c>
      <c r="H264" s="2">
        <v>0.06</v>
      </c>
      <c r="I264" s="2">
        <v>0</v>
      </c>
      <c r="J264" s="2">
        <v>0.84</v>
      </c>
      <c r="K264" s="2">
        <v>0</v>
      </c>
      <c r="L264" s="2">
        <v>0</v>
      </c>
      <c r="M264" s="2">
        <v>0.08</v>
      </c>
      <c r="N264" s="2">
        <v>0</v>
      </c>
    </row>
    <row r="265" spans="1:14">
      <c r="A265" s="2">
        <v>264</v>
      </c>
      <c r="B265" s="2" t="s">
        <v>20</v>
      </c>
      <c r="C265" s="2" t="s">
        <v>20</v>
      </c>
      <c r="D265" s="2">
        <v>0</v>
      </c>
      <c r="E265" s="2">
        <v>0.94</v>
      </c>
      <c r="F265" s="2">
        <v>0</v>
      </c>
      <c r="G265" s="2">
        <v>0</v>
      </c>
      <c r="H265" s="2">
        <v>0</v>
      </c>
      <c r="I265" s="2">
        <v>0.06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</row>
    <row r="266" spans="1:14">
      <c r="A266" s="2">
        <v>265</v>
      </c>
      <c r="B266" s="2" t="s">
        <v>43</v>
      </c>
      <c r="C266" s="2" t="s">
        <v>43</v>
      </c>
      <c r="D266" s="2">
        <v>0</v>
      </c>
      <c r="E266" s="2">
        <v>0.08</v>
      </c>
      <c r="F266" s="2">
        <v>0</v>
      </c>
      <c r="G266" s="2">
        <v>0</v>
      </c>
      <c r="H266" s="2">
        <v>0.04</v>
      </c>
      <c r="I266" s="2">
        <v>0</v>
      </c>
      <c r="J266" s="2">
        <v>0.85</v>
      </c>
      <c r="K266" s="2">
        <v>0</v>
      </c>
      <c r="L266" s="2">
        <v>0</v>
      </c>
      <c r="M266" s="2">
        <v>0.03</v>
      </c>
      <c r="N266" s="2">
        <v>0</v>
      </c>
    </row>
    <row r="267" spans="1:14">
      <c r="A267" s="2">
        <v>266</v>
      </c>
      <c r="B267" s="2" t="s">
        <v>39</v>
      </c>
      <c r="C267" s="2" t="s">
        <v>39</v>
      </c>
      <c r="D267" s="2">
        <v>0.04</v>
      </c>
      <c r="E267" s="2">
        <v>0</v>
      </c>
      <c r="F267" s="2">
        <v>0</v>
      </c>
      <c r="G267" s="2">
        <v>0</v>
      </c>
      <c r="H267" s="2">
        <v>0.94</v>
      </c>
      <c r="I267" s="2">
        <v>0</v>
      </c>
      <c r="J267" s="2">
        <v>0.01</v>
      </c>
      <c r="K267" s="2">
        <v>0</v>
      </c>
      <c r="L267" s="2">
        <v>0</v>
      </c>
      <c r="M267" s="2">
        <v>0.01</v>
      </c>
      <c r="N267" s="2">
        <v>0</v>
      </c>
    </row>
    <row r="268" spans="1:14">
      <c r="A268" s="2">
        <v>267</v>
      </c>
      <c r="B268" s="2" t="s">
        <v>20</v>
      </c>
      <c r="C268" s="2" t="s">
        <v>20</v>
      </c>
      <c r="D268" s="2">
        <v>0.09</v>
      </c>
      <c r="E268" s="2">
        <v>0.65</v>
      </c>
      <c r="F268" s="2">
        <v>0</v>
      </c>
      <c r="G268" s="2">
        <v>0</v>
      </c>
      <c r="H268" s="2">
        <v>7.0000000000000007E-2</v>
      </c>
      <c r="I268" s="2">
        <v>0</v>
      </c>
      <c r="J268" s="2">
        <v>0.18</v>
      </c>
      <c r="K268" s="2">
        <v>0.01</v>
      </c>
      <c r="L268" s="2">
        <v>0</v>
      </c>
      <c r="M268" s="2">
        <v>0</v>
      </c>
      <c r="N268" s="2">
        <v>0</v>
      </c>
    </row>
    <row r="269" spans="1:14">
      <c r="A269" s="2">
        <v>268</v>
      </c>
      <c r="B269" s="2" t="s">
        <v>20</v>
      </c>
      <c r="C269" s="2" t="s">
        <v>20</v>
      </c>
      <c r="D269" s="2">
        <v>0</v>
      </c>
      <c r="E269" s="2">
        <v>1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</row>
    <row r="270" spans="1:14">
      <c r="A270" s="2">
        <v>269</v>
      </c>
      <c r="B270" s="2" t="s">
        <v>20</v>
      </c>
      <c r="C270" s="2" t="s">
        <v>20</v>
      </c>
      <c r="D270" s="2">
        <v>0</v>
      </c>
      <c r="E270" s="2">
        <v>1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</row>
    <row r="271" spans="1:14">
      <c r="A271" s="2">
        <v>270</v>
      </c>
      <c r="B271" s="2" t="s">
        <v>39</v>
      </c>
      <c r="C271" s="2" t="s">
        <v>39</v>
      </c>
      <c r="D271" s="2">
        <v>0</v>
      </c>
      <c r="E271" s="2">
        <v>0</v>
      </c>
      <c r="F271" s="2">
        <v>0</v>
      </c>
      <c r="G271" s="2">
        <v>0</v>
      </c>
      <c r="H271" s="2">
        <v>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</row>
    <row r="272" spans="1:14">
      <c r="A272" s="2">
        <v>271</v>
      </c>
      <c r="B272" s="2" t="s">
        <v>59</v>
      </c>
      <c r="C272" s="2" t="s">
        <v>59</v>
      </c>
      <c r="D272" s="2">
        <v>0</v>
      </c>
      <c r="E272" s="2">
        <v>0</v>
      </c>
      <c r="F272" s="2">
        <v>0</v>
      </c>
      <c r="G272" s="2">
        <v>0</v>
      </c>
      <c r="H272" s="2">
        <v>0.15</v>
      </c>
      <c r="I272" s="2">
        <v>0</v>
      </c>
      <c r="J272" s="2">
        <v>0.14000000000000001</v>
      </c>
      <c r="K272" s="2">
        <v>0</v>
      </c>
      <c r="L272" s="2">
        <v>0</v>
      </c>
      <c r="M272" s="2">
        <v>0.71</v>
      </c>
      <c r="N272" s="2">
        <v>0</v>
      </c>
    </row>
    <row r="273" spans="1:14">
      <c r="A273" s="2">
        <v>272</v>
      </c>
      <c r="B273" s="2" t="s">
        <v>20</v>
      </c>
      <c r="C273" s="2" t="s">
        <v>20</v>
      </c>
      <c r="D273" s="2">
        <v>0</v>
      </c>
      <c r="E273" s="2">
        <v>1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</row>
    <row r="274" spans="1:14">
      <c r="A274" s="2">
        <v>273</v>
      </c>
      <c r="B274" s="2" t="s">
        <v>43</v>
      </c>
      <c r="C274" s="2" t="s">
        <v>43</v>
      </c>
      <c r="D274" s="2">
        <v>0.01</v>
      </c>
      <c r="E274" s="2">
        <v>0</v>
      </c>
      <c r="F274" s="2">
        <v>0</v>
      </c>
      <c r="G274" s="2">
        <v>0</v>
      </c>
      <c r="H274" s="2">
        <v>0.03</v>
      </c>
      <c r="I274" s="2">
        <v>0.04</v>
      </c>
      <c r="J274" s="2">
        <v>0.82</v>
      </c>
      <c r="K274" s="2">
        <v>0</v>
      </c>
      <c r="L274" s="2">
        <v>0</v>
      </c>
      <c r="M274" s="2">
        <v>0.1</v>
      </c>
      <c r="N274" s="2">
        <v>0</v>
      </c>
    </row>
    <row r="275" spans="1:14">
      <c r="A275" s="2">
        <v>274</v>
      </c>
      <c r="B275" s="2" t="s">
        <v>39</v>
      </c>
      <c r="C275" s="2" t="s">
        <v>39</v>
      </c>
      <c r="D275" s="2">
        <v>0.02</v>
      </c>
      <c r="E275" s="2">
        <v>0.02</v>
      </c>
      <c r="F275" s="2">
        <v>0</v>
      </c>
      <c r="G275" s="2">
        <v>0</v>
      </c>
      <c r="H275" s="2">
        <v>0.77</v>
      </c>
      <c r="I275" s="2">
        <v>0</v>
      </c>
      <c r="J275" s="2">
        <v>0.06</v>
      </c>
      <c r="K275" s="2">
        <v>0</v>
      </c>
      <c r="L275" s="2">
        <v>0</v>
      </c>
      <c r="M275" s="2">
        <v>0.13</v>
      </c>
      <c r="N275" s="2">
        <v>0</v>
      </c>
    </row>
    <row r="276" spans="1:14">
      <c r="A276" s="2">
        <v>275</v>
      </c>
      <c r="B276" s="2" t="s">
        <v>59</v>
      </c>
      <c r="C276" s="2" t="s">
        <v>59</v>
      </c>
      <c r="D276" s="2">
        <v>0</v>
      </c>
      <c r="E276" s="2">
        <v>0.01</v>
      </c>
      <c r="F276" s="2">
        <v>0</v>
      </c>
      <c r="G276" s="2">
        <v>0</v>
      </c>
      <c r="H276" s="2">
        <v>0.05</v>
      </c>
      <c r="I276" s="2">
        <v>0</v>
      </c>
      <c r="J276" s="2">
        <v>0.18</v>
      </c>
      <c r="K276" s="2">
        <v>0</v>
      </c>
      <c r="L276" s="2">
        <v>0</v>
      </c>
      <c r="M276" s="2">
        <v>0.76</v>
      </c>
      <c r="N276" s="2">
        <v>0</v>
      </c>
    </row>
    <row r="277" spans="1:14">
      <c r="A277" s="2">
        <v>276</v>
      </c>
      <c r="B277" s="2" t="s">
        <v>20</v>
      </c>
      <c r="C277" s="2" t="s">
        <v>20</v>
      </c>
      <c r="D277" s="2">
        <v>0</v>
      </c>
      <c r="E277" s="2">
        <v>1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</row>
    <row r="278" spans="1:14">
      <c r="A278" s="2">
        <v>277</v>
      </c>
      <c r="B278" s="2" t="s">
        <v>20</v>
      </c>
      <c r="C278" s="2" t="s">
        <v>20</v>
      </c>
      <c r="D278" s="2">
        <v>0</v>
      </c>
      <c r="E278" s="2">
        <v>1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</row>
    <row r="279" spans="1:14">
      <c r="A279" s="2">
        <v>278</v>
      </c>
      <c r="B279" s="2" t="s">
        <v>48</v>
      </c>
      <c r="C279" s="2" t="s">
        <v>48</v>
      </c>
      <c r="D279" s="2">
        <v>0</v>
      </c>
      <c r="E279" s="2">
        <v>0</v>
      </c>
      <c r="F279" s="2">
        <v>0.02</v>
      </c>
      <c r="G279" s="2">
        <v>0</v>
      </c>
      <c r="H279" s="2">
        <v>0</v>
      </c>
      <c r="I279" s="2">
        <v>0</v>
      </c>
      <c r="J279" s="2">
        <v>0.04</v>
      </c>
      <c r="K279" s="2">
        <v>0</v>
      </c>
      <c r="L279" s="2">
        <v>0.94</v>
      </c>
      <c r="M279" s="2">
        <v>0</v>
      </c>
      <c r="N279" s="2">
        <v>0</v>
      </c>
    </row>
    <row r="280" spans="1:14">
      <c r="A280" s="2">
        <v>279</v>
      </c>
      <c r="B280" s="2" t="s">
        <v>20</v>
      </c>
      <c r="C280" s="2" t="s">
        <v>20</v>
      </c>
      <c r="D280" s="2">
        <v>0</v>
      </c>
      <c r="E280" s="2">
        <v>0.99</v>
      </c>
      <c r="F280" s="2">
        <v>0</v>
      </c>
      <c r="G280" s="2">
        <v>0</v>
      </c>
      <c r="H280" s="2">
        <v>0.01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</row>
    <row r="281" spans="1:14">
      <c r="A281" s="2">
        <v>280</v>
      </c>
      <c r="B281" s="2" t="s">
        <v>39</v>
      </c>
      <c r="C281" s="2" t="s">
        <v>39</v>
      </c>
      <c r="D281" s="2">
        <v>0.01</v>
      </c>
      <c r="E281" s="2">
        <v>0</v>
      </c>
      <c r="F281" s="2">
        <v>0</v>
      </c>
      <c r="G281" s="2">
        <v>0</v>
      </c>
      <c r="H281" s="2">
        <v>0.99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</row>
    <row r="282" spans="1:14">
      <c r="A282" s="2">
        <v>281</v>
      </c>
      <c r="B282" s="2" t="s">
        <v>20</v>
      </c>
      <c r="C282" s="2" t="s">
        <v>20</v>
      </c>
      <c r="D282" s="2">
        <v>0</v>
      </c>
      <c r="E282" s="2">
        <v>1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</row>
    <row r="283" spans="1:14">
      <c r="A283" s="2">
        <v>282</v>
      </c>
      <c r="B283" s="2" t="s">
        <v>39</v>
      </c>
      <c r="C283" s="2" t="s">
        <v>39</v>
      </c>
      <c r="D283" s="2">
        <v>0.17</v>
      </c>
      <c r="E283" s="2">
        <v>0.03</v>
      </c>
      <c r="F283" s="2">
        <v>0</v>
      </c>
      <c r="G283" s="2">
        <v>0</v>
      </c>
      <c r="H283" s="2">
        <v>0.76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0.04</v>
      </c>
    </row>
    <row r="284" spans="1:14">
      <c r="A284" s="2">
        <v>283</v>
      </c>
      <c r="B284" s="2" t="s">
        <v>20</v>
      </c>
      <c r="C284" s="2" t="s">
        <v>20</v>
      </c>
      <c r="D284" s="2">
        <v>0.01</v>
      </c>
      <c r="E284" s="2">
        <v>0.99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</row>
    <row r="285" spans="1:14">
      <c r="A285" s="2">
        <v>284</v>
      </c>
      <c r="B285" s="2" t="s">
        <v>43</v>
      </c>
      <c r="C285" s="2" t="s">
        <v>43</v>
      </c>
      <c r="D285" s="2">
        <v>0</v>
      </c>
      <c r="E285" s="2">
        <v>0</v>
      </c>
      <c r="F285" s="2">
        <v>0</v>
      </c>
      <c r="G285" s="2">
        <v>0.01</v>
      </c>
      <c r="H285" s="2">
        <v>0.03</v>
      </c>
      <c r="I285" s="2">
        <v>0</v>
      </c>
      <c r="J285" s="2">
        <v>0.95</v>
      </c>
      <c r="K285" s="2">
        <v>0.01</v>
      </c>
      <c r="L285" s="2">
        <v>0</v>
      </c>
      <c r="M285" s="2">
        <v>0</v>
      </c>
      <c r="N285" s="2">
        <v>0</v>
      </c>
    </row>
    <row r="286" spans="1:14">
      <c r="A286" s="2">
        <v>285</v>
      </c>
      <c r="B286" s="2" t="s">
        <v>48</v>
      </c>
      <c r="C286" s="2" t="s">
        <v>48</v>
      </c>
      <c r="D286" s="2">
        <v>0</v>
      </c>
      <c r="E286" s="2">
        <v>0</v>
      </c>
      <c r="F286" s="2">
        <v>0.01</v>
      </c>
      <c r="G286" s="2">
        <v>0</v>
      </c>
      <c r="H286" s="2">
        <v>0.01</v>
      </c>
      <c r="I286" s="2">
        <v>0</v>
      </c>
      <c r="J286" s="2">
        <v>0.02</v>
      </c>
      <c r="K286" s="2">
        <v>0</v>
      </c>
      <c r="L286" s="2">
        <v>0.96</v>
      </c>
      <c r="M286" s="2">
        <v>0</v>
      </c>
      <c r="N286" s="2">
        <v>0</v>
      </c>
    </row>
    <row r="287" spans="1:14">
      <c r="A287" s="2">
        <v>286</v>
      </c>
      <c r="B287" s="2" t="s">
        <v>39</v>
      </c>
      <c r="C287" s="2" t="s">
        <v>39</v>
      </c>
      <c r="D287" s="2">
        <v>0</v>
      </c>
      <c r="E287" s="2">
        <v>7.0000000000000007E-2</v>
      </c>
      <c r="F287" s="2">
        <v>0</v>
      </c>
      <c r="G287" s="2">
        <v>0</v>
      </c>
      <c r="H287" s="2">
        <v>0.9</v>
      </c>
      <c r="I287" s="2">
        <v>0</v>
      </c>
      <c r="J287" s="2">
        <v>0.03</v>
      </c>
      <c r="K287" s="2">
        <v>0</v>
      </c>
      <c r="L287" s="2">
        <v>0</v>
      </c>
      <c r="M287" s="2">
        <v>0</v>
      </c>
      <c r="N287" s="2">
        <v>0</v>
      </c>
    </row>
    <row r="288" spans="1:14">
      <c r="A288" s="2">
        <v>287</v>
      </c>
      <c r="B288" s="2" t="s">
        <v>59</v>
      </c>
      <c r="C288" s="2" t="s">
        <v>59</v>
      </c>
      <c r="D288" s="2">
        <v>0.01</v>
      </c>
      <c r="E288" s="2">
        <v>0.06</v>
      </c>
      <c r="F288" s="2">
        <v>0</v>
      </c>
      <c r="G288" s="2">
        <v>0</v>
      </c>
      <c r="H288" s="2">
        <v>0.09</v>
      </c>
      <c r="I288" s="2">
        <v>0</v>
      </c>
      <c r="J288" s="2">
        <v>0.05</v>
      </c>
      <c r="K288" s="2">
        <v>0</v>
      </c>
      <c r="L288" s="2">
        <v>0</v>
      </c>
      <c r="M288" s="2">
        <v>0.79</v>
      </c>
      <c r="N288" s="2">
        <v>0</v>
      </c>
    </row>
    <row r="289" spans="1:14">
      <c r="A289" s="2">
        <v>288</v>
      </c>
      <c r="B289" s="2" t="s">
        <v>20</v>
      </c>
      <c r="C289" s="2" t="s">
        <v>20</v>
      </c>
      <c r="D289" s="2">
        <v>0</v>
      </c>
      <c r="E289" s="2">
        <v>1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</row>
    <row r="290" spans="1:14">
      <c r="A290" s="2">
        <v>289</v>
      </c>
      <c r="B290" s="2" t="s">
        <v>52</v>
      </c>
      <c r="C290" s="2" t="s">
        <v>52</v>
      </c>
      <c r="D290" s="2">
        <v>0</v>
      </c>
      <c r="E290" s="2">
        <v>0</v>
      </c>
      <c r="F290" s="2">
        <v>0</v>
      </c>
      <c r="G290" s="2">
        <v>0.92</v>
      </c>
      <c r="H290" s="2">
        <v>0</v>
      </c>
      <c r="I290" s="2">
        <v>0</v>
      </c>
      <c r="J290" s="2">
        <v>0.08</v>
      </c>
      <c r="K290" s="2">
        <v>0</v>
      </c>
      <c r="L290" s="2">
        <v>0</v>
      </c>
      <c r="M290" s="2">
        <v>0</v>
      </c>
      <c r="N290" s="2">
        <v>0</v>
      </c>
    </row>
    <row r="291" spans="1:14">
      <c r="A291" s="2">
        <v>290</v>
      </c>
      <c r="B291" s="2" t="s">
        <v>43</v>
      </c>
      <c r="C291" s="2" t="s">
        <v>43</v>
      </c>
      <c r="D291" s="2">
        <v>0.01</v>
      </c>
      <c r="E291" s="2">
        <v>0.01</v>
      </c>
      <c r="F291" s="2">
        <v>0</v>
      </c>
      <c r="G291" s="2">
        <v>0.01</v>
      </c>
      <c r="H291" s="2">
        <v>0</v>
      </c>
      <c r="I291" s="2">
        <v>0</v>
      </c>
      <c r="J291" s="2">
        <v>0.97</v>
      </c>
      <c r="K291" s="2">
        <v>0</v>
      </c>
      <c r="L291" s="2">
        <v>0</v>
      </c>
      <c r="M291" s="2">
        <v>0</v>
      </c>
      <c r="N291" s="2">
        <v>0</v>
      </c>
    </row>
    <row r="292" spans="1:14">
      <c r="A292" s="2">
        <v>291</v>
      </c>
      <c r="B292" s="2" t="s">
        <v>39</v>
      </c>
      <c r="C292" s="2" t="s">
        <v>39</v>
      </c>
      <c r="D292" s="2">
        <v>0.06</v>
      </c>
      <c r="E292" s="2">
        <v>0</v>
      </c>
      <c r="F292" s="2">
        <v>0</v>
      </c>
      <c r="G292" s="2">
        <v>0</v>
      </c>
      <c r="H292" s="2">
        <v>0.76</v>
      </c>
      <c r="I292" s="2">
        <v>0</v>
      </c>
      <c r="J292" s="2">
        <v>0.09</v>
      </c>
      <c r="K292" s="2">
        <v>0</v>
      </c>
      <c r="L292" s="2">
        <v>0</v>
      </c>
      <c r="M292" s="2">
        <v>0.09</v>
      </c>
      <c r="N292" s="2">
        <v>0</v>
      </c>
    </row>
    <row r="293" spans="1:14">
      <c r="A293" s="2">
        <v>292</v>
      </c>
      <c r="B293" s="2" t="s">
        <v>26</v>
      </c>
      <c r="C293" s="2" t="s">
        <v>26</v>
      </c>
      <c r="D293" s="2">
        <v>0.01</v>
      </c>
      <c r="E293" s="2">
        <v>0</v>
      </c>
      <c r="F293" s="2">
        <v>0.99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</row>
    <row r="294" spans="1:14">
      <c r="A294" s="2">
        <v>293</v>
      </c>
      <c r="B294" s="2" t="s">
        <v>39</v>
      </c>
      <c r="C294" s="2" t="s">
        <v>39</v>
      </c>
      <c r="D294" s="2">
        <v>0</v>
      </c>
      <c r="E294" s="2">
        <v>0</v>
      </c>
      <c r="F294" s="2">
        <v>0</v>
      </c>
      <c r="G294" s="2">
        <v>0</v>
      </c>
      <c r="H294" s="2">
        <v>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</row>
    <row r="295" spans="1:14">
      <c r="A295" s="2">
        <v>294</v>
      </c>
      <c r="B295" s="2" t="s">
        <v>43</v>
      </c>
      <c r="C295" s="2" t="s">
        <v>43</v>
      </c>
      <c r="D295" s="2">
        <v>0.01</v>
      </c>
      <c r="E295" s="2">
        <v>0</v>
      </c>
      <c r="F295" s="2">
        <v>0</v>
      </c>
      <c r="G295" s="2">
        <v>0.02</v>
      </c>
      <c r="H295" s="2">
        <v>0.04</v>
      </c>
      <c r="I295" s="2">
        <v>0</v>
      </c>
      <c r="J295" s="2">
        <v>0.93</v>
      </c>
      <c r="K295" s="2">
        <v>0</v>
      </c>
      <c r="L295" s="2">
        <v>0</v>
      </c>
      <c r="M295" s="2">
        <v>0</v>
      </c>
      <c r="N295" s="2">
        <v>0</v>
      </c>
    </row>
    <row r="296" spans="1:14">
      <c r="A296" s="2">
        <v>295</v>
      </c>
      <c r="B296" s="2" t="s">
        <v>59</v>
      </c>
      <c r="C296" s="2" t="s">
        <v>59</v>
      </c>
      <c r="D296" s="2">
        <v>0</v>
      </c>
      <c r="E296" s="2">
        <v>0</v>
      </c>
      <c r="F296" s="2">
        <v>0</v>
      </c>
      <c r="G296" s="2">
        <v>0</v>
      </c>
      <c r="H296" s="2">
        <v>0.34</v>
      </c>
      <c r="I296" s="2">
        <v>0.02</v>
      </c>
      <c r="J296" s="2">
        <v>0</v>
      </c>
      <c r="K296" s="2">
        <v>0</v>
      </c>
      <c r="L296" s="2">
        <v>0</v>
      </c>
      <c r="M296" s="2">
        <v>0.64</v>
      </c>
      <c r="N296" s="2">
        <v>0</v>
      </c>
    </row>
    <row r="297" spans="1:14">
      <c r="A297" s="2">
        <v>296</v>
      </c>
      <c r="B297" s="2" t="s">
        <v>39</v>
      </c>
      <c r="C297" s="2" t="s">
        <v>39</v>
      </c>
      <c r="D297" s="2">
        <v>0</v>
      </c>
      <c r="E297" s="2">
        <v>0.02</v>
      </c>
      <c r="F297" s="2">
        <v>0</v>
      </c>
      <c r="G297" s="2">
        <v>0.02</v>
      </c>
      <c r="H297" s="2">
        <v>0.93</v>
      </c>
      <c r="I297" s="2">
        <v>0</v>
      </c>
      <c r="J297" s="2">
        <v>0.03</v>
      </c>
      <c r="K297" s="2">
        <v>0</v>
      </c>
      <c r="L297" s="2">
        <v>0</v>
      </c>
      <c r="M297" s="2">
        <v>0</v>
      </c>
      <c r="N297" s="2">
        <v>0</v>
      </c>
    </row>
    <row r="298" spans="1:14">
      <c r="A298" s="2">
        <v>297</v>
      </c>
      <c r="B298" s="2" t="s">
        <v>26</v>
      </c>
      <c r="C298" s="2" t="s">
        <v>26</v>
      </c>
      <c r="D298" s="2">
        <v>0</v>
      </c>
      <c r="E298" s="2">
        <v>0</v>
      </c>
      <c r="F298" s="2">
        <v>1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</row>
    <row r="299" spans="1:14">
      <c r="A299" s="2">
        <v>298</v>
      </c>
      <c r="B299" s="2" t="s">
        <v>20</v>
      </c>
      <c r="C299" s="2" t="s">
        <v>20</v>
      </c>
      <c r="D299" s="2">
        <v>0</v>
      </c>
      <c r="E299" s="2">
        <v>1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</row>
    <row r="300" spans="1:14">
      <c r="A300" s="2">
        <v>299</v>
      </c>
      <c r="B300" s="2" t="s">
        <v>39</v>
      </c>
      <c r="C300" s="2" t="s">
        <v>39</v>
      </c>
      <c r="D300" s="2">
        <v>0.01</v>
      </c>
      <c r="E300" s="2">
        <v>0.06</v>
      </c>
      <c r="F300" s="2">
        <v>0</v>
      </c>
      <c r="G300" s="2">
        <v>0</v>
      </c>
      <c r="H300" s="2">
        <v>0.81</v>
      </c>
      <c r="I300" s="2">
        <v>0.01</v>
      </c>
      <c r="J300" s="2">
        <v>0.01</v>
      </c>
      <c r="K300" s="2">
        <v>0</v>
      </c>
      <c r="L300" s="2">
        <v>0</v>
      </c>
      <c r="M300" s="2">
        <v>0.1</v>
      </c>
      <c r="N300" s="2">
        <v>0</v>
      </c>
    </row>
    <row r="301" spans="1:14">
      <c r="A301" s="2">
        <v>300</v>
      </c>
      <c r="B301" s="2" t="s">
        <v>59</v>
      </c>
      <c r="C301" s="2" t="s">
        <v>59</v>
      </c>
      <c r="D301" s="2">
        <v>0.21</v>
      </c>
      <c r="E301" s="2">
        <v>7.0000000000000007E-2</v>
      </c>
      <c r="F301" s="2">
        <v>0</v>
      </c>
      <c r="G301" s="2">
        <v>0</v>
      </c>
      <c r="H301" s="2">
        <v>0.03</v>
      </c>
      <c r="I301" s="2">
        <v>0</v>
      </c>
      <c r="J301" s="2">
        <v>0</v>
      </c>
      <c r="K301" s="2">
        <v>0</v>
      </c>
      <c r="L301" s="2">
        <v>0</v>
      </c>
      <c r="M301" s="2">
        <v>0.69</v>
      </c>
      <c r="N301" s="2">
        <v>0</v>
      </c>
    </row>
    <row r="302" spans="1:14">
      <c r="A302" s="2">
        <v>301</v>
      </c>
      <c r="B302" s="2" t="s">
        <v>39</v>
      </c>
      <c r="C302" s="2" t="s">
        <v>39</v>
      </c>
      <c r="D302" s="2">
        <v>0</v>
      </c>
      <c r="E302" s="2">
        <v>0</v>
      </c>
      <c r="F302" s="2">
        <v>0</v>
      </c>
      <c r="G302" s="2">
        <v>0</v>
      </c>
      <c r="H302" s="2">
        <v>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</row>
    <row r="303" spans="1:14">
      <c r="A303" s="2">
        <v>302</v>
      </c>
      <c r="B303" s="2" t="s">
        <v>26</v>
      </c>
      <c r="C303" s="2" t="s">
        <v>26</v>
      </c>
      <c r="D303" s="2">
        <v>0.03</v>
      </c>
      <c r="E303" s="2">
        <v>0</v>
      </c>
      <c r="F303" s="2">
        <v>0.97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</row>
    <row r="304" spans="1:14">
      <c r="A304" s="2">
        <v>303</v>
      </c>
      <c r="B304" s="2" t="s">
        <v>52</v>
      </c>
      <c r="C304" s="2" t="s">
        <v>52</v>
      </c>
      <c r="D304" s="2">
        <v>0</v>
      </c>
      <c r="E304" s="2">
        <v>0.01</v>
      </c>
      <c r="F304" s="2">
        <v>0</v>
      </c>
      <c r="G304" s="2">
        <v>0.97</v>
      </c>
      <c r="H304" s="2">
        <v>0</v>
      </c>
      <c r="I304" s="2">
        <v>0</v>
      </c>
      <c r="J304" s="2">
        <v>0.02</v>
      </c>
      <c r="K304" s="2">
        <v>0</v>
      </c>
      <c r="L304" s="2">
        <v>0</v>
      </c>
      <c r="M304" s="2">
        <v>0</v>
      </c>
      <c r="N304" s="2">
        <v>0</v>
      </c>
    </row>
    <row r="305" spans="1:14">
      <c r="A305" s="2">
        <v>304</v>
      </c>
      <c r="B305" s="2" t="s">
        <v>52</v>
      </c>
      <c r="C305" s="2" t="s">
        <v>52</v>
      </c>
      <c r="D305" s="2">
        <v>0</v>
      </c>
      <c r="E305" s="2">
        <v>0</v>
      </c>
      <c r="F305" s="2">
        <v>0</v>
      </c>
      <c r="G305" s="2">
        <v>0.96</v>
      </c>
      <c r="H305" s="2">
        <v>0</v>
      </c>
      <c r="I305" s="2">
        <v>0</v>
      </c>
      <c r="J305" s="2">
        <v>0.04</v>
      </c>
      <c r="K305" s="2">
        <v>0</v>
      </c>
      <c r="L305" s="2">
        <v>0</v>
      </c>
      <c r="M305" s="2">
        <v>0</v>
      </c>
      <c r="N305" s="2">
        <v>0</v>
      </c>
    </row>
    <row r="306" spans="1:14">
      <c r="A306" s="2">
        <v>305</v>
      </c>
      <c r="B306" s="2" t="s">
        <v>39</v>
      </c>
      <c r="C306" s="2" t="s">
        <v>39</v>
      </c>
      <c r="D306" s="2">
        <v>0.02</v>
      </c>
      <c r="E306" s="2">
        <v>0</v>
      </c>
      <c r="F306" s="2">
        <v>0</v>
      </c>
      <c r="G306" s="2">
        <v>0</v>
      </c>
      <c r="H306" s="2">
        <v>0.67</v>
      </c>
      <c r="I306" s="2">
        <v>0.02</v>
      </c>
      <c r="J306" s="2">
        <v>0.23</v>
      </c>
      <c r="K306" s="2">
        <v>0</v>
      </c>
      <c r="L306" s="2">
        <v>0.06</v>
      </c>
      <c r="M306" s="2">
        <v>0</v>
      </c>
      <c r="N306" s="2">
        <v>0</v>
      </c>
    </row>
    <row r="307" spans="1:14">
      <c r="A307" s="2">
        <v>306</v>
      </c>
      <c r="B307" s="2" t="s">
        <v>20</v>
      </c>
      <c r="C307" s="2" t="s">
        <v>20</v>
      </c>
      <c r="D307" s="2">
        <v>0</v>
      </c>
      <c r="E307" s="2">
        <v>1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</row>
    <row r="308" spans="1:14">
      <c r="A308" s="2">
        <v>307</v>
      </c>
      <c r="B308" s="2" t="s">
        <v>33</v>
      </c>
      <c r="C308" s="2" t="s">
        <v>33</v>
      </c>
      <c r="D308" s="2">
        <v>0.55000000000000004</v>
      </c>
      <c r="E308" s="2">
        <v>0.45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</row>
    <row r="309" spans="1:14">
      <c r="A309" s="2">
        <v>308</v>
      </c>
      <c r="B309" s="2" t="s">
        <v>43</v>
      </c>
      <c r="C309" s="2" t="s">
        <v>43</v>
      </c>
      <c r="D309" s="2">
        <v>0</v>
      </c>
      <c r="E309" s="2">
        <v>0</v>
      </c>
      <c r="F309" s="2">
        <v>0</v>
      </c>
      <c r="G309" s="2">
        <v>0.23</v>
      </c>
      <c r="H309" s="2">
        <v>0</v>
      </c>
      <c r="I309" s="2">
        <v>0</v>
      </c>
      <c r="J309" s="2">
        <v>0.77</v>
      </c>
      <c r="K309" s="2">
        <v>0</v>
      </c>
      <c r="L309" s="2">
        <v>0</v>
      </c>
      <c r="M309" s="2">
        <v>0</v>
      </c>
      <c r="N309" s="2">
        <v>0</v>
      </c>
    </row>
    <row r="310" spans="1:14">
      <c r="A310" s="2">
        <v>309</v>
      </c>
      <c r="B310" s="2" t="s">
        <v>39</v>
      </c>
      <c r="C310" s="2" t="s">
        <v>39</v>
      </c>
      <c r="D310" s="2">
        <v>0</v>
      </c>
      <c r="E310" s="2">
        <v>0</v>
      </c>
      <c r="F310" s="2">
        <v>0</v>
      </c>
      <c r="G310" s="2">
        <v>0</v>
      </c>
      <c r="H310" s="2">
        <v>0.98</v>
      </c>
      <c r="I310" s="2">
        <v>0</v>
      </c>
      <c r="J310" s="2">
        <v>0</v>
      </c>
      <c r="K310" s="2">
        <v>0</v>
      </c>
      <c r="L310" s="2">
        <v>0.02</v>
      </c>
      <c r="M310" s="2">
        <v>0</v>
      </c>
      <c r="N310" s="2">
        <v>0</v>
      </c>
    </row>
    <row r="311" spans="1:14">
      <c r="A311" s="2">
        <v>310</v>
      </c>
      <c r="B311" s="2" t="s">
        <v>39</v>
      </c>
      <c r="C311" s="2" t="s">
        <v>39</v>
      </c>
      <c r="D311" s="2">
        <v>0</v>
      </c>
      <c r="E311" s="2">
        <v>0</v>
      </c>
      <c r="F311" s="2">
        <v>0</v>
      </c>
      <c r="G311" s="2">
        <v>0</v>
      </c>
      <c r="H311" s="2">
        <v>0.96</v>
      </c>
      <c r="I311" s="2">
        <v>0</v>
      </c>
      <c r="J311" s="2">
        <v>0.01</v>
      </c>
      <c r="K311" s="2">
        <v>0</v>
      </c>
      <c r="L311" s="2">
        <v>0.03</v>
      </c>
      <c r="M311" s="2">
        <v>0</v>
      </c>
      <c r="N311" s="2">
        <v>0</v>
      </c>
    </row>
    <row r="312" spans="1:14">
      <c r="A312" s="2">
        <v>311</v>
      </c>
      <c r="B312" s="2" t="s">
        <v>48</v>
      </c>
      <c r="C312" s="2" t="s">
        <v>48</v>
      </c>
      <c r="D312" s="2">
        <v>0</v>
      </c>
      <c r="E312" s="2">
        <v>0</v>
      </c>
      <c r="F312" s="2">
        <v>0.1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0.9</v>
      </c>
      <c r="M312" s="2">
        <v>0</v>
      </c>
      <c r="N312" s="2">
        <v>0</v>
      </c>
    </row>
    <row r="313" spans="1:14">
      <c r="A313" s="2">
        <v>312</v>
      </c>
      <c r="B313" s="2" t="s">
        <v>20</v>
      </c>
      <c r="C313" s="2" t="s">
        <v>20</v>
      </c>
      <c r="D313" s="2">
        <v>0</v>
      </c>
      <c r="E313" s="2">
        <v>1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</row>
    <row r="314" spans="1:14">
      <c r="A314" s="2">
        <v>313</v>
      </c>
      <c r="B314" s="2" t="s">
        <v>52</v>
      </c>
      <c r="C314" s="2" t="s">
        <v>52</v>
      </c>
      <c r="D314" s="2">
        <v>0</v>
      </c>
      <c r="E314" s="2">
        <v>0</v>
      </c>
      <c r="F314" s="2">
        <v>0</v>
      </c>
      <c r="G314" s="2">
        <v>1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</row>
    <row r="315" spans="1:14">
      <c r="A315" s="2">
        <v>314</v>
      </c>
      <c r="B315" s="2" t="s">
        <v>59</v>
      </c>
      <c r="C315" s="2" t="s">
        <v>59</v>
      </c>
      <c r="D315" s="2">
        <v>0.06</v>
      </c>
      <c r="E315" s="2">
        <v>0</v>
      </c>
      <c r="F315" s="2">
        <v>0</v>
      </c>
      <c r="G315" s="2">
        <v>0</v>
      </c>
      <c r="H315" s="2">
        <v>0.14000000000000001</v>
      </c>
      <c r="I315" s="2">
        <v>0</v>
      </c>
      <c r="J315" s="2">
        <v>0.22</v>
      </c>
      <c r="K315" s="2">
        <v>0</v>
      </c>
      <c r="L315" s="2">
        <v>0</v>
      </c>
      <c r="M315" s="2">
        <v>0.57999999999999996</v>
      </c>
      <c r="N315" s="2">
        <v>0</v>
      </c>
    </row>
    <row r="316" spans="1:14">
      <c r="A316" s="2">
        <v>315</v>
      </c>
      <c r="B316" s="2" t="s">
        <v>125</v>
      </c>
      <c r="C316" s="2" t="s">
        <v>125</v>
      </c>
      <c r="D316" s="2">
        <v>0</v>
      </c>
      <c r="E316" s="2">
        <v>0</v>
      </c>
      <c r="F316" s="2">
        <v>0.02</v>
      </c>
      <c r="G316" s="2">
        <v>0</v>
      </c>
      <c r="H316" s="2">
        <v>0.02</v>
      </c>
      <c r="I316" s="2">
        <v>0.96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</row>
    <row r="317" spans="1:14">
      <c r="A317" s="2">
        <v>316</v>
      </c>
      <c r="B317" s="2" t="s">
        <v>59</v>
      </c>
      <c r="C317" s="2" t="s">
        <v>59</v>
      </c>
      <c r="D317" s="2">
        <v>0</v>
      </c>
      <c r="E317" s="2">
        <v>0.08</v>
      </c>
      <c r="F317" s="2">
        <v>0</v>
      </c>
      <c r="G317" s="2">
        <v>0</v>
      </c>
      <c r="H317" s="2">
        <v>0.08</v>
      </c>
      <c r="I317" s="2">
        <v>0</v>
      </c>
      <c r="J317" s="2">
        <v>0</v>
      </c>
      <c r="K317" s="2">
        <v>0</v>
      </c>
      <c r="L317" s="2">
        <v>0</v>
      </c>
      <c r="M317" s="2">
        <v>0.79</v>
      </c>
      <c r="N317" s="2">
        <v>0.05</v>
      </c>
    </row>
    <row r="318" spans="1:14">
      <c r="A318" s="2">
        <v>317</v>
      </c>
      <c r="B318" s="2" t="s">
        <v>20</v>
      </c>
      <c r="C318" s="2" t="s">
        <v>20</v>
      </c>
      <c r="D318" s="2">
        <v>0.01</v>
      </c>
      <c r="E318" s="2">
        <v>0.97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0.02</v>
      </c>
      <c r="M318" s="2">
        <v>0</v>
      </c>
      <c r="N318" s="2">
        <v>0</v>
      </c>
    </row>
    <row r="319" spans="1:14">
      <c r="A319" s="2">
        <v>318</v>
      </c>
      <c r="B319" s="2" t="s">
        <v>20</v>
      </c>
      <c r="C319" s="2" t="s">
        <v>20</v>
      </c>
      <c r="D319" s="2">
        <v>0</v>
      </c>
      <c r="E319" s="2">
        <v>0.67</v>
      </c>
      <c r="F319" s="2">
        <v>0</v>
      </c>
      <c r="G319" s="2">
        <v>0.05</v>
      </c>
      <c r="H319" s="2">
        <v>0.26</v>
      </c>
      <c r="I319" s="2">
        <v>0</v>
      </c>
      <c r="J319" s="2">
        <v>0.02</v>
      </c>
      <c r="K319" s="2">
        <v>0</v>
      </c>
      <c r="L319" s="2">
        <v>0</v>
      </c>
      <c r="M319" s="2">
        <v>0</v>
      </c>
      <c r="N319" s="2">
        <v>0</v>
      </c>
    </row>
    <row r="320" spans="1:14">
      <c r="A320" s="2">
        <v>319</v>
      </c>
      <c r="B320" s="2" t="s">
        <v>39</v>
      </c>
      <c r="C320" s="2" t="s">
        <v>39</v>
      </c>
      <c r="D320" s="2">
        <v>0</v>
      </c>
      <c r="E320" s="2">
        <v>0</v>
      </c>
      <c r="F320" s="2">
        <v>0</v>
      </c>
      <c r="G320" s="2">
        <v>0</v>
      </c>
      <c r="H320" s="2">
        <v>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</row>
    <row r="321" spans="1:14">
      <c r="A321" s="2">
        <v>320</v>
      </c>
      <c r="B321" s="2" t="s">
        <v>20</v>
      </c>
      <c r="C321" s="2" t="s">
        <v>20</v>
      </c>
      <c r="D321" s="2">
        <v>0</v>
      </c>
      <c r="E321" s="2">
        <v>0.87</v>
      </c>
      <c r="F321" s="2">
        <v>0</v>
      </c>
      <c r="G321" s="2">
        <v>0</v>
      </c>
      <c r="H321" s="2">
        <v>0.05</v>
      </c>
      <c r="I321" s="2">
        <v>0</v>
      </c>
      <c r="J321" s="2">
        <v>0.08</v>
      </c>
      <c r="K321" s="2">
        <v>0</v>
      </c>
      <c r="L321" s="2">
        <v>0</v>
      </c>
      <c r="M321" s="2">
        <v>0</v>
      </c>
      <c r="N321" s="2">
        <v>0</v>
      </c>
    </row>
    <row r="322" spans="1:14">
      <c r="A322" s="2">
        <v>321</v>
      </c>
      <c r="B322" s="2" t="s">
        <v>20</v>
      </c>
      <c r="C322" s="2" t="s">
        <v>20</v>
      </c>
      <c r="D322" s="2">
        <v>0</v>
      </c>
      <c r="E322" s="2">
        <v>1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</row>
    <row r="323" spans="1:14">
      <c r="A323" s="2">
        <v>322</v>
      </c>
      <c r="B323" s="2" t="s">
        <v>20</v>
      </c>
      <c r="C323" s="2" t="s">
        <v>20</v>
      </c>
      <c r="D323" s="2">
        <v>0</v>
      </c>
      <c r="E323" s="2">
        <v>1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</row>
    <row r="324" spans="1:14">
      <c r="A324" s="2">
        <v>323</v>
      </c>
      <c r="B324" s="2" t="s">
        <v>43</v>
      </c>
      <c r="C324" s="2" t="s">
        <v>43</v>
      </c>
      <c r="D324" s="2">
        <v>0.02</v>
      </c>
      <c r="E324" s="2">
        <v>0.02</v>
      </c>
      <c r="F324" s="2">
        <v>0</v>
      </c>
      <c r="G324" s="2">
        <v>0</v>
      </c>
      <c r="H324" s="2">
        <v>0.03</v>
      </c>
      <c r="I324" s="2">
        <v>0</v>
      </c>
      <c r="J324" s="2">
        <v>0.63</v>
      </c>
      <c r="K324" s="2">
        <v>0</v>
      </c>
      <c r="L324" s="2">
        <v>0</v>
      </c>
      <c r="M324" s="2">
        <v>0.3</v>
      </c>
      <c r="N324" s="2">
        <v>0</v>
      </c>
    </row>
    <row r="325" spans="1:14">
      <c r="A325" s="2">
        <v>324</v>
      </c>
      <c r="B325" s="2" t="s">
        <v>20</v>
      </c>
      <c r="C325" s="2" t="s">
        <v>20</v>
      </c>
      <c r="D325" s="2">
        <v>0</v>
      </c>
      <c r="E325" s="2">
        <v>1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</row>
    <row r="326" spans="1:14">
      <c r="A326" s="2">
        <v>325</v>
      </c>
      <c r="B326" s="2" t="s">
        <v>20</v>
      </c>
      <c r="C326" s="2" t="s">
        <v>20</v>
      </c>
      <c r="D326" s="2">
        <v>0</v>
      </c>
      <c r="E326" s="2">
        <v>0.95</v>
      </c>
      <c r="F326" s="2">
        <v>0</v>
      </c>
      <c r="G326" s="2">
        <v>0</v>
      </c>
      <c r="H326" s="2">
        <v>0.02</v>
      </c>
      <c r="I326" s="2">
        <v>0</v>
      </c>
      <c r="J326" s="2">
        <v>0.03</v>
      </c>
      <c r="K326" s="2">
        <v>0</v>
      </c>
      <c r="L326" s="2">
        <v>0</v>
      </c>
      <c r="M326" s="2">
        <v>0</v>
      </c>
      <c r="N326" s="2">
        <v>0</v>
      </c>
    </row>
    <row r="327" spans="1:14">
      <c r="A327" s="2">
        <v>326</v>
      </c>
      <c r="B327" s="2" t="s">
        <v>20</v>
      </c>
      <c r="C327" s="2" t="s">
        <v>20</v>
      </c>
      <c r="D327" s="2">
        <v>0</v>
      </c>
      <c r="E327" s="2">
        <v>0.98</v>
      </c>
      <c r="F327" s="2">
        <v>0</v>
      </c>
      <c r="G327" s="2">
        <v>0</v>
      </c>
      <c r="H327" s="2">
        <v>0.02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</row>
    <row r="328" spans="1:14">
      <c r="A328" s="2">
        <v>327</v>
      </c>
      <c r="B328" s="2" t="s">
        <v>52</v>
      </c>
      <c r="C328" s="2" t="s">
        <v>52</v>
      </c>
      <c r="D328" s="2">
        <v>0</v>
      </c>
      <c r="E328" s="2">
        <v>0</v>
      </c>
      <c r="F328" s="2">
        <v>0</v>
      </c>
      <c r="G328" s="2">
        <v>0.99</v>
      </c>
      <c r="H328" s="2">
        <v>0</v>
      </c>
      <c r="I328" s="2">
        <v>0</v>
      </c>
      <c r="J328" s="2">
        <v>0.01</v>
      </c>
      <c r="K328" s="2">
        <v>0</v>
      </c>
      <c r="L328" s="2">
        <v>0</v>
      </c>
      <c r="M328" s="2">
        <v>0</v>
      </c>
      <c r="N328" s="2">
        <v>0</v>
      </c>
    </row>
    <row r="329" spans="1:14">
      <c r="A329" s="2">
        <v>328</v>
      </c>
      <c r="B329" s="2" t="s">
        <v>20</v>
      </c>
      <c r="C329" s="2" t="s">
        <v>20</v>
      </c>
      <c r="D329" s="2">
        <v>0</v>
      </c>
      <c r="E329" s="2">
        <v>1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</row>
    <row r="330" spans="1:14">
      <c r="A330" s="2">
        <v>329</v>
      </c>
      <c r="B330" s="2" t="s">
        <v>20</v>
      </c>
      <c r="C330" s="2" t="s">
        <v>20</v>
      </c>
      <c r="D330" s="2">
        <v>0</v>
      </c>
      <c r="E330" s="2">
        <v>1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</row>
    <row r="331" spans="1:14">
      <c r="A331" s="2">
        <v>330</v>
      </c>
      <c r="B331" s="2" t="s">
        <v>59</v>
      </c>
      <c r="C331" s="2" t="s">
        <v>59</v>
      </c>
      <c r="D331" s="2">
        <v>0</v>
      </c>
      <c r="E331" s="2">
        <v>0.02</v>
      </c>
      <c r="F331" s="2">
        <v>0</v>
      </c>
      <c r="G331" s="2">
        <v>0</v>
      </c>
      <c r="H331" s="2">
        <v>0.13</v>
      </c>
      <c r="I331" s="2">
        <v>0</v>
      </c>
      <c r="J331" s="2">
        <v>0.25</v>
      </c>
      <c r="K331" s="2">
        <v>0</v>
      </c>
      <c r="L331" s="2">
        <v>0</v>
      </c>
      <c r="M331" s="2">
        <v>0.6</v>
      </c>
      <c r="N331" s="2">
        <v>0</v>
      </c>
    </row>
    <row r="332" spans="1:14">
      <c r="A332" s="2">
        <v>331</v>
      </c>
      <c r="B332" s="2" t="s">
        <v>39</v>
      </c>
      <c r="C332" s="2" t="s">
        <v>39</v>
      </c>
      <c r="D332" s="2">
        <v>0.04</v>
      </c>
      <c r="E332" s="2">
        <v>0</v>
      </c>
      <c r="F332" s="2">
        <v>0</v>
      </c>
      <c r="G332" s="2">
        <v>0</v>
      </c>
      <c r="H332" s="2">
        <v>0.86</v>
      </c>
      <c r="I332" s="2">
        <v>0</v>
      </c>
      <c r="J332" s="2">
        <v>0.06</v>
      </c>
      <c r="K332" s="2">
        <v>0</v>
      </c>
      <c r="L332" s="2">
        <v>0</v>
      </c>
      <c r="M332" s="2">
        <v>0.04</v>
      </c>
      <c r="N332" s="2">
        <v>0</v>
      </c>
    </row>
    <row r="333" spans="1:14">
      <c r="A333" s="2">
        <v>332</v>
      </c>
      <c r="B333" s="2" t="s">
        <v>33</v>
      </c>
      <c r="C333" s="2" t="s">
        <v>33</v>
      </c>
      <c r="D333" s="2">
        <v>0.69</v>
      </c>
      <c r="E333" s="2">
        <v>0</v>
      </c>
      <c r="F333" s="2">
        <v>0</v>
      </c>
      <c r="G333" s="2">
        <v>0.02</v>
      </c>
      <c r="H333" s="2">
        <v>0.04</v>
      </c>
      <c r="I333" s="2">
        <v>0</v>
      </c>
      <c r="J333" s="2">
        <v>0.17</v>
      </c>
      <c r="K333" s="2">
        <v>0</v>
      </c>
      <c r="L333" s="2">
        <v>0</v>
      </c>
      <c r="M333" s="2">
        <v>0.08</v>
      </c>
      <c r="N333" s="2">
        <v>0</v>
      </c>
    </row>
    <row r="334" spans="1:14">
      <c r="A334" s="2">
        <v>333</v>
      </c>
      <c r="B334" s="2" t="s">
        <v>39</v>
      </c>
      <c r="C334" s="2" t="s">
        <v>39</v>
      </c>
      <c r="D334" s="2">
        <v>0</v>
      </c>
      <c r="E334" s="2">
        <v>0</v>
      </c>
      <c r="F334" s="2">
        <v>0</v>
      </c>
      <c r="G334" s="2">
        <v>0</v>
      </c>
      <c r="H334" s="2">
        <v>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</row>
    <row r="335" spans="1:14">
      <c r="A335" s="2">
        <v>334</v>
      </c>
      <c r="B335" s="2" t="s">
        <v>20</v>
      </c>
      <c r="C335" s="2" t="s">
        <v>20</v>
      </c>
      <c r="D335" s="2">
        <v>0</v>
      </c>
      <c r="E335" s="2">
        <v>1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</row>
    <row r="336" spans="1:14">
      <c r="A336" s="2">
        <v>335</v>
      </c>
      <c r="B336" s="2" t="s">
        <v>33</v>
      </c>
      <c r="C336" s="2" t="s">
        <v>33</v>
      </c>
      <c r="D336" s="2">
        <v>0.95</v>
      </c>
      <c r="E336" s="2">
        <v>0</v>
      </c>
      <c r="F336" s="2">
        <v>0</v>
      </c>
      <c r="G336" s="2">
        <v>0</v>
      </c>
      <c r="H336" s="2">
        <v>0.01</v>
      </c>
      <c r="I336" s="2">
        <v>0</v>
      </c>
      <c r="J336" s="2">
        <v>0.03</v>
      </c>
      <c r="K336" s="2">
        <v>0</v>
      </c>
      <c r="L336" s="2">
        <v>0</v>
      </c>
      <c r="M336" s="2">
        <v>0.01</v>
      </c>
      <c r="N336" s="2">
        <v>0</v>
      </c>
    </row>
    <row r="337" spans="1:14">
      <c r="A337" s="2">
        <v>336</v>
      </c>
      <c r="B337" s="2" t="s">
        <v>20</v>
      </c>
      <c r="C337" s="2" t="s">
        <v>20</v>
      </c>
      <c r="D337" s="2">
        <v>0</v>
      </c>
      <c r="E337" s="2">
        <v>0.65</v>
      </c>
      <c r="F337" s="2">
        <v>0</v>
      </c>
      <c r="G337" s="2">
        <v>0</v>
      </c>
      <c r="H337" s="2">
        <v>0.08</v>
      </c>
      <c r="I337" s="2">
        <v>0</v>
      </c>
      <c r="J337" s="2">
        <v>0.11</v>
      </c>
      <c r="K337" s="2">
        <v>0</v>
      </c>
      <c r="L337" s="2">
        <v>0</v>
      </c>
      <c r="M337" s="2">
        <v>0.09</v>
      </c>
      <c r="N337" s="2">
        <v>7.0000000000000007E-2</v>
      </c>
    </row>
    <row r="338" spans="1:14">
      <c r="A338" s="2">
        <v>337</v>
      </c>
      <c r="B338" s="2" t="s">
        <v>33</v>
      </c>
      <c r="C338" s="2" t="s">
        <v>33</v>
      </c>
      <c r="D338" s="2">
        <v>0.82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0.13</v>
      </c>
      <c r="K338" s="2">
        <v>0</v>
      </c>
      <c r="L338" s="2">
        <v>0</v>
      </c>
      <c r="M338" s="2">
        <v>0.05</v>
      </c>
      <c r="N338" s="2">
        <v>0</v>
      </c>
    </row>
    <row r="339" spans="1:14">
      <c r="A339" s="2">
        <v>338</v>
      </c>
      <c r="B339" s="2" t="s">
        <v>39</v>
      </c>
      <c r="C339" s="2" t="s">
        <v>39</v>
      </c>
      <c r="D339" s="2">
        <v>0</v>
      </c>
      <c r="E339" s="2">
        <v>0.05</v>
      </c>
      <c r="F339" s="2">
        <v>0</v>
      </c>
      <c r="G339" s="2">
        <v>0</v>
      </c>
      <c r="H339" s="2">
        <v>0.72</v>
      </c>
      <c r="I339" s="2">
        <v>0</v>
      </c>
      <c r="J339" s="2">
        <v>0.15</v>
      </c>
      <c r="K339" s="2">
        <v>0</v>
      </c>
      <c r="L339" s="2">
        <v>0</v>
      </c>
      <c r="M339" s="2">
        <v>0.08</v>
      </c>
      <c r="N339" s="2">
        <v>0</v>
      </c>
    </row>
    <row r="340" spans="1:14">
      <c r="A340" s="2">
        <v>339</v>
      </c>
      <c r="B340" s="2" t="s">
        <v>125</v>
      </c>
      <c r="C340" s="2" t="s">
        <v>125</v>
      </c>
      <c r="D340" s="2">
        <v>0</v>
      </c>
      <c r="E340" s="2">
        <v>0</v>
      </c>
      <c r="F340" s="2">
        <v>0</v>
      </c>
      <c r="G340" s="2">
        <v>0</v>
      </c>
      <c r="H340" s="2">
        <v>0.02</v>
      </c>
      <c r="I340" s="2">
        <v>0.98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</row>
    <row r="341" spans="1:14">
      <c r="A341" s="2">
        <v>340</v>
      </c>
      <c r="B341" s="2" t="s">
        <v>48</v>
      </c>
      <c r="C341" s="2" t="s">
        <v>48</v>
      </c>
      <c r="D341" s="2">
        <v>0</v>
      </c>
      <c r="E341" s="2">
        <v>0.01</v>
      </c>
      <c r="F341" s="2">
        <v>0.01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0.98</v>
      </c>
      <c r="M341" s="2">
        <v>0</v>
      </c>
      <c r="N341" s="2">
        <v>0</v>
      </c>
    </row>
    <row r="342" spans="1:14">
      <c r="A342" s="2">
        <v>341</v>
      </c>
      <c r="B342" s="2" t="s">
        <v>39</v>
      </c>
      <c r="C342" s="2" t="s">
        <v>39</v>
      </c>
      <c r="D342" s="2">
        <v>0.01</v>
      </c>
      <c r="E342" s="2">
        <v>0.02</v>
      </c>
      <c r="F342" s="2">
        <v>0</v>
      </c>
      <c r="G342" s="2">
        <v>0</v>
      </c>
      <c r="H342" s="2">
        <v>0.87</v>
      </c>
      <c r="I342" s="2">
        <v>0</v>
      </c>
      <c r="J342" s="2">
        <v>0.1</v>
      </c>
      <c r="K342" s="2">
        <v>0</v>
      </c>
      <c r="L342" s="2">
        <v>0</v>
      </c>
      <c r="M342" s="2">
        <v>0</v>
      </c>
      <c r="N342" s="2">
        <v>0</v>
      </c>
    </row>
    <row r="343" spans="1:14">
      <c r="A343" s="2">
        <v>342</v>
      </c>
      <c r="B343" s="2" t="s">
        <v>43</v>
      </c>
      <c r="C343" s="2" t="s">
        <v>43</v>
      </c>
      <c r="D343" s="2">
        <v>0</v>
      </c>
      <c r="E343" s="2">
        <v>0</v>
      </c>
      <c r="F343" s="2">
        <v>0</v>
      </c>
      <c r="G343" s="2">
        <v>0</v>
      </c>
      <c r="H343" s="2">
        <v>0.21</v>
      </c>
      <c r="I343" s="2">
        <v>0</v>
      </c>
      <c r="J343" s="2">
        <v>0.78</v>
      </c>
      <c r="K343" s="2">
        <v>0</v>
      </c>
      <c r="L343" s="2">
        <v>0</v>
      </c>
      <c r="M343" s="2">
        <v>0.01</v>
      </c>
      <c r="N343" s="2">
        <v>0</v>
      </c>
    </row>
    <row r="344" spans="1:14">
      <c r="A344" s="2">
        <v>343</v>
      </c>
      <c r="B344" s="2" t="s">
        <v>20</v>
      </c>
      <c r="C344" s="2" t="s">
        <v>20</v>
      </c>
      <c r="D344" s="2">
        <v>0</v>
      </c>
      <c r="E344" s="2">
        <v>1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</row>
    <row r="345" spans="1:14">
      <c r="A345" s="2">
        <v>344</v>
      </c>
      <c r="B345" s="2" t="s">
        <v>39</v>
      </c>
      <c r="C345" s="2" t="s">
        <v>39</v>
      </c>
      <c r="D345" s="2">
        <v>0.01</v>
      </c>
      <c r="E345" s="2">
        <v>0.18</v>
      </c>
      <c r="F345" s="2">
        <v>0</v>
      </c>
      <c r="G345" s="2">
        <v>0</v>
      </c>
      <c r="H345" s="2">
        <v>0.66</v>
      </c>
      <c r="I345" s="2">
        <v>0</v>
      </c>
      <c r="J345" s="2">
        <v>0.15</v>
      </c>
      <c r="K345" s="2">
        <v>0</v>
      </c>
      <c r="L345" s="2">
        <v>0</v>
      </c>
      <c r="M345" s="2">
        <v>0</v>
      </c>
      <c r="N345" s="2">
        <v>0</v>
      </c>
    </row>
    <row r="346" spans="1:14">
      <c r="A346" s="2">
        <v>345</v>
      </c>
      <c r="B346" s="2" t="s">
        <v>20</v>
      </c>
      <c r="C346" s="2" t="s">
        <v>20</v>
      </c>
      <c r="D346" s="2">
        <v>0</v>
      </c>
      <c r="E346" s="2">
        <v>1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</row>
    <row r="347" spans="1:14">
      <c r="A347" s="2">
        <v>346</v>
      </c>
      <c r="B347" s="2" t="s">
        <v>20</v>
      </c>
      <c r="C347" s="2" t="s">
        <v>20</v>
      </c>
      <c r="D347" s="2">
        <v>0</v>
      </c>
      <c r="E347" s="2">
        <v>1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</row>
    <row r="348" spans="1:14">
      <c r="A348" s="2">
        <v>347</v>
      </c>
      <c r="B348" s="2" t="s">
        <v>20</v>
      </c>
      <c r="C348" s="2" t="s">
        <v>20</v>
      </c>
      <c r="D348" s="2">
        <v>0</v>
      </c>
      <c r="E348" s="2">
        <v>0.74</v>
      </c>
      <c r="F348" s="2">
        <v>0</v>
      </c>
      <c r="G348" s="2">
        <v>0</v>
      </c>
      <c r="H348" s="2">
        <v>0.19</v>
      </c>
      <c r="I348" s="2">
        <v>0</v>
      </c>
      <c r="J348" s="2">
        <v>7.0000000000000007E-2</v>
      </c>
      <c r="K348" s="2">
        <v>0</v>
      </c>
      <c r="L348" s="2">
        <v>0</v>
      </c>
      <c r="M348" s="2">
        <v>0</v>
      </c>
      <c r="N348" s="2">
        <v>0</v>
      </c>
    </row>
    <row r="349" spans="1:14">
      <c r="A349" s="2">
        <v>348</v>
      </c>
      <c r="B349" s="2" t="s">
        <v>20</v>
      </c>
      <c r="C349" s="2" t="s">
        <v>20</v>
      </c>
      <c r="D349" s="2">
        <v>0.01</v>
      </c>
      <c r="E349" s="2">
        <v>0.99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</row>
    <row r="350" spans="1:14">
      <c r="A350" s="2">
        <v>349</v>
      </c>
      <c r="B350" s="2" t="s">
        <v>39</v>
      </c>
      <c r="C350" s="2" t="s">
        <v>39</v>
      </c>
      <c r="D350" s="2">
        <v>0</v>
      </c>
      <c r="E350" s="2">
        <v>0</v>
      </c>
      <c r="F350" s="2">
        <v>0</v>
      </c>
      <c r="G350" s="2">
        <v>0</v>
      </c>
      <c r="H350" s="2">
        <v>0.99</v>
      </c>
      <c r="I350" s="2">
        <v>0</v>
      </c>
      <c r="J350" s="2">
        <v>0</v>
      </c>
      <c r="K350" s="2">
        <v>0</v>
      </c>
      <c r="L350" s="2">
        <v>0</v>
      </c>
      <c r="M350" s="2">
        <v>0.01</v>
      </c>
      <c r="N350" s="2">
        <v>0</v>
      </c>
    </row>
    <row r="351" spans="1:14">
      <c r="A351" s="2">
        <v>350</v>
      </c>
      <c r="B351" s="2" t="s">
        <v>20</v>
      </c>
      <c r="C351" s="2" t="s">
        <v>20</v>
      </c>
      <c r="D351" s="2">
        <v>0</v>
      </c>
      <c r="E351" s="2">
        <v>1</v>
      </c>
      <c r="F351" s="2">
        <v>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</row>
    <row r="352" spans="1:14">
      <c r="A352" s="2">
        <v>351</v>
      </c>
      <c r="B352" s="2" t="s">
        <v>39</v>
      </c>
      <c r="C352" s="2" t="s">
        <v>39</v>
      </c>
      <c r="D352" s="2">
        <v>0.03</v>
      </c>
      <c r="E352" s="2">
        <v>0</v>
      </c>
      <c r="F352" s="2">
        <v>0</v>
      </c>
      <c r="G352" s="2">
        <v>0</v>
      </c>
      <c r="H352" s="2">
        <v>0.84</v>
      </c>
      <c r="I352" s="2">
        <v>0</v>
      </c>
      <c r="J352" s="2">
        <v>0</v>
      </c>
      <c r="K352" s="2">
        <v>0</v>
      </c>
      <c r="L352" s="2">
        <v>0</v>
      </c>
      <c r="M352" s="2">
        <v>0.13</v>
      </c>
      <c r="N352" s="2">
        <v>0</v>
      </c>
    </row>
    <row r="353" spans="1:14">
      <c r="A353" s="2">
        <v>352</v>
      </c>
      <c r="B353" s="2" t="s">
        <v>43</v>
      </c>
      <c r="C353" s="2" t="s">
        <v>43</v>
      </c>
      <c r="D353" s="2">
        <v>0.02</v>
      </c>
      <c r="E353" s="2">
        <v>0.01</v>
      </c>
      <c r="F353" s="2">
        <v>0</v>
      </c>
      <c r="G353" s="2">
        <v>0</v>
      </c>
      <c r="H353" s="2">
        <v>0.11</v>
      </c>
      <c r="I353" s="2">
        <v>0</v>
      </c>
      <c r="J353" s="2">
        <v>0.86</v>
      </c>
      <c r="K353" s="2">
        <v>0</v>
      </c>
      <c r="L353" s="2">
        <v>0</v>
      </c>
      <c r="M353" s="2">
        <v>0</v>
      </c>
      <c r="N353" s="2">
        <v>0</v>
      </c>
    </row>
    <row r="354" spans="1:14">
      <c r="A354" s="2">
        <v>353</v>
      </c>
      <c r="B354" s="2" t="s">
        <v>48</v>
      </c>
      <c r="C354" s="2" t="s">
        <v>48</v>
      </c>
      <c r="D354" s="2">
        <v>0.14000000000000001</v>
      </c>
      <c r="E354" s="2">
        <v>0</v>
      </c>
      <c r="F354" s="2">
        <v>0.01</v>
      </c>
      <c r="G354" s="2">
        <v>0.04</v>
      </c>
      <c r="H354" s="2">
        <v>0</v>
      </c>
      <c r="I354" s="2">
        <v>0</v>
      </c>
      <c r="J354" s="2">
        <v>0.12</v>
      </c>
      <c r="K354" s="2">
        <v>0</v>
      </c>
      <c r="L354" s="2">
        <v>0.69</v>
      </c>
      <c r="M354" s="2">
        <v>0</v>
      </c>
      <c r="N354" s="2">
        <v>0</v>
      </c>
    </row>
    <row r="355" spans="1:14">
      <c r="A355" s="2">
        <v>354</v>
      </c>
      <c r="B355" s="2" t="s">
        <v>43</v>
      </c>
      <c r="C355" s="2" t="s">
        <v>43</v>
      </c>
      <c r="D355" s="2">
        <v>0</v>
      </c>
      <c r="E355" s="2">
        <v>0.01</v>
      </c>
      <c r="F355" s="2">
        <v>0</v>
      </c>
      <c r="G355" s="2">
        <v>0</v>
      </c>
      <c r="H355" s="2">
        <v>7.0000000000000007E-2</v>
      </c>
      <c r="I355" s="2">
        <v>0</v>
      </c>
      <c r="J355" s="2">
        <v>0.82</v>
      </c>
      <c r="K355" s="2">
        <v>0</v>
      </c>
      <c r="L355" s="2">
        <v>0</v>
      </c>
      <c r="M355" s="2">
        <v>0.1</v>
      </c>
      <c r="N355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5CB0-4473-5C42-8F45-6649AD79D4A7}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394</v>
      </c>
      <c r="B1" t="s">
        <v>10</v>
      </c>
      <c r="C1" t="s">
        <v>407</v>
      </c>
      <c r="D1" t="s">
        <v>27</v>
      </c>
      <c r="E1" t="s">
        <v>397</v>
      </c>
      <c r="F1" t="s">
        <v>34</v>
      </c>
      <c r="G1" t="s">
        <v>40</v>
      </c>
      <c r="H1" t="s">
        <v>151</v>
      </c>
      <c r="I1" t="s">
        <v>30</v>
      </c>
      <c r="J1" t="s">
        <v>398</v>
      </c>
      <c r="K1" t="s">
        <v>100</v>
      </c>
      <c r="L1" t="s">
        <v>21</v>
      </c>
      <c r="M1" t="s">
        <v>70</v>
      </c>
      <c r="N1" t="s">
        <v>91</v>
      </c>
      <c r="O1" t="s">
        <v>49</v>
      </c>
      <c r="P1" t="s">
        <v>126</v>
      </c>
      <c r="Q1" t="s">
        <v>44</v>
      </c>
      <c r="R1" t="s">
        <v>138</v>
      </c>
      <c r="S1" t="s">
        <v>201</v>
      </c>
      <c r="T1" t="s">
        <v>53</v>
      </c>
      <c r="U1" t="s">
        <v>399</v>
      </c>
      <c r="V1" t="s">
        <v>188</v>
      </c>
      <c r="W1" t="s">
        <v>131</v>
      </c>
      <c r="X1" t="s">
        <v>60</v>
      </c>
      <c r="Y1" t="s">
        <v>56</v>
      </c>
      <c r="Z1" t="s">
        <v>85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27</v>
      </c>
      <c r="C3" t="s">
        <v>27</v>
      </c>
      <c r="D3">
        <v>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0.96</v>
      </c>
      <c r="J4">
        <v>0</v>
      </c>
      <c r="K4">
        <v>0</v>
      </c>
      <c r="L4">
        <v>0.01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0.02</v>
      </c>
      <c r="Z4">
        <v>0.01</v>
      </c>
    </row>
    <row r="5" spans="1:26">
      <c r="A5">
        <v>4</v>
      </c>
      <c r="B5" t="s">
        <v>34</v>
      </c>
      <c r="C5" t="s">
        <v>34</v>
      </c>
      <c r="D5">
        <v>0</v>
      </c>
      <c r="E5">
        <v>0</v>
      </c>
      <c r="F5">
        <v>0.96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0.04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21</v>
      </c>
      <c r="C6" t="s">
        <v>21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40</v>
      </c>
      <c r="C7" t="s">
        <v>40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44</v>
      </c>
      <c r="C8" t="s">
        <v>44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44</v>
      </c>
      <c r="C9" t="s">
        <v>44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9</v>
      </c>
      <c r="B10" t="s">
        <v>49</v>
      </c>
      <c r="C10" t="s">
        <v>49</v>
      </c>
      <c r="D10">
        <v>0.01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0.01</v>
      </c>
      <c r="M10">
        <v>0</v>
      </c>
      <c r="N10">
        <v>0</v>
      </c>
      <c r="O10">
        <v>0.98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53</v>
      </c>
      <c r="C11" t="s">
        <v>53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0.99</v>
      </c>
      <c r="U11">
        <v>0</v>
      </c>
      <c r="V11">
        <v>0</v>
      </c>
      <c r="W11">
        <v>0.01</v>
      </c>
      <c r="X11">
        <v>0</v>
      </c>
      <c r="Y11">
        <v>0</v>
      </c>
      <c r="Z11">
        <v>0</v>
      </c>
    </row>
    <row r="12" spans="1:26">
      <c r="A12">
        <v>11</v>
      </c>
      <c r="B12" t="s">
        <v>56</v>
      </c>
      <c r="C12" t="s">
        <v>56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0.39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0.61</v>
      </c>
      <c r="Z12">
        <v>0</v>
      </c>
    </row>
    <row r="13" spans="1:26">
      <c r="A13">
        <v>12</v>
      </c>
      <c r="B13" t="s">
        <v>60</v>
      </c>
      <c r="C13" t="s">
        <v>60</v>
      </c>
      <c r="D13">
        <v>0</v>
      </c>
      <c r="E13">
        <v>0.02</v>
      </c>
      <c r="F13">
        <v>0</v>
      </c>
      <c r="G13">
        <v>0</v>
      </c>
      <c r="H13">
        <v>0.01</v>
      </c>
      <c r="I13">
        <v>0</v>
      </c>
      <c r="J13">
        <v>0</v>
      </c>
      <c r="K13">
        <v>0</v>
      </c>
      <c r="L13">
        <v>0</v>
      </c>
      <c r="M13">
        <v>0.15</v>
      </c>
      <c r="N13">
        <v>0.01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0.14000000000000001</v>
      </c>
      <c r="W13">
        <v>0</v>
      </c>
      <c r="X13">
        <v>0.67</v>
      </c>
      <c r="Y13">
        <v>0</v>
      </c>
      <c r="Z13">
        <v>0</v>
      </c>
    </row>
    <row r="14" spans="1:26">
      <c r="A14">
        <v>13</v>
      </c>
      <c r="B14" t="s">
        <v>44</v>
      </c>
      <c r="C14" t="s">
        <v>44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14</v>
      </c>
      <c r="B15" t="s">
        <v>30</v>
      </c>
      <c r="C15" t="s">
        <v>30</v>
      </c>
      <c r="D15">
        <v>0</v>
      </c>
      <c r="E15">
        <v>0</v>
      </c>
      <c r="F15">
        <v>0</v>
      </c>
      <c r="G15">
        <v>0</v>
      </c>
      <c r="H15">
        <v>0</v>
      </c>
      <c r="I15">
        <v>0.88</v>
      </c>
      <c r="J15">
        <v>0</v>
      </c>
      <c r="K15">
        <v>0</v>
      </c>
      <c r="L15">
        <v>0.08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0.04</v>
      </c>
    </row>
    <row r="16" spans="1:26">
      <c r="A16">
        <v>15</v>
      </c>
      <c r="B16" t="s">
        <v>40</v>
      </c>
      <c r="C16" t="s">
        <v>40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16</v>
      </c>
      <c r="B17" t="s">
        <v>49</v>
      </c>
      <c r="C17" t="s">
        <v>49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30</v>
      </c>
      <c r="C18" t="s">
        <v>30</v>
      </c>
      <c r="D18">
        <v>0</v>
      </c>
      <c r="E18">
        <v>0</v>
      </c>
      <c r="F18">
        <v>0</v>
      </c>
      <c r="G18">
        <v>0</v>
      </c>
      <c r="H18">
        <v>0</v>
      </c>
      <c r="I18">
        <v>0.97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0.03</v>
      </c>
    </row>
    <row r="19" spans="1:26">
      <c r="A19">
        <v>18</v>
      </c>
      <c r="B19" t="s">
        <v>40</v>
      </c>
      <c r="C19" t="s">
        <v>40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70</v>
      </c>
      <c r="C20" t="s">
        <v>70</v>
      </c>
      <c r="D20">
        <v>0</v>
      </c>
      <c r="E20">
        <v>0.05</v>
      </c>
      <c r="F20">
        <v>0</v>
      </c>
      <c r="G20">
        <v>0</v>
      </c>
      <c r="H20">
        <v>0.15</v>
      </c>
      <c r="I20">
        <v>0</v>
      </c>
      <c r="J20">
        <v>0</v>
      </c>
      <c r="K20">
        <v>0</v>
      </c>
      <c r="L20">
        <v>0</v>
      </c>
      <c r="M20">
        <v>0.75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0.05</v>
      </c>
      <c r="W20">
        <v>0</v>
      </c>
      <c r="X20">
        <v>0</v>
      </c>
      <c r="Y20">
        <v>0</v>
      </c>
      <c r="Z20">
        <v>0</v>
      </c>
    </row>
    <row r="21" spans="1:26">
      <c r="A21">
        <v>20</v>
      </c>
      <c r="B21" t="s">
        <v>40</v>
      </c>
      <c r="C21" t="s">
        <v>40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21</v>
      </c>
      <c r="C22" t="s">
        <v>21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30</v>
      </c>
      <c r="C23" t="s">
        <v>30</v>
      </c>
      <c r="D23">
        <v>0</v>
      </c>
      <c r="E23">
        <v>0</v>
      </c>
      <c r="F23">
        <v>0</v>
      </c>
      <c r="G23">
        <v>0</v>
      </c>
      <c r="H23">
        <v>0</v>
      </c>
      <c r="I23">
        <v>0.99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0.01</v>
      </c>
    </row>
    <row r="24" spans="1:26">
      <c r="A24">
        <v>23</v>
      </c>
      <c r="B24" t="s">
        <v>40</v>
      </c>
      <c r="C24" t="s">
        <v>40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44</v>
      </c>
      <c r="C25" t="s">
        <v>44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40</v>
      </c>
      <c r="C26" t="s">
        <v>40</v>
      </c>
      <c r="D26">
        <v>0</v>
      </c>
      <c r="E26">
        <v>0</v>
      </c>
      <c r="F26">
        <v>0</v>
      </c>
      <c r="G26">
        <v>0.99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0.01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>
        <v>26</v>
      </c>
      <c r="B27" t="s">
        <v>44</v>
      </c>
      <c r="C27" t="s">
        <v>44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34</v>
      </c>
      <c r="C28" t="s">
        <v>34</v>
      </c>
      <c r="D28">
        <v>0</v>
      </c>
      <c r="E28">
        <v>0</v>
      </c>
      <c r="F28">
        <v>0.97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0.03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40</v>
      </c>
      <c r="C29" t="s">
        <v>40</v>
      </c>
      <c r="D29">
        <v>0</v>
      </c>
      <c r="E29">
        <v>0</v>
      </c>
      <c r="F29">
        <v>0</v>
      </c>
      <c r="G29">
        <v>0.99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0.01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53</v>
      </c>
      <c r="C30" t="s">
        <v>53</v>
      </c>
      <c r="D30">
        <v>0.01</v>
      </c>
      <c r="E30">
        <v>0</v>
      </c>
      <c r="F30">
        <v>0</v>
      </c>
      <c r="G30">
        <v>0</v>
      </c>
      <c r="H30">
        <v>0</v>
      </c>
      <c r="I30">
        <v>0.02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0.96</v>
      </c>
      <c r="U30">
        <v>0</v>
      </c>
      <c r="V30">
        <v>0</v>
      </c>
      <c r="W30">
        <v>0.01</v>
      </c>
      <c r="X30">
        <v>0</v>
      </c>
      <c r="Y30">
        <v>0</v>
      </c>
      <c r="Z30">
        <v>0</v>
      </c>
    </row>
    <row r="31" spans="1:26">
      <c r="A31">
        <v>30</v>
      </c>
      <c r="B31" t="s">
        <v>85</v>
      </c>
      <c r="C31" t="s">
        <v>85</v>
      </c>
      <c r="D31">
        <v>0</v>
      </c>
      <c r="E31">
        <v>0</v>
      </c>
      <c r="F31">
        <v>0</v>
      </c>
      <c r="G31">
        <v>0</v>
      </c>
      <c r="H31">
        <v>0</v>
      </c>
      <c r="I31">
        <v>0.08</v>
      </c>
      <c r="J31">
        <v>0</v>
      </c>
      <c r="K31">
        <v>0</v>
      </c>
      <c r="L31">
        <v>0.03</v>
      </c>
      <c r="M31">
        <v>0</v>
      </c>
      <c r="N31">
        <v>0</v>
      </c>
      <c r="O31">
        <v>0.01</v>
      </c>
      <c r="P31">
        <v>0.01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0.02</v>
      </c>
      <c r="Z31">
        <v>0.85</v>
      </c>
    </row>
    <row r="32" spans="1:26">
      <c r="A32">
        <v>31</v>
      </c>
      <c r="B32" t="s">
        <v>34</v>
      </c>
      <c r="C32" t="s">
        <v>34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21</v>
      </c>
      <c r="C33" t="s">
        <v>21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91</v>
      </c>
      <c r="C34" t="s">
        <v>91</v>
      </c>
      <c r="D34">
        <v>0</v>
      </c>
      <c r="E34">
        <v>0.01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0.97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0.01</v>
      </c>
      <c r="W34">
        <v>0</v>
      </c>
      <c r="X34">
        <v>0.01</v>
      </c>
      <c r="Y34">
        <v>0</v>
      </c>
      <c r="Z34">
        <v>0</v>
      </c>
    </row>
    <row r="35" spans="1:26">
      <c r="A35">
        <v>34</v>
      </c>
      <c r="B35" t="s">
        <v>21</v>
      </c>
      <c r="C35" t="s">
        <v>21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30</v>
      </c>
      <c r="C36" t="s">
        <v>30</v>
      </c>
      <c r="D36">
        <v>0</v>
      </c>
      <c r="E36">
        <v>0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30</v>
      </c>
      <c r="C37" t="s">
        <v>30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100</v>
      </c>
      <c r="C38" t="s">
        <v>100</v>
      </c>
      <c r="D38">
        <v>0</v>
      </c>
      <c r="E38">
        <v>0.02</v>
      </c>
      <c r="F38">
        <v>0</v>
      </c>
      <c r="G38">
        <v>0</v>
      </c>
      <c r="H38">
        <v>0.02</v>
      </c>
      <c r="I38">
        <v>0.02</v>
      </c>
      <c r="J38">
        <v>0</v>
      </c>
      <c r="K38">
        <v>0.86</v>
      </c>
      <c r="L38">
        <v>0</v>
      </c>
      <c r="M38">
        <v>0.03</v>
      </c>
      <c r="N38">
        <v>0.01</v>
      </c>
      <c r="O38">
        <v>0</v>
      </c>
      <c r="P38">
        <v>0.01</v>
      </c>
      <c r="Q38">
        <v>0.01</v>
      </c>
      <c r="R38">
        <v>0</v>
      </c>
      <c r="S38">
        <v>0</v>
      </c>
      <c r="T38">
        <v>0</v>
      </c>
      <c r="U38">
        <v>0</v>
      </c>
      <c r="V38">
        <v>0.02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40</v>
      </c>
      <c r="C39" t="s">
        <v>40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44</v>
      </c>
      <c r="C40" t="s">
        <v>44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40</v>
      </c>
      <c r="C41" t="s">
        <v>40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40</v>
      </c>
      <c r="C42" t="s">
        <v>40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30</v>
      </c>
      <c r="C43" t="s">
        <v>30</v>
      </c>
      <c r="D43">
        <v>0</v>
      </c>
      <c r="E43">
        <v>0</v>
      </c>
      <c r="F43">
        <v>0</v>
      </c>
      <c r="G43">
        <v>0</v>
      </c>
      <c r="H43">
        <v>0</v>
      </c>
      <c r="I43">
        <v>1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30</v>
      </c>
      <c r="C44" t="s">
        <v>30</v>
      </c>
      <c r="D44">
        <v>0</v>
      </c>
      <c r="E44">
        <v>0</v>
      </c>
      <c r="F44">
        <v>0</v>
      </c>
      <c r="G44">
        <v>0</v>
      </c>
      <c r="H44">
        <v>0</v>
      </c>
      <c r="I44">
        <v>0.96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0.04</v>
      </c>
    </row>
    <row r="45" spans="1:26">
      <c r="A45">
        <v>44</v>
      </c>
      <c r="B45" t="s">
        <v>56</v>
      </c>
      <c r="C45" t="s">
        <v>56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0.06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0.94</v>
      </c>
      <c r="Z45">
        <v>0</v>
      </c>
    </row>
    <row r="46" spans="1:26">
      <c r="A46">
        <v>45</v>
      </c>
      <c r="B46" t="s">
        <v>21</v>
      </c>
      <c r="C46" t="s">
        <v>21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40</v>
      </c>
      <c r="C47" t="s">
        <v>40</v>
      </c>
      <c r="D47">
        <v>0</v>
      </c>
      <c r="E47">
        <v>0</v>
      </c>
      <c r="F47">
        <v>0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56</v>
      </c>
      <c r="C48" t="s">
        <v>56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0.06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0.94</v>
      </c>
      <c r="Z48">
        <v>0</v>
      </c>
    </row>
    <row r="49" spans="1:26">
      <c r="A49">
        <v>48</v>
      </c>
      <c r="B49" t="s">
        <v>40</v>
      </c>
      <c r="C49" t="s">
        <v>40</v>
      </c>
      <c r="D49">
        <v>0</v>
      </c>
      <c r="E49">
        <v>0</v>
      </c>
      <c r="F49">
        <v>0</v>
      </c>
      <c r="G49">
        <v>0.99</v>
      </c>
      <c r="H49">
        <v>0</v>
      </c>
      <c r="I49">
        <v>0.01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>
      <c r="A50">
        <v>49</v>
      </c>
      <c r="B50" t="s">
        <v>40</v>
      </c>
      <c r="C50" t="s">
        <v>40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40</v>
      </c>
      <c r="C51" t="s">
        <v>40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30</v>
      </c>
      <c r="C52" t="s">
        <v>30</v>
      </c>
      <c r="D52">
        <v>0</v>
      </c>
      <c r="E52">
        <v>0</v>
      </c>
      <c r="F52">
        <v>0</v>
      </c>
      <c r="G52">
        <v>0</v>
      </c>
      <c r="H52">
        <v>0</v>
      </c>
      <c r="I52">
        <v>0.92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0.08</v>
      </c>
    </row>
    <row r="53" spans="1:26">
      <c r="A53">
        <v>52</v>
      </c>
      <c r="B53" t="s">
        <v>44</v>
      </c>
      <c r="C53" t="s">
        <v>44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53</v>
      </c>
      <c r="B54" t="s">
        <v>21</v>
      </c>
      <c r="C54" t="s">
        <v>21</v>
      </c>
      <c r="D54">
        <v>0</v>
      </c>
      <c r="E54">
        <v>0</v>
      </c>
      <c r="F54">
        <v>0</v>
      </c>
      <c r="G54">
        <v>0</v>
      </c>
      <c r="H54">
        <v>0</v>
      </c>
      <c r="I54">
        <v>0.01</v>
      </c>
      <c r="J54">
        <v>0</v>
      </c>
      <c r="K54">
        <v>0</v>
      </c>
      <c r="L54">
        <v>0.97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0.02</v>
      </c>
      <c r="Z54">
        <v>0</v>
      </c>
    </row>
    <row r="55" spans="1:26">
      <c r="A55">
        <v>54</v>
      </c>
      <c r="B55" t="s">
        <v>40</v>
      </c>
      <c r="C55" t="s">
        <v>40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55</v>
      </c>
      <c r="B56" t="s">
        <v>56</v>
      </c>
      <c r="C56" t="s">
        <v>56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0</v>
      </c>
    </row>
    <row r="57" spans="1:26">
      <c r="A57">
        <v>56</v>
      </c>
      <c r="B57" t="s">
        <v>44</v>
      </c>
      <c r="C57" t="s">
        <v>44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126</v>
      </c>
      <c r="C58" t="s">
        <v>126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40</v>
      </c>
      <c r="C59" t="s">
        <v>40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40</v>
      </c>
      <c r="C60" t="s">
        <v>40</v>
      </c>
      <c r="D60">
        <v>0</v>
      </c>
      <c r="E60">
        <v>0</v>
      </c>
      <c r="F60">
        <v>0</v>
      </c>
      <c r="G60">
        <v>0.99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0.01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131</v>
      </c>
      <c r="C61" t="s">
        <v>131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7.0000000000000007E-2</v>
      </c>
      <c r="U61">
        <v>0</v>
      </c>
      <c r="V61">
        <v>0</v>
      </c>
      <c r="W61">
        <v>0.93</v>
      </c>
      <c r="X61">
        <v>0</v>
      </c>
      <c r="Y61">
        <v>0</v>
      </c>
      <c r="Z61">
        <v>0</v>
      </c>
    </row>
    <row r="62" spans="1:26">
      <c r="A62">
        <v>61</v>
      </c>
      <c r="B62" t="s">
        <v>49</v>
      </c>
      <c r="C62" t="s">
        <v>49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0.99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0.01</v>
      </c>
      <c r="Y62">
        <v>0</v>
      </c>
      <c r="Z62">
        <v>0</v>
      </c>
    </row>
    <row r="63" spans="1:26">
      <c r="A63">
        <v>62</v>
      </c>
      <c r="B63" t="s">
        <v>40</v>
      </c>
      <c r="C63" t="s">
        <v>40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63</v>
      </c>
      <c r="B64" t="s">
        <v>21</v>
      </c>
      <c r="C64" t="s">
        <v>21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53</v>
      </c>
      <c r="C65" t="s">
        <v>53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0.88</v>
      </c>
      <c r="U65">
        <v>0</v>
      </c>
      <c r="V65">
        <v>0</v>
      </c>
      <c r="W65">
        <v>0.12</v>
      </c>
      <c r="X65">
        <v>0</v>
      </c>
      <c r="Y65">
        <v>0</v>
      </c>
      <c r="Z65">
        <v>0</v>
      </c>
    </row>
    <row r="66" spans="1:26">
      <c r="A66">
        <v>65</v>
      </c>
      <c r="B66" t="s">
        <v>27</v>
      </c>
      <c r="C66" t="s">
        <v>27</v>
      </c>
      <c r="D66">
        <v>0.98</v>
      </c>
      <c r="E66">
        <v>0.01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0.01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44</v>
      </c>
      <c r="C67" t="s">
        <v>44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138</v>
      </c>
      <c r="C68" t="s">
        <v>138</v>
      </c>
      <c r="D68">
        <v>0</v>
      </c>
      <c r="E68">
        <v>0</v>
      </c>
      <c r="F68">
        <v>0</v>
      </c>
      <c r="G68">
        <v>0.22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0.78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53</v>
      </c>
      <c r="C69" t="s">
        <v>53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53</v>
      </c>
      <c r="C70" t="s">
        <v>53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0.93</v>
      </c>
      <c r="U70">
        <v>0</v>
      </c>
      <c r="V70">
        <v>0</v>
      </c>
      <c r="W70">
        <v>7.0000000000000007E-2</v>
      </c>
      <c r="X70">
        <v>0</v>
      </c>
      <c r="Y70">
        <v>0</v>
      </c>
      <c r="Z70">
        <v>0</v>
      </c>
    </row>
    <row r="71" spans="1:26">
      <c r="A71">
        <v>70</v>
      </c>
      <c r="B71" t="s">
        <v>34</v>
      </c>
      <c r="C71" t="s">
        <v>34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30</v>
      </c>
      <c r="C72" t="s">
        <v>30</v>
      </c>
      <c r="D72">
        <v>0</v>
      </c>
      <c r="E72">
        <v>0</v>
      </c>
      <c r="F72">
        <v>0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30</v>
      </c>
      <c r="C73" t="s">
        <v>30</v>
      </c>
      <c r="D73">
        <v>0</v>
      </c>
      <c r="E73">
        <v>0</v>
      </c>
      <c r="F73">
        <v>0</v>
      </c>
      <c r="G73">
        <v>0</v>
      </c>
      <c r="H73">
        <v>0</v>
      </c>
      <c r="I73">
        <v>0.99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0.01</v>
      </c>
    </row>
    <row r="74" spans="1:26">
      <c r="A74">
        <v>73</v>
      </c>
      <c r="B74" t="s">
        <v>56</v>
      </c>
      <c r="C74" t="s">
        <v>56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0.03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0.97</v>
      </c>
      <c r="Z74">
        <v>0</v>
      </c>
    </row>
    <row r="75" spans="1:26">
      <c r="A75">
        <v>74</v>
      </c>
      <c r="B75" t="s">
        <v>40</v>
      </c>
      <c r="C75" t="s">
        <v>40</v>
      </c>
      <c r="D75">
        <v>0</v>
      </c>
      <c r="E75">
        <v>0</v>
      </c>
      <c r="F75">
        <v>0</v>
      </c>
      <c r="G75">
        <v>0.94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0.06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44</v>
      </c>
      <c r="C76" t="s">
        <v>44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>
      <c r="A77">
        <v>76</v>
      </c>
      <c r="B77" t="s">
        <v>21</v>
      </c>
      <c r="C77" t="s">
        <v>21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77</v>
      </c>
      <c r="B78" t="s">
        <v>34</v>
      </c>
      <c r="C78" t="s">
        <v>34</v>
      </c>
      <c r="D78">
        <v>0</v>
      </c>
      <c r="E78">
        <v>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78</v>
      </c>
      <c r="B79" t="s">
        <v>151</v>
      </c>
      <c r="C79" t="s">
        <v>151</v>
      </c>
      <c r="D79">
        <v>0</v>
      </c>
      <c r="E79">
        <v>0</v>
      </c>
      <c r="F79">
        <v>0</v>
      </c>
      <c r="G79">
        <v>0</v>
      </c>
      <c r="H79">
        <v>0.89</v>
      </c>
      <c r="I79">
        <v>0</v>
      </c>
      <c r="J79">
        <v>0</v>
      </c>
      <c r="K79">
        <v>0</v>
      </c>
      <c r="L79">
        <v>0</v>
      </c>
      <c r="M79">
        <v>7.0000000000000007E-2</v>
      </c>
      <c r="N79">
        <v>0.01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0.03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56</v>
      </c>
      <c r="C80" t="s">
        <v>56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1</v>
      </c>
      <c r="Z80">
        <v>0</v>
      </c>
    </row>
    <row r="81" spans="1:26">
      <c r="A81">
        <v>80</v>
      </c>
      <c r="B81" t="s">
        <v>44</v>
      </c>
      <c r="C81" t="s">
        <v>44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81</v>
      </c>
      <c r="B82" t="s">
        <v>34</v>
      </c>
      <c r="C82" t="s">
        <v>34</v>
      </c>
      <c r="D82">
        <v>0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85</v>
      </c>
      <c r="C83" t="s">
        <v>85</v>
      </c>
      <c r="D83">
        <v>0</v>
      </c>
      <c r="E83">
        <v>0</v>
      </c>
      <c r="F83">
        <v>0</v>
      </c>
      <c r="G83">
        <v>0</v>
      </c>
      <c r="H83">
        <v>0</v>
      </c>
      <c r="I83">
        <v>0.32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0.68</v>
      </c>
    </row>
    <row r="84" spans="1:26">
      <c r="A84">
        <v>83</v>
      </c>
      <c r="B84" t="s">
        <v>34</v>
      </c>
      <c r="C84" t="s">
        <v>34</v>
      </c>
      <c r="D84">
        <v>0</v>
      </c>
      <c r="E84">
        <v>0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21</v>
      </c>
      <c r="C85" t="s">
        <v>21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0.99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0.01</v>
      </c>
      <c r="Z85">
        <v>0</v>
      </c>
    </row>
    <row r="86" spans="1:26">
      <c r="A86">
        <v>85</v>
      </c>
      <c r="B86" t="s">
        <v>21</v>
      </c>
      <c r="C86" t="s">
        <v>21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40</v>
      </c>
      <c r="C87" t="s">
        <v>40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21</v>
      </c>
      <c r="C88" t="s">
        <v>21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0.75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0.25</v>
      </c>
      <c r="Z88">
        <v>0</v>
      </c>
    </row>
    <row r="89" spans="1:26">
      <c r="A89">
        <v>88</v>
      </c>
      <c r="B89" t="s">
        <v>131</v>
      </c>
      <c r="C89" t="s">
        <v>131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0.14000000000000001</v>
      </c>
      <c r="U89">
        <v>0</v>
      </c>
      <c r="V89">
        <v>0</v>
      </c>
      <c r="W89">
        <v>0.86</v>
      </c>
      <c r="X89">
        <v>0</v>
      </c>
      <c r="Y89">
        <v>0</v>
      </c>
      <c r="Z89">
        <v>0</v>
      </c>
    </row>
    <row r="90" spans="1:26">
      <c r="A90">
        <v>89</v>
      </c>
      <c r="B90" t="s">
        <v>30</v>
      </c>
      <c r="C90" t="s">
        <v>30</v>
      </c>
      <c r="D90">
        <v>0</v>
      </c>
      <c r="E90">
        <v>0</v>
      </c>
      <c r="F90">
        <v>0</v>
      </c>
      <c r="G90">
        <v>0</v>
      </c>
      <c r="H90">
        <v>0</v>
      </c>
      <c r="I90">
        <v>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44</v>
      </c>
      <c r="C91" t="s">
        <v>44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>
      <c r="A92">
        <v>91</v>
      </c>
      <c r="B92" t="s">
        <v>40</v>
      </c>
      <c r="C92" t="s">
        <v>40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44</v>
      </c>
      <c r="C93" t="s">
        <v>44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40</v>
      </c>
      <c r="C94" t="s">
        <v>40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40</v>
      </c>
      <c r="C95" t="s">
        <v>40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44</v>
      </c>
      <c r="C96" t="s">
        <v>44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21</v>
      </c>
      <c r="C97" t="s">
        <v>21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40</v>
      </c>
      <c r="C98" t="s">
        <v>40</v>
      </c>
      <c r="D98">
        <v>0</v>
      </c>
      <c r="E98">
        <v>0</v>
      </c>
      <c r="F98">
        <v>0</v>
      </c>
      <c r="G98">
        <v>0.83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0.17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98</v>
      </c>
      <c r="B99" t="s">
        <v>53</v>
      </c>
      <c r="C99" t="s">
        <v>53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0.84</v>
      </c>
      <c r="U99">
        <v>0</v>
      </c>
      <c r="V99">
        <v>0</v>
      </c>
      <c r="W99">
        <v>0.16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21</v>
      </c>
      <c r="C100" t="s">
        <v>21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34</v>
      </c>
      <c r="C101" t="s">
        <v>34</v>
      </c>
      <c r="D101">
        <v>0</v>
      </c>
      <c r="E101">
        <v>0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40</v>
      </c>
      <c r="C102" t="s">
        <v>40</v>
      </c>
      <c r="D102">
        <v>0</v>
      </c>
      <c r="E102">
        <v>0</v>
      </c>
      <c r="F102">
        <v>0</v>
      </c>
      <c r="G102">
        <v>0.78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0.22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21</v>
      </c>
      <c r="C103" t="s">
        <v>21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103</v>
      </c>
      <c r="B104" t="s">
        <v>91</v>
      </c>
      <c r="C104" t="s">
        <v>91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0.09</v>
      </c>
      <c r="N104">
        <v>0.9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0.01</v>
      </c>
      <c r="W104">
        <v>0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30</v>
      </c>
      <c r="C105" t="s">
        <v>30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1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44</v>
      </c>
      <c r="C106" t="s">
        <v>44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30</v>
      </c>
      <c r="C107" t="s">
        <v>30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21</v>
      </c>
      <c r="C108" t="s">
        <v>21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0.95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0.05</v>
      </c>
      <c r="Z108">
        <v>0</v>
      </c>
    </row>
    <row r="109" spans="1:26">
      <c r="A109">
        <v>108</v>
      </c>
      <c r="B109" t="s">
        <v>85</v>
      </c>
      <c r="C109" t="s">
        <v>85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0.02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0.98</v>
      </c>
    </row>
    <row r="110" spans="1:26">
      <c r="A110">
        <v>109</v>
      </c>
      <c r="B110" t="s">
        <v>138</v>
      </c>
      <c r="C110" t="s">
        <v>138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44</v>
      </c>
      <c r="C111" t="s">
        <v>44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188</v>
      </c>
      <c r="C112" t="s">
        <v>188</v>
      </c>
      <c r="D112">
        <v>0</v>
      </c>
      <c r="E112">
        <v>0.02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0.11</v>
      </c>
      <c r="N112">
        <v>0.2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0.52</v>
      </c>
      <c r="W112">
        <v>0</v>
      </c>
      <c r="X112">
        <v>0.15</v>
      </c>
      <c r="Y112">
        <v>0</v>
      </c>
      <c r="Z112">
        <v>0</v>
      </c>
    </row>
    <row r="113" spans="1:26">
      <c r="A113">
        <v>112</v>
      </c>
      <c r="B113" t="s">
        <v>30</v>
      </c>
      <c r="C113" t="s">
        <v>30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40</v>
      </c>
      <c r="C114" t="s">
        <v>40</v>
      </c>
      <c r="D114">
        <v>0</v>
      </c>
      <c r="E114">
        <v>0</v>
      </c>
      <c r="F114">
        <v>0</v>
      </c>
      <c r="G114">
        <v>0.84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0.16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21</v>
      </c>
      <c r="C115" t="s">
        <v>21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21</v>
      </c>
      <c r="C116" t="s">
        <v>21</v>
      </c>
      <c r="D116">
        <v>0</v>
      </c>
      <c r="E116">
        <v>0</v>
      </c>
      <c r="F116">
        <v>0.01</v>
      </c>
      <c r="G116">
        <v>0</v>
      </c>
      <c r="H116">
        <v>0</v>
      </c>
      <c r="I116">
        <v>0.11</v>
      </c>
      <c r="J116">
        <v>0</v>
      </c>
      <c r="K116">
        <v>0</v>
      </c>
      <c r="L116">
        <v>0.88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116</v>
      </c>
      <c r="B117" t="s">
        <v>44</v>
      </c>
      <c r="C117" t="s">
        <v>44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34</v>
      </c>
      <c r="C118" t="s">
        <v>34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56</v>
      </c>
      <c r="C119" t="s">
        <v>56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1</v>
      </c>
      <c r="Z119">
        <v>0</v>
      </c>
    </row>
    <row r="120" spans="1:26">
      <c r="A120">
        <v>119</v>
      </c>
      <c r="B120" t="s">
        <v>151</v>
      </c>
      <c r="C120" t="s">
        <v>151</v>
      </c>
      <c r="D120">
        <v>0</v>
      </c>
      <c r="E120">
        <v>0.27</v>
      </c>
      <c r="F120">
        <v>0</v>
      </c>
      <c r="G120">
        <v>0</v>
      </c>
      <c r="H120">
        <v>0.56000000000000005</v>
      </c>
      <c r="I120">
        <v>0</v>
      </c>
      <c r="J120">
        <v>0</v>
      </c>
      <c r="K120">
        <v>0</v>
      </c>
      <c r="L120">
        <v>0</v>
      </c>
      <c r="M120">
        <v>0.14000000000000001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0.03</v>
      </c>
      <c r="W120">
        <v>0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49</v>
      </c>
      <c r="C121" t="s">
        <v>49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100</v>
      </c>
      <c r="C122" t="s">
        <v>100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0.99</v>
      </c>
      <c r="L122">
        <v>0</v>
      </c>
      <c r="M122">
        <v>0</v>
      </c>
      <c r="N122">
        <v>0</v>
      </c>
      <c r="O122">
        <v>0</v>
      </c>
      <c r="P122">
        <v>0.01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201</v>
      </c>
      <c r="C123" t="s">
        <v>201</v>
      </c>
      <c r="D123">
        <v>0</v>
      </c>
      <c r="E123">
        <v>0</v>
      </c>
      <c r="F123">
        <v>0.27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0.72</v>
      </c>
      <c r="T123">
        <v>0</v>
      </c>
      <c r="U123">
        <v>0</v>
      </c>
      <c r="V123">
        <v>0</v>
      </c>
      <c r="W123">
        <v>0</v>
      </c>
      <c r="X123">
        <v>0.01</v>
      </c>
      <c r="Y123">
        <v>0</v>
      </c>
      <c r="Z123">
        <v>0</v>
      </c>
    </row>
    <row r="124" spans="1:26">
      <c r="A124">
        <v>123</v>
      </c>
      <c r="B124" t="s">
        <v>201</v>
      </c>
      <c r="C124" t="s">
        <v>201</v>
      </c>
      <c r="D124">
        <v>0</v>
      </c>
      <c r="E124">
        <v>0</v>
      </c>
      <c r="F124">
        <v>0.12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0.88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56</v>
      </c>
      <c r="C125" t="s">
        <v>56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0</v>
      </c>
    </row>
    <row r="126" spans="1:26">
      <c r="A126">
        <v>125</v>
      </c>
      <c r="B126" t="s">
        <v>44</v>
      </c>
      <c r="C126" t="s">
        <v>44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131</v>
      </c>
      <c r="C127" t="s">
        <v>131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0.11</v>
      </c>
      <c r="U127">
        <v>0</v>
      </c>
      <c r="V127">
        <v>0</v>
      </c>
      <c r="W127">
        <v>0.89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53</v>
      </c>
      <c r="C128" t="s">
        <v>53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0.84</v>
      </c>
      <c r="U128">
        <v>0</v>
      </c>
      <c r="V128">
        <v>0</v>
      </c>
      <c r="W128">
        <v>0.16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21</v>
      </c>
      <c r="C129" t="s">
        <v>21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40</v>
      </c>
      <c r="C130" t="s">
        <v>40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70</v>
      </c>
      <c r="C131" t="s">
        <v>70</v>
      </c>
      <c r="D131">
        <v>0</v>
      </c>
      <c r="E131">
        <v>0.01</v>
      </c>
      <c r="F131">
        <v>0</v>
      </c>
      <c r="G131">
        <v>0</v>
      </c>
      <c r="H131">
        <v>0.01</v>
      </c>
      <c r="I131">
        <v>0</v>
      </c>
      <c r="J131">
        <v>0</v>
      </c>
      <c r="K131">
        <v>0</v>
      </c>
      <c r="L131">
        <v>0</v>
      </c>
      <c r="M131">
        <v>0.67</v>
      </c>
      <c r="N131">
        <v>0.22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0.09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40</v>
      </c>
      <c r="C132" t="s">
        <v>40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21</v>
      </c>
      <c r="C133" t="s">
        <v>21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21</v>
      </c>
      <c r="C134" t="s">
        <v>21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151</v>
      </c>
      <c r="C135" t="s">
        <v>151</v>
      </c>
      <c r="D135">
        <v>0</v>
      </c>
      <c r="E135">
        <v>0</v>
      </c>
      <c r="F135">
        <v>0</v>
      </c>
      <c r="G135">
        <v>0</v>
      </c>
      <c r="H135">
        <v>0.98</v>
      </c>
      <c r="I135">
        <v>0</v>
      </c>
      <c r="J135">
        <v>0</v>
      </c>
      <c r="K135">
        <v>0.01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0.01</v>
      </c>
      <c r="Y135">
        <v>0</v>
      </c>
      <c r="Z135">
        <v>0</v>
      </c>
    </row>
    <row r="136" spans="1:26">
      <c r="A136">
        <v>135</v>
      </c>
      <c r="B136" t="s">
        <v>30</v>
      </c>
      <c r="C136" t="s">
        <v>30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0.99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0.01</v>
      </c>
    </row>
    <row r="137" spans="1:26">
      <c r="A137">
        <v>136</v>
      </c>
      <c r="B137" t="s">
        <v>21</v>
      </c>
      <c r="C137" t="s">
        <v>21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100</v>
      </c>
      <c r="C138" t="s">
        <v>100</v>
      </c>
      <c r="D138">
        <v>0</v>
      </c>
      <c r="E138">
        <v>0</v>
      </c>
      <c r="F138">
        <v>0.01</v>
      </c>
      <c r="G138">
        <v>0</v>
      </c>
      <c r="H138">
        <v>0</v>
      </c>
      <c r="I138">
        <v>0</v>
      </c>
      <c r="J138">
        <v>0</v>
      </c>
      <c r="K138">
        <v>0.99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21</v>
      </c>
      <c r="C139" t="s">
        <v>21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44</v>
      </c>
      <c r="C140" t="s">
        <v>44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44</v>
      </c>
      <c r="C141" t="s">
        <v>44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1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21</v>
      </c>
      <c r="C142" t="s">
        <v>21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91</v>
      </c>
      <c r="C143" t="s">
        <v>91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0.01</v>
      </c>
      <c r="N143">
        <v>0.98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0.01</v>
      </c>
      <c r="Y143">
        <v>0</v>
      </c>
      <c r="Z143">
        <v>0</v>
      </c>
    </row>
    <row r="144" spans="1:26">
      <c r="A144">
        <v>143</v>
      </c>
      <c r="B144" t="s">
        <v>49</v>
      </c>
      <c r="C144" t="s">
        <v>49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40</v>
      </c>
      <c r="C145" t="s">
        <v>40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21</v>
      </c>
      <c r="C146" t="s">
        <v>21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0.99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0.01</v>
      </c>
      <c r="Z146">
        <v>0</v>
      </c>
    </row>
    <row r="147" spans="1:26">
      <c r="A147">
        <v>146</v>
      </c>
      <c r="B147" t="s">
        <v>40</v>
      </c>
      <c r="C147" t="s">
        <v>40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40</v>
      </c>
      <c r="C148" t="s">
        <v>40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131</v>
      </c>
      <c r="C149" t="s">
        <v>131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0.17</v>
      </c>
      <c r="U149">
        <v>0</v>
      </c>
      <c r="V149">
        <v>0</v>
      </c>
      <c r="W149">
        <v>0.83</v>
      </c>
      <c r="X149">
        <v>0</v>
      </c>
      <c r="Y149">
        <v>0</v>
      </c>
      <c r="Z149">
        <v>0</v>
      </c>
    </row>
    <row r="150" spans="1:26">
      <c r="A150">
        <v>149</v>
      </c>
      <c r="B150" t="s">
        <v>21</v>
      </c>
      <c r="C150" t="s">
        <v>21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0.56999999999999995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0.43</v>
      </c>
      <c r="Z150">
        <v>0</v>
      </c>
    </row>
    <row r="151" spans="1:26">
      <c r="A151">
        <v>150</v>
      </c>
      <c r="B151" t="s">
        <v>56</v>
      </c>
      <c r="C151" t="s">
        <v>56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0.22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0.78</v>
      </c>
      <c r="Z151">
        <v>0</v>
      </c>
    </row>
    <row r="152" spans="1:26">
      <c r="A152">
        <v>151</v>
      </c>
      <c r="B152" t="s">
        <v>131</v>
      </c>
      <c r="C152" t="s">
        <v>131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0.02</v>
      </c>
      <c r="U152">
        <v>0</v>
      </c>
      <c r="V152">
        <v>0</v>
      </c>
      <c r="W152">
        <v>0.98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40</v>
      </c>
      <c r="C153" t="s">
        <v>40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21</v>
      </c>
      <c r="C154" t="s">
        <v>21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131</v>
      </c>
      <c r="C155" t="s">
        <v>131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0.02</v>
      </c>
      <c r="U155">
        <v>0</v>
      </c>
      <c r="V155">
        <v>0</v>
      </c>
      <c r="W155">
        <v>0.98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40</v>
      </c>
      <c r="C156" t="s">
        <v>40</v>
      </c>
      <c r="D156">
        <v>0</v>
      </c>
      <c r="E156">
        <v>0</v>
      </c>
      <c r="F156">
        <v>0</v>
      </c>
      <c r="G156">
        <v>0.81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0.19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44</v>
      </c>
      <c r="C157" t="s">
        <v>44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30</v>
      </c>
      <c r="C158" t="s">
        <v>30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40</v>
      </c>
      <c r="C159" t="s">
        <v>40</v>
      </c>
      <c r="D159">
        <v>0</v>
      </c>
      <c r="E159">
        <v>0</v>
      </c>
      <c r="F159">
        <v>0</v>
      </c>
      <c r="G159">
        <v>0.88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0.12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44</v>
      </c>
      <c r="C160" t="s">
        <v>44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40</v>
      </c>
      <c r="C161" t="s">
        <v>40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40</v>
      </c>
      <c r="C162" t="s">
        <v>40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44</v>
      </c>
      <c r="C163" t="s">
        <v>44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70</v>
      </c>
      <c r="C164" t="s">
        <v>70</v>
      </c>
      <c r="D164">
        <v>0</v>
      </c>
      <c r="E164">
        <v>0</v>
      </c>
      <c r="F164">
        <v>0</v>
      </c>
      <c r="G164">
        <v>0</v>
      </c>
      <c r="H164">
        <v>0.03</v>
      </c>
      <c r="I164">
        <v>0</v>
      </c>
      <c r="J164">
        <v>0</v>
      </c>
      <c r="K164">
        <v>0</v>
      </c>
      <c r="L164">
        <v>0</v>
      </c>
      <c r="M164">
        <v>0.68</v>
      </c>
      <c r="N164">
        <v>0.05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0.03</v>
      </c>
      <c r="W164">
        <v>0</v>
      </c>
      <c r="X164">
        <v>0.21</v>
      </c>
      <c r="Y164">
        <v>0</v>
      </c>
      <c r="Z164">
        <v>0</v>
      </c>
    </row>
    <row r="165" spans="1:26">
      <c r="A165">
        <v>164</v>
      </c>
      <c r="B165" t="s">
        <v>40</v>
      </c>
      <c r="C165" t="s">
        <v>40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40</v>
      </c>
      <c r="C166" t="s">
        <v>40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21</v>
      </c>
      <c r="C167" t="s">
        <v>21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0.04</v>
      </c>
      <c r="J167">
        <v>0</v>
      </c>
      <c r="K167">
        <v>0</v>
      </c>
      <c r="L167">
        <v>0.96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56</v>
      </c>
      <c r="C168" t="s">
        <v>56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0.03</v>
      </c>
      <c r="J168">
        <v>0</v>
      </c>
      <c r="K168">
        <v>0</v>
      </c>
      <c r="L168">
        <v>0.04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0.93</v>
      </c>
      <c r="Z168">
        <v>0</v>
      </c>
    </row>
    <row r="169" spans="1:26">
      <c r="A169">
        <v>168</v>
      </c>
      <c r="B169" t="s">
        <v>40</v>
      </c>
      <c r="C169" t="s">
        <v>40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44</v>
      </c>
      <c r="C170" t="s">
        <v>44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44</v>
      </c>
      <c r="C171" t="s">
        <v>44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40</v>
      </c>
      <c r="C172" t="s">
        <v>40</v>
      </c>
      <c r="D172">
        <v>0.01</v>
      </c>
      <c r="E172">
        <v>0</v>
      </c>
      <c r="F172">
        <v>0</v>
      </c>
      <c r="G172">
        <v>0.97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0.02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56</v>
      </c>
      <c r="C173" t="s">
        <v>56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0</v>
      </c>
    </row>
    <row r="174" spans="1:26">
      <c r="A174">
        <v>173</v>
      </c>
      <c r="B174" t="s">
        <v>91</v>
      </c>
      <c r="C174" t="s">
        <v>91</v>
      </c>
      <c r="D174">
        <v>0</v>
      </c>
      <c r="E174">
        <v>0.02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0.06</v>
      </c>
      <c r="N174">
        <v>0.86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0.05</v>
      </c>
      <c r="W174">
        <v>0</v>
      </c>
      <c r="X174">
        <v>0.01</v>
      </c>
      <c r="Y174">
        <v>0</v>
      </c>
      <c r="Z174">
        <v>0</v>
      </c>
    </row>
    <row r="175" spans="1:26">
      <c r="A175">
        <v>174</v>
      </c>
      <c r="B175" t="s">
        <v>53</v>
      </c>
      <c r="C175" t="s">
        <v>53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1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27</v>
      </c>
      <c r="C176" t="s">
        <v>27</v>
      </c>
      <c r="D176">
        <v>0.99</v>
      </c>
      <c r="E176">
        <v>0.01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131</v>
      </c>
      <c r="C177" t="s">
        <v>131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0.02</v>
      </c>
      <c r="U177">
        <v>0</v>
      </c>
      <c r="V177">
        <v>0</v>
      </c>
      <c r="W177">
        <v>0.98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56</v>
      </c>
      <c r="C178" t="s">
        <v>56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0.11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0.89</v>
      </c>
      <c r="Z178">
        <v>0</v>
      </c>
    </row>
    <row r="179" spans="1:26">
      <c r="A179">
        <v>178</v>
      </c>
      <c r="B179" t="s">
        <v>21</v>
      </c>
      <c r="C179" t="s">
        <v>21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21</v>
      </c>
      <c r="C180" t="s">
        <v>21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180</v>
      </c>
      <c r="B181" t="s">
        <v>30</v>
      </c>
      <c r="C181" t="s">
        <v>30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0.82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0.18</v>
      </c>
    </row>
    <row r="182" spans="1:26">
      <c r="A182">
        <v>181</v>
      </c>
      <c r="B182" t="s">
        <v>21</v>
      </c>
      <c r="C182" t="s">
        <v>21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21</v>
      </c>
      <c r="C183" t="s">
        <v>21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0.92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0.08</v>
      </c>
      <c r="Z183">
        <v>0</v>
      </c>
    </row>
    <row r="184" spans="1:26">
      <c r="A184">
        <v>183</v>
      </c>
      <c r="B184" t="s">
        <v>21</v>
      </c>
      <c r="C184" t="s">
        <v>21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21</v>
      </c>
      <c r="C185" t="s">
        <v>21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40</v>
      </c>
      <c r="C186" t="s">
        <v>40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21</v>
      </c>
      <c r="C187" t="s">
        <v>21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27</v>
      </c>
      <c r="C188" t="s">
        <v>27</v>
      </c>
      <c r="D188">
        <v>0.92</v>
      </c>
      <c r="E188">
        <v>0</v>
      </c>
      <c r="F188">
        <v>0.01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0.01</v>
      </c>
      <c r="M188">
        <v>0</v>
      </c>
      <c r="N188">
        <v>0</v>
      </c>
      <c r="O188">
        <v>0.05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0.01</v>
      </c>
      <c r="Z188">
        <v>0</v>
      </c>
    </row>
    <row r="189" spans="1:26">
      <c r="A189">
        <v>188</v>
      </c>
      <c r="B189" t="s">
        <v>21</v>
      </c>
      <c r="C189" t="s">
        <v>21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56</v>
      </c>
      <c r="C190" t="s">
        <v>56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1</v>
      </c>
      <c r="Z190">
        <v>0</v>
      </c>
    </row>
    <row r="191" spans="1:26">
      <c r="A191">
        <v>190</v>
      </c>
      <c r="B191" t="s">
        <v>131</v>
      </c>
      <c r="C191" t="s">
        <v>131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0.08</v>
      </c>
      <c r="U191">
        <v>0</v>
      </c>
      <c r="V191">
        <v>0</v>
      </c>
      <c r="W191">
        <v>0.92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53</v>
      </c>
      <c r="C192" t="s">
        <v>53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0.77</v>
      </c>
      <c r="U192">
        <v>0</v>
      </c>
      <c r="V192">
        <v>0</v>
      </c>
      <c r="W192">
        <v>0.23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56</v>
      </c>
      <c r="C193" t="s">
        <v>56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0.02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0.98</v>
      </c>
      <c r="Z193">
        <v>0</v>
      </c>
    </row>
    <row r="194" spans="1:26">
      <c r="A194">
        <v>193</v>
      </c>
      <c r="B194" t="s">
        <v>21</v>
      </c>
      <c r="C194" t="s">
        <v>21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44</v>
      </c>
      <c r="C195" t="s">
        <v>44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126</v>
      </c>
      <c r="C196" t="s">
        <v>126</v>
      </c>
      <c r="D196">
        <v>0.01</v>
      </c>
      <c r="E196">
        <v>0.01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0.01</v>
      </c>
      <c r="O196">
        <v>0</v>
      </c>
      <c r="P196">
        <v>0.97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40</v>
      </c>
      <c r="C197" t="s">
        <v>40</v>
      </c>
      <c r="D197">
        <v>0</v>
      </c>
      <c r="E197">
        <v>0</v>
      </c>
      <c r="F197">
        <v>0</v>
      </c>
      <c r="G197">
        <v>0.98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0.02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91</v>
      </c>
      <c r="C198" t="s">
        <v>91</v>
      </c>
      <c r="D198">
        <v>0</v>
      </c>
      <c r="E198">
        <v>0.04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0.04</v>
      </c>
      <c r="N198">
        <v>0.89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0.03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56</v>
      </c>
      <c r="C199" t="s">
        <v>56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1</v>
      </c>
      <c r="Z199">
        <v>0</v>
      </c>
    </row>
    <row r="200" spans="1:26">
      <c r="A200">
        <v>199</v>
      </c>
      <c r="B200" t="s">
        <v>56</v>
      </c>
      <c r="C200" t="s">
        <v>56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0.01</v>
      </c>
      <c r="J200">
        <v>0</v>
      </c>
      <c r="K200">
        <v>0</v>
      </c>
      <c r="L200">
        <v>0.39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0.6</v>
      </c>
      <c r="Z200">
        <v>0</v>
      </c>
    </row>
    <row r="201" spans="1:26">
      <c r="A201">
        <v>200</v>
      </c>
      <c r="B201" t="s">
        <v>21</v>
      </c>
      <c r="C201" t="s">
        <v>21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40</v>
      </c>
      <c r="C202" t="s">
        <v>40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21</v>
      </c>
      <c r="C203" t="s">
        <v>21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0.96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0.04</v>
      </c>
      <c r="Z203">
        <v>0</v>
      </c>
    </row>
    <row r="204" spans="1:26">
      <c r="A204">
        <v>203</v>
      </c>
      <c r="B204" t="s">
        <v>40</v>
      </c>
      <c r="C204" t="s">
        <v>40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40</v>
      </c>
      <c r="C205" t="s">
        <v>40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40</v>
      </c>
      <c r="C206" t="s">
        <v>40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30</v>
      </c>
      <c r="C207" t="s">
        <v>30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0.98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0.02</v>
      </c>
    </row>
    <row r="208" spans="1:26">
      <c r="A208">
        <v>207</v>
      </c>
      <c r="B208" t="s">
        <v>40</v>
      </c>
      <c r="C208" t="s">
        <v>40</v>
      </c>
      <c r="D208">
        <v>0</v>
      </c>
      <c r="E208">
        <v>0</v>
      </c>
      <c r="F208">
        <v>0</v>
      </c>
      <c r="G208">
        <v>0.98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0.02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56</v>
      </c>
      <c r="C209" t="s">
        <v>56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0</v>
      </c>
    </row>
    <row r="210" spans="1:26">
      <c r="A210">
        <v>209</v>
      </c>
      <c r="B210" t="s">
        <v>40</v>
      </c>
      <c r="C210" t="s">
        <v>40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56</v>
      </c>
      <c r="C211" t="s">
        <v>56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1</v>
      </c>
      <c r="Z211">
        <v>0</v>
      </c>
    </row>
    <row r="212" spans="1:26">
      <c r="A212">
        <v>211</v>
      </c>
      <c r="B212" t="s">
        <v>85</v>
      </c>
      <c r="C212" t="s">
        <v>85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0.13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0.87</v>
      </c>
    </row>
    <row r="213" spans="1:26">
      <c r="A213">
        <v>212</v>
      </c>
      <c r="B213" t="s">
        <v>21</v>
      </c>
      <c r="C213" t="s">
        <v>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40</v>
      </c>
      <c r="C214" t="s">
        <v>40</v>
      </c>
      <c r="D214">
        <v>0</v>
      </c>
      <c r="E214">
        <v>0</v>
      </c>
      <c r="F214">
        <v>0</v>
      </c>
      <c r="G214">
        <v>0.94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0.01</v>
      </c>
      <c r="Q214">
        <v>0</v>
      </c>
      <c r="R214">
        <v>0.05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21</v>
      </c>
      <c r="C215" t="s">
        <v>21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0.84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0.15</v>
      </c>
      <c r="Z215">
        <v>0.01</v>
      </c>
    </row>
    <row r="216" spans="1:26">
      <c r="A216">
        <v>215</v>
      </c>
      <c r="B216" t="s">
        <v>56</v>
      </c>
      <c r="C216" t="s">
        <v>56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0.12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0.88</v>
      </c>
      <c r="Z216">
        <v>0</v>
      </c>
    </row>
    <row r="217" spans="1:26">
      <c r="A217">
        <v>216</v>
      </c>
      <c r="B217" t="s">
        <v>44</v>
      </c>
      <c r="C217" t="s">
        <v>44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44</v>
      </c>
      <c r="C218" t="s">
        <v>44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56</v>
      </c>
      <c r="C219" t="s">
        <v>56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0.01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0.99</v>
      </c>
      <c r="Z219">
        <v>0</v>
      </c>
    </row>
    <row r="220" spans="1:26">
      <c r="A220">
        <v>219</v>
      </c>
      <c r="B220" t="s">
        <v>21</v>
      </c>
      <c r="C220" t="s">
        <v>21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21</v>
      </c>
      <c r="C221" t="s">
        <v>21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49</v>
      </c>
      <c r="C222" t="s">
        <v>49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138</v>
      </c>
      <c r="C223" t="s">
        <v>138</v>
      </c>
      <c r="D223">
        <v>0</v>
      </c>
      <c r="E223">
        <v>0</v>
      </c>
      <c r="F223">
        <v>0</v>
      </c>
      <c r="G223">
        <v>0.17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0.83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44</v>
      </c>
      <c r="C224" t="s">
        <v>44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40</v>
      </c>
      <c r="C225" t="s">
        <v>40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27</v>
      </c>
      <c r="C226" t="s">
        <v>27</v>
      </c>
      <c r="D226">
        <v>0.91</v>
      </c>
      <c r="E226">
        <v>0.01</v>
      </c>
      <c r="F226">
        <v>0.01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0.02</v>
      </c>
      <c r="M226">
        <v>0</v>
      </c>
      <c r="N226">
        <v>0</v>
      </c>
      <c r="O226">
        <v>0.01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0.04</v>
      </c>
      <c r="Z226">
        <v>0</v>
      </c>
    </row>
    <row r="227" spans="1:26">
      <c r="A227">
        <v>226</v>
      </c>
      <c r="B227" t="s">
        <v>40</v>
      </c>
      <c r="C227" t="s">
        <v>40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40</v>
      </c>
      <c r="C228" t="s">
        <v>40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21</v>
      </c>
      <c r="C229" t="s">
        <v>21</v>
      </c>
      <c r="D229">
        <v>0</v>
      </c>
      <c r="E229">
        <v>0</v>
      </c>
      <c r="F229">
        <v>0.03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0.97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40</v>
      </c>
      <c r="C230" t="s">
        <v>40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27</v>
      </c>
      <c r="C231" t="s">
        <v>27</v>
      </c>
      <c r="D231">
        <v>0.99</v>
      </c>
      <c r="E231">
        <v>0.01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21</v>
      </c>
      <c r="C232" t="s">
        <v>21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21</v>
      </c>
      <c r="C233" t="s">
        <v>21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30</v>
      </c>
      <c r="C234" t="s">
        <v>30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1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53</v>
      </c>
      <c r="C235" t="s">
        <v>53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0.62</v>
      </c>
      <c r="U235">
        <v>0</v>
      </c>
      <c r="V235">
        <v>0</v>
      </c>
      <c r="W235">
        <v>0.38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56</v>
      </c>
      <c r="C236" t="s">
        <v>56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1</v>
      </c>
      <c r="Z236">
        <v>0</v>
      </c>
    </row>
    <row r="237" spans="1:26">
      <c r="A237">
        <v>236</v>
      </c>
      <c r="B237" t="s">
        <v>40</v>
      </c>
      <c r="C237" t="s">
        <v>40</v>
      </c>
      <c r="D237">
        <v>0</v>
      </c>
      <c r="E237">
        <v>0</v>
      </c>
      <c r="F237">
        <v>0</v>
      </c>
      <c r="G237">
        <v>0.95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0.05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30</v>
      </c>
      <c r="C238" t="s">
        <v>30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21</v>
      </c>
      <c r="C239" t="s">
        <v>21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30</v>
      </c>
      <c r="C240" t="s">
        <v>30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0.94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0.06</v>
      </c>
    </row>
    <row r="241" spans="1:26">
      <c r="A241">
        <v>240</v>
      </c>
      <c r="B241" t="s">
        <v>40</v>
      </c>
      <c r="C241" t="s">
        <v>40</v>
      </c>
      <c r="D241">
        <v>0.01</v>
      </c>
      <c r="E241">
        <v>0</v>
      </c>
      <c r="F241">
        <v>0</v>
      </c>
      <c r="G241">
        <v>0.97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0.02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27</v>
      </c>
      <c r="C242" t="s">
        <v>27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>
      <c r="A243">
        <v>242</v>
      </c>
      <c r="B243" t="s">
        <v>56</v>
      </c>
      <c r="C243" t="s">
        <v>56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1</v>
      </c>
      <c r="Z243">
        <v>0</v>
      </c>
    </row>
    <row r="244" spans="1:26">
      <c r="A244">
        <v>243</v>
      </c>
      <c r="B244" t="s">
        <v>49</v>
      </c>
      <c r="C244" t="s">
        <v>49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21</v>
      </c>
      <c r="C245" t="s">
        <v>21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0.02</v>
      </c>
      <c r="J245">
        <v>0</v>
      </c>
      <c r="K245">
        <v>0</v>
      </c>
      <c r="L245">
        <v>0.94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0.04</v>
      </c>
    </row>
    <row r="246" spans="1:26">
      <c r="A246">
        <v>245</v>
      </c>
      <c r="B246" t="s">
        <v>21</v>
      </c>
      <c r="C246" t="s">
        <v>21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30</v>
      </c>
      <c r="C247" t="s">
        <v>30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0.7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0.3</v>
      </c>
    </row>
    <row r="248" spans="1:26">
      <c r="A248">
        <v>247</v>
      </c>
      <c r="B248" t="s">
        <v>21</v>
      </c>
      <c r="C248" t="s">
        <v>21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53</v>
      </c>
      <c r="C249" t="s">
        <v>53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21</v>
      </c>
      <c r="C250" t="s">
        <v>21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40</v>
      </c>
      <c r="C251" t="s">
        <v>40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21</v>
      </c>
      <c r="C252" t="s">
        <v>21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40</v>
      </c>
      <c r="C253" t="s">
        <v>40</v>
      </c>
      <c r="D253">
        <v>0</v>
      </c>
      <c r="E253">
        <v>0</v>
      </c>
      <c r="F253">
        <v>0</v>
      </c>
      <c r="G253">
        <v>0.99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0.01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56</v>
      </c>
      <c r="C254" t="s">
        <v>56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0.01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0.99</v>
      </c>
      <c r="Z254">
        <v>0</v>
      </c>
    </row>
    <row r="255" spans="1:26">
      <c r="A255">
        <v>254</v>
      </c>
      <c r="B255" t="s">
        <v>151</v>
      </c>
      <c r="C255" t="s">
        <v>151</v>
      </c>
      <c r="D255">
        <v>0</v>
      </c>
      <c r="E255">
        <v>0</v>
      </c>
      <c r="F255">
        <v>0</v>
      </c>
      <c r="G255">
        <v>0</v>
      </c>
      <c r="H255">
        <v>0.78</v>
      </c>
      <c r="I255">
        <v>0</v>
      </c>
      <c r="J255">
        <v>0</v>
      </c>
      <c r="K255">
        <v>0</v>
      </c>
      <c r="L255">
        <v>0</v>
      </c>
      <c r="M255">
        <v>0.15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7.0000000000000007E-2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21</v>
      </c>
      <c r="C256" t="s">
        <v>21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44</v>
      </c>
      <c r="C257" t="s">
        <v>44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40</v>
      </c>
      <c r="C258" t="s">
        <v>40</v>
      </c>
      <c r="D258">
        <v>0</v>
      </c>
      <c r="E258">
        <v>0</v>
      </c>
      <c r="F258">
        <v>0</v>
      </c>
      <c r="G258">
        <v>0.82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0.18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21</v>
      </c>
      <c r="C259" t="s">
        <v>21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0.23</v>
      </c>
      <c r="J259">
        <v>0</v>
      </c>
      <c r="K259">
        <v>0</v>
      </c>
      <c r="L259">
        <v>0.76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0.01</v>
      </c>
    </row>
    <row r="260" spans="1:26">
      <c r="A260">
        <v>259</v>
      </c>
      <c r="B260" t="s">
        <v>40</v>
      </c>
      <c r="C260" t="s">
        <v>40</v>
      </c>
      <c r="D260">
        <v>0</v>
      </c>
      <c r="E260">
        <v>0</v>
      </c>
      <c r="F260">
        <v>0</v>
      </c>
      <c r="G260">
        <v>0.96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0.04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151</v>
      </c>
      <c r="C261" t="s">
        <v>151</v>
      </c>
      <c r="D261">
        <v>0</v>
      </c>
      <c r="E261">
        <v>0.06</v>
      </c>
      <c r="F261">
        <v>0</v>
      </c>
      <c r="G261">
        <v>0</v>
      </c>
      <c r="H261">
        <v>0.7</v>
      </c>
      <c r="I261">
        <v>0</v>
      </c>
      <c r="J261">
        <v>0</v>
      </c>
      <c r="K261">
        <v>0</v>
      </c>
      <c r="L261">
        <v>0</v>
      </c>
      <c r="M261">
        <v>0.13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0.11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49</v>
      </c>
      <c r="C262" t="s">
        <v>49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91</v>
      </c>
      <c r="C263" t="s">
        <v>91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0.03</v>
      </c>
      <c r="N263">
        <v>0.95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0.01</v>
      </c>
      <c r="W263">
        <v>0</v>
      </c>
      <c r="X263">
        <v>0.01</v>
      </c>
      <c r="Y263">
        <v>0</v>
      </c>
      <c r="Z263">
        <v>0</v>
      </c>
    </row>
    <row r="264" spans="1:26">
      <c r="A264">
        <v>263</v>
      </c>
      <c r="B264" t="s">
        <v>44</v>
      </c>
      <c r="C264" t="s">
        <v>44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1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30</v>
      </c>
      <c r="C265" t="s">
        <v>30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0.9</v>
      </c>
      <c r="J265">
        <v>0.09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0.01</v>
      </c>
    </row>
    <row r="266" spans="1:26">
      <c r="A266">
        <v>265</v>
      </c>
      <c r="B266" t="s">
        <v>44</v>
      </c>
      <c r="C266" t="s">
        <v>44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40</v>
      </c>
      <c r="C267" t="s">
        <v>40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85</v>
      </c>
      <c r="C268" t="s">
        <v>85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0.08</v>
      </c>
      <c r="J268">
        <v>0</v>
      </c>
      <c r="K268">
        <v>0</v>
      </c>
      <c r="L268">
        <v>0.04</v>
      </c>
      <c r="M268">
        <v>0</v>
      </c>
      <c r="N268">
        <v>0</v>
      </c>
      <c r="O268">
        <v>0</v>
      </c>
      <c r="P268">
        <v>0.01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0.03</v>
      </c>
      <c r="Z268">
        <v>0.84</v>
      </c>
    </row>
    <row r="269" spans="1:26">
      <c r="A269">
        <v>268</v>
      </c>
      <c r="B269" t="s">
        <v>21</v>
      </c>
      <c r="C269" t="s">
        <v>21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0.7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0.3</v>
      </c>
      <c r="Z269">
        <v>0</v>
      </c>
    </row>
    <row r="270" spans="1:26">
      <c r="A270">
        <v>269</v>
      </c>
      <c r="B270" t="s">
        <v>21</v>
      </c>
      <c r="C270" t="s">
        <v>21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0.57999999999999996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0.42</v>
      </c>
      <c r="Z270">
        <v>0</v>
      </c>
    </row>
    <row r="271" spans="1:26">
      <c r="A271">
        <v>270</v>
      </c>
      <c r="B271" t="s">
        <v>138</v>
      </c>
      <c r="C271" t="s">
        <v>138</v>
      </c>
      <c r="D271">
        <v>0</v>
      </c>
      <c r="E271">
        <v>0</v>
      </c>
      <c r="F271">
        <v>0</v>
      </c>
      <c r="G271">
        <v>0.27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0.73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188</v>
      </c>
      <c r="C272" t="s">
        <v>188</v>
      </c>
      <c r="D272">
        <v>0</v>
      </c>
      <c r="E272">
        <v>0.02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0.01</v>
      </c>
      <c r="L272">
        <v>0</v>
      </c>
      <c r="M272">
        <v>0.28999999999999998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0.61</v>
      </c>
      <c r="W272">
        <v>0</v>
      </c>
      <c r="X272">
        <v>7.0000000000000007E-2</v>
      </c>
      <c r="Y272">
        <v>0</v>
      </c>
      <c r="Z272">
        <v>0</v>
      </c>
    </row>
    <row r="273" spans="1:26">
      <c r="A273">
        <v>272</v>
      </c>
      <c r="B273" t="s">
        <v>21</v>
      </c>
      <c r="C273" t="s">
        <v>21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273</v>
      </c>
      <c r="B274" t="s">
        <v>44</v>
      </c>
      <c r="C274" t="s">
        <v>44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40</v>
      </c>
      <c r="C275" t="s">
        <v>40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60</v>
      </c>
      <c r="C276" t="s">
        <v>60</v>
      </c>
      <c r="D276">
        <v>0</v>
      </c>
      <c r="E276">
        <v>0.01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0.01</v>
      </c>
      <c r="L276">
        <v>0</v>
      </c>
      <c r="M276">
        <v>0.2</v>
      </c>
      <c r="N276">
        <v>0.01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7.0000000000000007E-2</v>
      </c>
      <c r="W276">
        <v>0</v>
      </c>
      <c r="X276">
        <v>0.7</v>
      </c>
      <c r="Y276">
        <v>0</v>
      </c>
      <c r="Z276">
        <v>0</v>
      </c>
    </row>
    <row r="277" spans="1:26">
      <c r="A277">
        <v>276</v>
      </c>
      <c r="B277" t="s">
        <v>21</v>
      </c>
      <c r="C277" t="s">
        <v>21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0.01</v>
      </c>
      <c r="J277">
        <v>0</v>
      </c>
      <c r="K277">
        <v>0</v>
      </c>
      <c r="L277">
        <v>0.69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0.3</v>
      </c>
      <c r="Z277">
        <v>0</v>
      </c>
    </row>
    <row r="278" spans="1:26">
      <c r="A278">
        <v>277</v>
      </c>
      <c r="B278" t="s">
        <v>56</v>
      </c>
      <c r="C278" t="s">
        <v>56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7.0000000000000007E-2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0.93</v>
      </c>
      <c r="Z278">
        <v>0</v>
      </c>
    </row>
    <row r="279" spans="1:26">
      <c r="A279">
        <v>278</v>
      </c>
      <c r="B279" t="s">
        <v>49</v>
      </c>
      <c r="C279" t="s">
        <v>49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21</v>
      </c>
      <c r="C280" t="s">
        <v>21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40</v>
      </c>
      <c r="C281" t="s">
        <v>40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56</v>
      </c>
      <c r="C282" t="s">
        <v>56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0.03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0.97</v>
      </c>
      <c r="Z282">
        <v>0</v>
      </c>
    </row>
    <row r="283" spans="1:26">
      <c r="A283">
        <v>282</v>
      </c>
      <c r="B283" t="s">
        <v>40</v>
      </c>
      <c r="C283" t="s">
        <v>40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30</v>
      </c>
      <c r="C284" t="s">
        <v>30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44</v>
      </c>
      <c r="C285" t="s">
        <v>44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1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285</v>
      </c>
      <c r="B286" t="s">
        <v>49</v>
      </c>
      <c r="C286" t="s">
        <v>49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286</v>
      </c>
      <c r="B287" t="s">
        <v>40</v>
      </c>
      <c r="C287" t="s">
        <v>40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151</v>
      </c>
      <c r="C288" t="s">
        <v>151</v>
      </c>
      <c r="D288">
        <v>0</v>
      </c>
      <c r="E288">
        <v>0.04</v>
      </c>
      <c r="F288">
        <v>0</v>
      </c>
      <c r="G288">
        <v>0</v>
      </c>
      <c r="H288">
        <v>0.64</v>
      </c>
      <c r="I288">
        <v>0</v>
      </c>
      <c r="J288">
        <v>0</v>
      </c>
      <c r="K288">
        <v>0</v>
      </c>
      <c r="L288">
        <v>0</v>
      </c>
      <c r="M288">
        <v>0.28999999999999998</v>
      </c>
      <c r="N288">
        <v>0.01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0.02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21</v>
      </c>
      <c r="C289" t="s">
        <v>21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53</v>
      </c>
      <c r="C290" t="s">
        <v>53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0.72</v>
      </c>
      <c r="U290">
        <v>0</v>
      </c>
      <c r="V290">
        <v>0</v>
      </c>
      <c r="W290">
        <v>0.28000000000000003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44</v>
      </c>
      <c r="C291" t="s">
        <v>44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40</v>
      </c>
      <c r="C292" t="s">
        <v>40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27</v>
      </c>
      <c r="C293" t="s">
        <v>27</v>
      </c>
      <c r="D293">
        <v>0.99</v>
      </c>
      <c r="E293">
        <v>0</v>
      </c>
      <c r="F293">
        <v>0</v>
      </c>
      <c r="G293">
        <v>0.01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40</v>
      </c>
      <c r="C294" t="s">
        <v>40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44</v>
      </c>
      <c r="C295" t="s">
        <v>44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70</v>
      </c>
      <c r="C296" t="s">
        <v>70</v>
      </c>
      <c r="D296">
        <v>0</v>
      </c>
      <c r="E296">
        <v>0.02</v>
      </c>
      <c r="F296">
        <v>0</v>
      </c>
      <c r="G296">
        <v>0</v>
      </c>
      <c r="H296">
        <v>0.13</v>
      </c>
      <c r="I296">
        <v>0</v>
      </c>
      <c r="J296">
        <v>0</v>
      </c>
      <c r="K296">
        <v>0</v>
      </c>
      <c r="L296">
        <v>0</v>
      </c>
      <c r="M296">
        <v>0.77</v>
      </c>
      <c r="N296">
        <v>7.0000000000000007E-2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0.01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138</v>
      </c>
      <c r="C297" t="s">
        <v>138</v>
      </c>
      <c r="D297">
        <v>0</v>
      </c>
      <c r="E297">
        <v>0</v>
      </c>
      <c r="F297">
        <v>0</v>
      </c>
      <c r="G297">
        <v>0.38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0.62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27</v>
      </c>
      <c r="C298" t="s">
        <v>27</v>
      </c>
      <c r="D298">
        <v>1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21</v>
      </c>
      <c r="C299" t="s">
        <v>21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0.01</v>
      </c>
      <c r="J299">
        <v>0</v>
      </c>
      <c r="K299">
        <v>0</v>
      </c>
      <c r="L299">
        <v>0.99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40</v>
      </c>
      <c r="C300" t="s">
        <v>40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70</v>
      </c>
      <c r="C301" t="s">
        <v>70</v>
      </c>
      <c r="D301">
        <v>0</v>
      </c>
      <c r="E301">
        <v>0.08</v>
      </c>
      <c r="F301">
        <v>0</v>
      </c>
      <c r="G301">
        <v>0</v>
      </c>
      <c r="H301">
        <v>0.32</v>
      </c>
      <c r="I301">
        <v>0</v>
      </c>
      <c r="J301">
        <v>0</v>
      </c>
      <c r="K301">
        <v>0</v>
      </c>
      <c r="L301">
        <v>0</v>
      </c>
      <c r="M301">
        <v>0.59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0.01</v>
      </c>
      <c r="Y301">
        <v>0</v>
      </c>
      <c r="Z301">
        <v>0</v>
      </c>
    </row>
    <row r="302" spans="1:26">
      <c r="A302">
        <v>301</v>
      </c>
      <c r="B302" t="s">
        <v>40</v>
      </c>
      <c r="C302" t="s">
        <v>40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27</v>
      </c>
      <c r="C303" t="s">
        <v>27</v>
      </c>
      <c r="D303">
        <v>1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131</v>
      </c>
      <c r="C304" t="s">
        <v>131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0.02</v>
      </c>
      <c r="U304">
        <v>0</v>
      </c>
      <c r="V304">
        <v>0</v>
      </c>
      <c r="W304">
        <v>0.98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131</v>
      </c>
      <c r="C305" t="s">
        <v>131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7.0000000000000007E-2</v>
      </c>
      <c r="U305">
        <v>0</v>
      </c>
      <c r="V305">
        <v>0</v>
      </c>
      <c r="W305">
        <v>0.93</v>
      </c>
      <c r="X305">
        <v>0</v>
      </c>
      <c r="Y305">
        <v>0</v>
      </c>
      <c r="Z305">
        <v>0</v>
      </c>
    </row>
    <row r="306" spans="1:26">
      <c r="A306">
        <v>305</v>
      </c>
      <c r="B306" t="s">
        <v>40</v>
      </c>
      <c r="C306" t="s">
        <v>40</v>
      </c>
      <c r="D306">
        <v>0</v>
      </c>
      <c r="E306">
        <v>0</v>
      </c>
      <c r="F306">
        <v>0</v>
      </c>
      <c r="G306">
        <v>0.95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0.05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56</v>
      </c>
      <c r="C307" t="s">
        <v>56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1</v>
      </c>
      <c r="Z307">
        <v>0</v>
      </c>
    </row>
    <row r="308" spans="1:26">
      <c r="A308">
        <v>307</v>
      </c>
      <c r="B308" t="s">
        <v>34</v>
      </c>
      <c r="C308" t="s">
        <v>34</v>
      </c>
      <c r="D308">
        <v>0</v>
      </c>
      <c r="E308">
        <v>0</v>
      </c>
      <c r="F308">
        <v>0.72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0.04</v>
      </c>
      <c r="M308">
        <v>0</v>
      </c>
      <c r="N308">
        <v>0</v>
      </c>
      <c r="O308">
        <v>0.02</v>
      </c>
      <c r="P308">
        <v>0.02</v>
      </c>
      <c r="Q308">
        <v>0.01</v>
      </c>
      <c r="R308">
        <v>0</v>
      </c>
      <c r="S308">
        <v>0</v>
      </c>
      <c r="T308">
        <v>0.18</v>
      </c>
      <c r="U308">
        <v>0</v>
      </c>
      <c r="V308">
        <v>0</v>
      </c>
      <c r="W308">
        <v>0.01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44</v>
      </c>
      <c r="C309" t="s">
        <v>44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1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40</v>
      </c>
      <c r="C310" t="s">
        <v>40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40</v>
      </c>
      <c r="C311" t="s">
        <v>40</v>
      </c>
      <c r="D311">
        <v>0</v>
      </c>
      <c r="E311">
        <v>0</v>
      </c>
      <c r="F311">
        <v>0</v>
      </c>
      <c r="G311">
        <v>0.96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0.04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49</v>
      </c>
      <c r="C312" t="s">
        <v>49</v>
      </c>
      <c r="D312">
        <v>0.01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0.01</v>
      </c>
      <c r="M312">
        <v>0</v>
      </c>
      <c r="N312">
        <v>0</v>
      </c>
      <c r="O312">
        <v>0.98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21</v>
      </c>
      <c r="C313" t="s">
        <v>21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53</v>
      </c>
      <c r="C314" t="s">
        <v>53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0.64</v>
      </c>
      <c r="U314">
        <v>0</v>
      </c>
      <c r="V314">
        <v>0</v>
      </c>
      <c r="W314">
        <v>0.36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188</v>
      </c>
      <c r="C315" t="s">
        <v>188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126</v>
      </c>
      <c r="C316" t="s">
        <v>126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0.99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0.01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60</v>
      </c>
      <c r="C317" t="s">
        <v>60</v>
      </c>
      <c r="D317">
        <v>0</v>
      </c>
      <c r="E317">
        <v>0.01</v>
      </c>
      <c r="F317">
        <v>0</v>
      </c>
      <c r="G317">
        <v>0</v>
      </c>
      <c r="H317">
        <v>0.04</v>
      </c>
      <c r="I317">
        <v>0</v>
      </c>
      <c r="J317">
        <v>0</v>
      </c>
      <c r="K317">
        <v>0.03</v>
      </c>
      <c r="L317">
        <v>0.01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0.88</v>
      </c>
      <c r="Y317">
        <v>0</v>
      </c>
      <c r="Z317">
        <v>0.03</v>
      </c>
    </row>
    <row r="318" spans="1:26">
      <c r="A318">
        <v>317</v>
      </c>
      <c r="B318" t="s">
        <v>21</v>
      </c>
      <c r="C318" t="s">
        <v>21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0.05</v>
      </c>
      <c r="J318">
        <v>0</v>
      </c>
      <c r="K318">
        <v>0</v>
      </c>
      <c r="L318">
        <v>0.95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56</v>
      </c>
      <c r="C319" t="s">
        <v>56</v>
      </c>
      <c r="D319">
        <v>0</v>
      </c>
      <c r="E319">
        <v>0</v>
      </c>
      <c r="F319">
        <v>0</v>
      </c>
      <c r="G319">
        <v>0.01</v>
      </c>
      <c r="H319">
        <v>0</v>
      </c>
      <c r="I319">
        <v>0.27</v>
      </c>
      <c r="J319">
        <v>0</v>
      </c>
      <c r="K319">
        <v>0</v>
      </c>
      <c r="L319">
        <v>0.17</v>
      </c>
      <c r="M319">
        <v>0</v>
      </c>
      <c r="N319">
        <v>0</v>
      </c>
      <c r="O319">
        <v>0</v>
      </c>
      <c r="P319">
        <v>0.01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0.51</v>
      </c>
      <c r="Z319">
        <v>0.03</v>
      </c>
    </row>
    <row r="320" spans="1:26">
      <c r="A320">
        <v>319</v>
      </c>
      <c r="B320" t="s">
        <v>138</v>
      </c>
      <c r="C320" t="s">
        <v>138</v>
      </c>
      <c r="D320">
        <v>0.01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0.99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21</v>
      </c>
      <c r="C321" t="s">
        <v>21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56</v>
      </c>
      <c r="C322" t="s">
        <v>56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1</v>
      </c>
      <c r="Z322">
        <v>0</v>
      </c>
    </row>
    <row r="323" spans="1:26">
      <c r="A323">
        <v>322</v>
      </c>
      <c r="B323" t="s">
        <v>21</v>
      </c>
      <c r="C323" t="s">
        <v>21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44</v>
      </c>
      <c r="C324" t="s">
        <v>44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21</v>
      </c>
      <c r="C325" t="s">
        <v>21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0.02</v>
      </c>
      <c r="J325">
        <v>0</v>
      </c>
      <c r="K325">
        <v>0</v>
      </c>
      <c r="L325">
        <v>0.98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30</v>
      </c>
      <c r="C326" t="s">
        <v>30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1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21</v>
      </c>
      <c r="C327" t="s">
        <v>21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53</v>
      </c>
      <c r="C328" t="s">
        <v>53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0.95</v>
      </c>
      <c r="U328">
        <v>0</v>
      </c>
      <c r="V328">
        <v>0</v>
      </c>
      <c r="W328">
        <v>0.05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21</v>
      </c>
      <c r="C329" t="s">
        <v>21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21</v>
      </c>
      <c r="C330" t="s">
        <v>21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70</v>
      </c>
      <c r="C331" t="s">
        <v>70</v>
      </c>
      <c r="D331">
        <v>0</v>
      </c>
      <c r="E331">
        <v>0.04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0.56000000000000005</v>
      </c>
      <c r="N331">
        <v>0.37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0.03</v>
      </c>
      <c r="Y331">
        <v>0</v>
      </c>
      <c r="Z331">
        <v>0</v>
      </c>
    </row>
    <row r="332" spans="1:26">
      <c r="A332">
        <v>331</v>
      </c>
      <c r="B332" t="s">
        <v>40</v>
      </c>
      <c r="C332" t="s">
        <v>40</v>
      </c>
      <c r="D332">
        <v>0</v>
      </c>
      <c r="E332">
        <v>0</v>
      </c>
      <c r="F332">
        <v>0</v>
      </c>
      <c r="G332">
        <v>0.98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0.02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34</v>
      </c>
      <c r="C333" t="s">
        <v>34</v>
      </c>
      <c r="D333">
        <v>0</v>
      </c>
      <c r="E333">
        <v>0</v>
      </c>
      <c r="F333">
        <v>0.98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0.02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138</v>
      </c>
      <c r="C334" t="s">
        <v>138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56</v>
      </c>
      <c r="C335" t="s">
        <v>56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0.25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0.75</v>
      </c>
      <c r="Z335">
        <v>0</v>
      </c>
    </row>
    <row r="336" spans="1:26">
      <c r="A336">
        <v>335</v>
      </c>
      <c r="B336" t="s">
        <v>34</v>
      </c>
      <c r="C336" t="s">
        <v>34</v>
      </c>
      <c r="D336">
        <v>0</v>
      </c>
      <c r="E336">
        <v>0</v>
      </c>
      <c r="F336">
        <v>1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30</v>
      </c>
      <c r="C337" t="s">
        <v>30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1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34</v>
      </c>
      <c r="C338" t="s">
        <v>34</v>
      </c>
      <c r="D338">
        <v>0</v>
      </c>
      <c r="E338">
        <v>0</v>
      </c>
      <c r="F338">
        <v>1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>
      <c r="A339">
        <v>338</v>
      </c>
      <c r="B339" t="s">
        <v>40</v>
      </c>
      <c r="C339" t="s">
        <v>40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126</v>
      </c>
      <c r="C340" t="s">
        <v>126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1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49</v>
      </c>
      <c r="C341" t="s">
        <v>49</v>
      </c>
      <c r="D341">
        <v>0.01</v>
      </c>
      <c r="E341">
        <v>0</v>
      </c>
      <c r="F341">
        <v>0.01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0.98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40</v>
      </c>
      <c r="C342" t="s">
        <v>40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44</v>
      </c>
      <c r="C343" t="s">
        <v>44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56</v>
      </c>
      <c r="C344" t="s">
        <v>56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1</v>
      </c>
      <c r="Z344">
        <v>0</v>
      </c>
    </row>
    <row r="345" spans="1:26">
      <c r="A345">
        <v>344</v>
      </c>
      <c r="B345" t="s">
        <v>40</v>
      </c>
      <c r="C345" t="s">
        <v>40</v>
      </c>
      <c r="D345">
        <v>0</v>
      </c>
      <c r="E345">
        <v>0</v>
      </c>
      <c r="F345">
        <v>0</v>
      </c>
      <c r="G345">
        <v>0.99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0.01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21</v>
      </c>
      <c r="C346" t="s">
        <v>21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0.02</v>
      </c>
      <c r="J346">
        <v>0</v>
      </c>
      <c r="K346">
        <v>0</v>
      </c>
      <c r="L346">
        <v>0.97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0.01</v>
      </c>
      <c r="Z346">
        <v>0</v>
      </c>
    </row>
    <row r="347" spans="1:26">
      <c r="A347">
        <v>346</v>
      </c>
      <c r="B347" t="s">
        <v>21</v>
      </c>
      <c r="C347" t="s">
        <v>21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21</v>
      </c>
      <c r="C348" t="s">
        <v>21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56</v>
      </c>
      <c r="C349" t="s">
        <v>56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1</v>
      </c>
      <c r="Z349">
        <v>0</v>
      </c>
    </row>
    <row r="350" spans="1:26">
      <c r="A350">
        <v>349</v>
      </c>
      <c r="B350" t="s">
        <v>40</v>
      </c>
      <c r="C350" t="s">
        <v>40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56</v>
      </c>
      <c r="C351" t="s">
        <v>56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0.04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0.96</v>
      </c>
      <c r="Z351">
        <v>0</v>
      </c>
    </row>
    <row r="352" spans="1:26">
      <c r="A352">
        <v>351</v>
      </c>
      <c r="B352" t="s">
        <v>40</v>
      </c>
      <c r="C352" t="s">
        <v>40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44</v>
      </c>
      <c r="C353" t="s">
        <v>44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49</v>
      </c>
      <c r="C354" t="s">
        <v>49</v>
      </c>
      <c r="D354">
        <v>0</v>
      </c>
      <c r="E354">
        <v>0</v>
      </c>
      <c r="F354">
        <v>0.01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0.91</v>
      </c>
      <c r="P354">
        <v>0.03</v>
      </c>
      <c r="Q354">
        <v>0</v>
      </c>
      <c r="R354">
        <v>0</v>
      </c>
      <c r="S354">
        <v>0</v>
      </c>
      <c r="T354">
        <v>0</v>
      </c>
      <c r="U354">
        <v>0.01</v>
      </c>
      <c r="V354">
        <v>0</v>
      </c>
      <c r="W354">
        <v>0</v>
      </c>
      <c r="X354">
        <v>0.04</v>
      </c>
      <c r="Y354">
        <v>0</v>
      </c>
      <c r="Z354">
        <v>0</v>
      </c>
    </row>
    <row r="355" spans="1:26">
      <c r="A355">
        <v>354</v>
      </c>
      <c r="B355" t="s">
        <v>44</v>
      </c>
      <c r="C355" t="s">
        <v>44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19030-2830-3D43-ADE6-4478A55A0CD2}">
  <dimension ref="A1:AZ355"/>
  <sheetViews>
    <sheetView workbookViewId="0">
      <selection activeCell="J10" sqref="J10"/>
    </sheetView>
  </sheetViews>
  <sheetFormatPr baseColWidth="10" defaultRowHeight="16"/>
  <sheetData>
    <row r="1" spans="1:52">
      <c r="A1" t="s">
        <v>394</v>
      </c>
      <c r="B1" t="s">
        <v>13</v>
      </c>
      <c r="C1" t="s">
        <v>408</v>
      </c>
      <c r="D1" t="s">
        <v>186</v>
      </c>
      <c r="E1" t="s">
        <v>28</v>
      </c>
      <c r="F1" t="s">
        <v>127</v>
      </c>
      <c r="G1" t="s">
        <v>41</v>
      </c>
      <c r="H1" t="s">
        <v>353</v>
      </c>
      <c r="I1" t="s">
        <v>202</v>
      </c>
      <c r="J1" t="s">
        <v>373</v>
      </c>
      <c r="K1" t="s">
        <v>35</v>
      </c>
      <c r="L1" t="s">
        <v>400</v>
      </c>
      <c r="M1" t="s">
        <v>86</v>
      </c>
      <c r="N1" t="s">
        <v>88</v>
      </c>
      <c r="O1" t="s">
        <v>45</v>
      </c>
      <c r="P1" t="s">
        <v>167</v>
      </c>
      <c r="Q1" t="s">
        <v>145</v>
      </c>
      <c r="R1" t="s">
        <v>141</v>
      </c>
      <c r="S1" t="s">
        <v>184</v>
      </c>
      <c r="T1" t="s">
        <v>80</v>
      </c>
      <c r="U1" t="s">
        <v>96</v>
      </c>
      <c r="V1" t="s">
        <v>31</v>
      </c>
      <c r="W1" t="s">
        <v>67</v>
      </c>
      <c r="X1" t="s">
        <v>94</v>
      </c>
      <c r="Y1" t="s">
        <v>110</v>
      </c>
      <c r="Z1" t="s">
        <v>22</v>
      </c>
      <c r="AA1" t="s">
        <v>37</v>
      </c>
      <c r="AB1" t="s">
        <v>57</v>
      </c>
      <c r="AC1" t="s">
        <v>139</v>
      </c>
      <c r="AD1" t="s">
        <v>156</v>
      </c>
      <c r="AE1" t="s">
        <v>401</v>
      </c>
      <c r="AF1" t="s">
        <v>402</v>
      </c>
      <c r="AG1" t="s">
        <v>223</v>
      </c>
      <c r="AH1" t="s">
        <v>181</v>
      </c>
      <c r="AI1" t="s">
        <v>101</v>
      </c>
      <c r="AJ1" t="s">
        <v>50</v>
      </c>
      <c r="AK1" t="s">
        <v>113</v>
      </c>
      <c r="AL1" t="s">
        <v>403</v>
      </c>
      <c r="AM1" t="s">
        <v>54</v>
      </c>
      <c r="AN1" t="s">
        <v>265</v>
      </c>
      <c r="AO1" t="s">
        <v>83</v>
      </c>
      <c r="AP1" t="s">
        <v>71</v>
      </c>
      <c r="AQ1" t="s">
        <v>359</v>
      </c>
      <c r="AR1" t="s">
        <v>189</v>
      </c>
      <c r="AS1" t="s">
        <v>207</v>
      </c>
      <c r="AT1" t="s">
        <v>163</v>
      </c>
      <c r="AU1" t="s">
        <v>132</v>
      </c>
      <c r="AV1" t="s">
        <v>152</v>
      </c>
      <c r="AW1" t="s">
        <v>404</v>
      </c>
      <c r="AX1" t="s">
        <v>61</v>
      </c>
      <c r="AY1" t="s">
        <v>169</v>
      </c>
      <c r="AZ1" t="s">
        <v>92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28</v>
      </c>
      <c r="C3" t="s">
        <v>28</v>
      </c>
      <c r="D3">
        <v>0</v>
      </c>
      <c r="E3">
        <v>0.999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1E-3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0.95799999999999996</v>
      </c>
      <c r="W4">
        <v>4.1000000000000002E-2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1E-3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35</v>
      </c>
      <c r="C5" t="s">
        <v>35</v>
      </c>
      <c r="D5">
        <v>0</v>
      </c>
      <c r="E5">
        <v>0</v>
      </c>
      <c r="F5">
        <v>0</v>
      </c>
      <c r="G5">
        <v>0</v>
      </c>
      <c r="H5">
        <v>0.33700000000000002</v>
      </c>
      <c r="I5">
        <v>0</v>
      </c>
      <c r="J5">
        <v>4.2000000000000003E-2</v>
      </c>
      <c r="K5">
        <v>0.61399999999999999</v>
      </c>
      <c r="L5">
        <v>2E-3</v>
      </c>
      <c r="M5">
        <v>0</v>
      </c>
      <c r="N5">
        <v>2E-3</v>
      </c>
      <c r="O5">
        <v>0</v>
      </c>
      <c r="P5">
        <v>0</v>
      </c>
      <c r="Q5">
        <v>0</v>
      </c>
      <c r="R5">
        <v>0</v>
      </c>
      <c r="S5">
        <v>0</v>
      </c>
      <c r="T5">
        <v>2E-3</v>
      </c>
      <c r="U5">
        <v>0</v>
      </c>
      <c r="V5">
        <v>0</v>
      </c>
      <c r="W5">
        <v>1E-3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37</v>
      </c>
      <c r="C6" t="s">
        <v>37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0.02</v>
      </c>
      <c r="Y6">
        <v>1.7000000000000001E-2</v>
      </c>
      <c r="Z6">
        <v>0.42699999999999999</v>
      </c>
      <c r="AA6">
        <v>0.53600000000000003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41</v>
      </c>
      <c r="C7" t="s">
        <v>41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45</v>
      </c>
      <c r="C8" t="s">
        <v>45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45</v>
      </c>
      <c r="C9" t="s">
        <v>45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50</v>
      </c>
      <c r="C10" t="s">
        <v>50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54</v>
      </c>
      <c r="C11" t="s">
        <v>54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0.17899999999999999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0.70199999999999996</v>
      </c>
      <c r="AN11">
        <v>3.7999999999999999E-2</v>
      </c>
      <c r="AO11">
        <v>8.1000000000000003E-2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57</v>
      </c>
      <c r="C12" t="s">
        <v>57</v>
      </c>
      <c r="D12">
        <v>0</v>
      </c>
      <c r="E12">
        <v>0</v>
      </c>
      <c r="F12">
        <v>0</v>
      </c>
      <c r="G12">
        <v>0</v>
      </c>
      <c r="H12">
        <v>2E-3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1E-3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0.61399999999999999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0.38300000000000001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61</v>
      </c>
      <c r="C13" t="s">
        <v>61</v>
      </c>
      <c r="D13">
        <v>0</v>
      </c>
      <c r="E13">
        <v>0</v>
      </c>
      <c r="F13">
        <v>0</v>
      </c>
      <c r="G13">
        <v>0</v>
      </c>
      <c r="H13">
        <v>0</v>
      </c>
      <c r="I13">
        <v>1E-3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2E-3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2E-3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1E-3</v>
      </c>
      <c r="AW13">
        <v>0</v>
      </c>
      <c r="AX13">
        <v>0.99399999999999999</v>
      </c>
      <c r="AY13">
        <v>0</v>
      </c>
      <c r="AZ13">
        <v>0</v>
      </c>
    </row>
    <row r="14" spans="1:52">
      <c r="A14">
        <v>13</v>
      </c>
      <c r="B14" t="s">
        <v>45</v>
      </c>
      <c r="C14" t="s">
        <v>45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31</v>
      </c>
      <c r="C15" t="s">
        <v>31</v>
      </c>
      <c r="D15">
        <v>0</v>
      </c>
      <c r="E15">
        <v>0</v>
      </c>
      <c r="F15">
        <v>0</v>
      </c>
      <c r="G15">
        <v>2E-3</v>
      </c>
      <c r="H15">
        <v>0</v>
      </c>
      <c r="I15">
        <v>2E-3</v>
      </c>
      <c r="J15">
        <v>0</v>
      </c>
      <c r="K15">
        <v>0</v>
      </c>
      <c r="L15">
        <v>1E-3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7.0000000000000001E-3</v>
      </c>
      <c r="V15">
        <v>0.84899999999999998</v>
      </c>
      <c r="W15">
        <v>0.13</v>
      </c>
      <c r="X15">
        <v>1E-3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3.0000000000000001E-3</v>
      </c>
      <c r="AF15">
        <v>0</v>
      </c>
      <c r="AG15">
        <v>0</v>
      </c>
      <c r="AH15">
        <v>5.0000000000000001E-3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41</v>
      </c>
      <c r="C16" t="s">
        <v>41</v>
      </c>
      <c r="D16">
        <v>0</v>
      </c>
      <c r="E16">
        <v>0</v>
      </c>
      <c r="F16">
        <v>0</v>
      </c>
      <c r="G16">
        <v>0.86599999999999999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0.13400000000000001</v>
      </c>
      <c r="AZ16">
        <v>0</v>
      </c>
    </row>
    <row r="17" spans="1:52">
      <c r="A17">
        <v>16</v>
      </c>
      <c r="B17" t="s">
        <v>50</v>
      </c>
      <c r="C17" t="s">
        <v>50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67</v>
      </c>
      <c r="C18" t="s">
        <v>67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6.0000000000000001E-3</v>
      </c>
      <c r="V18">
        <v>0</v>
      </c>
      <c r="W18">
        <v>0.98599999999999999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8.0000000000000002E-3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41</v>
      </c>
      <c r="C19" t="s">
        <v>41</v>
      </c>
      <c r="D19">
        <v>0</v>
      </c>
      <c r="E19">
        <v>0</v>
      </c>
      <c r="F19">
        <v>0</v>
      </c>
      <c r="G19">
        <v>0.98899999999999999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1.0999999999999999E-2</v>
      </c>
      <c r="AZ19">
        <v>0</v>
      </c>
    </row>
    <row r="20" spans="1:52">
      <c r="A20">
        <v>19</v>
      </c>
      <c r="B20" t="s">
        <v>71</v>
      </c>
      <c r="C20" t="s">
        <v>71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1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41</v>
      </c>
      <c r="C21" t="s">
        <v>41</v>
      </c>
      <c r="D21">
        <v>0</v>
      </c>
      <c r="E21">
        <v>0</v>
      </c>
      <c r="F21">
        <v>0</v>
      </c>
      <c r="G21">
        <v>0.92900000000000005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7.0999999999999994E-2</v>
      </c>
      <c r="AZ21">
        <v>0</v>
      </c>
    </row>
    <row r="22" spans="1:52">
      <c r="A22">
        <v>21</v>
      </c>
      <c r="B22" t="s">
        <v>22</v>
      </c>
      <c r="C22" t="s">
        <v>22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6.9000000000000006E-2</v>
      </c>
      <c r="Y22">
        <v>4.0000000000000001E-3</v>
      </c>
      <c r="Z22">
        <v>0.92700000000000005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67</v>
      </c>
      <c r="C23" t="s">
        <v>67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41</v>
      </c>
      <c r="C24" t="s">
        <v>41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45</v>
      </c>
      <c r="C25" t="s">
        <v>45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41</v>
      </c>
      <c r="C26" t="s">
        <v>41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45</v>
      </c>
      <c r="C27" t="s">
        <v>45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80</v>
      </c>
      <c r="C28" t="s">
        <v>80</v>
      </c>
      <c r="D28">
        <v>0</v>
      </c>
      <c r="E28">
        <v>0</v>
      </c>
      <c r="F28">
        <v>0</v>
      </c>
      <c r="G28">
        <v>0</v>
      </c>
      <c r="H28">
        <v>4.2000000000000003E-2</v>
      </c>
      <c r="I28">
        <v>0</v>
      </c>
      <c r="J28">
        <v>2E-3</v>
      </c>
      <c r="K28">
        <v>2.7E-2</v>
      </c>
      <c r="L28">
        <v>0</v>
      </c>
      <c r="M28">
        <v>0</v>
      </c>
      <c r="N28">
        <v>3.0000000000000001E-3</v>
      </c>
      <c r="O28">
        <v>0</v>
      </c>
      <c r="P28">
        <v>0</v>
      </c>
      <c r="Q28">
        <v>0</v>
      </c>
      <c r="R28">
        <v>0</v>
      </c>
      <c r="S28">
        <v>0</v>
      </c>
      <c r="T28">
        <v>0.92600000000000005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41</v>
      </c>
      <c r="C29" t="s">
        <v>41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83</v>
      </c>
      <c r="C30" t="s">
        <v>83</v>
      </c>
      <c r="D30">
        <v>0</v>
      </c>
      <c r="E30">
        <v>1E-3</v>
      </c>
      <c r="F30">
        <v>0</v>
      </c>
      <c r="G30">
        <v>3.0000000000000001E-3</v>
      </c>
      <c r="H30">
        <v>6.0000000000000001E-3</v>
      </c>
      <c r="I30">
        <v>0</v>
      </c>
      <c r="J30">
        <v>0</v>
      </c>
      <c r="K30">
        <v>0</v>
      </c>
      <c r="L30">
        <v>2E-3</v>
      </c>
      <c r="M30">
        <v>0</v>
      </c>
      <c r="N30">
        <v>0</v>
      </c>
      <c r="O30">
        <v>0</v>
      </c>
      <c r="P30">
        <v>0</v>
      </c>
      <c r="Q30">
        <v>2.7E-2</v>
      </c>
      <c r="R30">
        <v>0</v>
      </c>
      <c r="S30">
        <v>0</v>
      </c>
      <c r="T30">
        <v>1E-3</v>
      </c>
      <c r="U30">
        <v>0</v>
      </c>
      <c r="V30">
        <v>0</v>
      </c>
      <c r="W30">
        <v>6.0000000000000001E-3</v>
      </c>
      <c r="X30">
        <v>0</v>
      </c>
      <c r="Y30">
        <v>0</v>
      </c>
      <c r="Z30">
        <v>0</v>
      </c>
      <c r="AA30">
        <v>0</v>
      </c>
      <c r="AB30">
        <v>5.0000000000000001E-3</v>
      </c>
      <c r="AC30">
        <v>1E-3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1E-3</v>
      </c>
      <c r="AK30">
        <v>1.2E-2</v>
      </c>
      <c r="AL30">
        <v>0</v>
      </c>
      <c r="AM30">
        <v>0</v>
      </c>
      <c r="AN30">
        <v>1.7999999999999999E-2</v>
      </c>
      <c r="AO30">
        <v>0.91100000000000003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6.0000000000000001E-3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86</v>
      </c>
      <c r="C31" t="s">
        <v>86</v>
      </c>
      <c r="D31">
        <v>0</v>
      </c>
      <c r="E31">
        <v>0</v>
      </c>
      <c r="F31">
        <v>0</v>
      </c>
      <c r="G31">
        <v>1E-3</v>
      </c>
      <c r="H31">
        <v>0</v>
      </c>
      <c r="I31">
        <v>0</v>
      </c>
      <c r="J31">
        <v>0</v>
      </c>
      <c r="K31">
        <v>0</v>
      </c>
      <c r="L31">
        <v>6.0000000000000001E-3</v>
      </c>
      <c r="M31">
        <v>0.91300000000000003</v>
      </c>
      <c r="N31">
        <v>0</v>
      </c>
      <c r="O31">
        <v>0</v>
      </c>
      <c r="P31">
        <v>0</v>
      </c>
      <c r="Q31">
        <v>4.0000000000000001E-3</v>
      </c>
      <c r="R31">
        <v>0</v>
      </c>
      <c r="S31">
        <v>0</v>
      </c>
      <c r="T31">
        <v>0</v>
      </c>
      <c r="U31">
        <v>1E-3</v>
      </c>
      <c r="V31">
        <v>0</v>
      </c>
      <c r="W31">
        <v>0</v>
      </c>
      <c r="X31">
        <v>6.0000000000000001E-3</v>
      </c>
      <c r="Y31">
        <v>2E-3</v>
      </c>
      <c r="Z31">
        <v>8.0000000000000002E-3</v>
      </c>
      <c r="AA31">
        <v>1E-3</v>
      </c>
      <c r="AB31">
        <v>3.0000000000000001E-3</v>
      </c>
      <c r="AC31">
        <v>0</v>
      </c>
      <c r="AD31">
        <v>1E-3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3.0000000000000001E-3</v>
      </c>
      <c r="AK31">
        <v>0</v>
      </c>
      <c r="AL31">
        <v>3.7999999999999999E-2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1.0999999999999999E-2</v>
      </c>
      <c r="AU31">
        <v>0</v>
      </c>
      <c r="AV31">
        <v>1E-3</v>
      </c>
      <c r="AW31">
        <v>1E-3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88</v>
      </c>
      <c r="C32" t="s">
        <v>88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0.95899999999999996</v>
      </c>
      <c r="O32">
        <v>0</v>
      </c>
      <c r="P32">
        <v>0</v>
      </c>
      <c r="Q32">
        <v>0</v>
      </c>
      <c r="R32">
        <v>0</v>
      </c>
      <c r="S32">
        <v>0</v>
      </c>
      <c r="T32">
        <v>4.1000000000000002E-2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37</v>
      </c>
      <c r="C33" t="s">
        <v>37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1E-3</v>
      </c>
      <c r="Z33">
        <v>7.0000000000000001E-3</v>
      </c>
      <c r="AA33">
        <v>0.99199999999999999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92</v>
      </c>
      <c r="C34" t="s">
        <v>92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0.01</v>
      </c>
      <c r="AG34">
        <v>0.17499999999999999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0.81499999999999995</v>
      </c>
    </row>
    <row r="35" spans="1:52">
      <c r="A35">
        <v>34</v>
      </c>
      <c r="B35" t="s">
        <v>94</v>
      </c>
      <c r="C35" t="s">
        <v>94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0.85499999999999998</v>
      </c>
      <c r="Y35">
        <v>0</v>
      </c>
      <c r="Z35">
        <v>0.14499999999999999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96</v>
      </c>
      <c r="C36" t="s">
        <v>96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0.97699999999999998</v>
      </c>
      <c r="V36">
        <v>0</v>
      </c>
      <c r="W36">
        <v>2.3E-2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96</v>
      </c>
      <c r="C37" t="s">
        <v>96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0.99399999999999999</v>
      </c>
      <c r="V37">
        <v>0</v>
      </c>
      <c r="W37">
        <v>6.0000000000000001E-3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101</v>
      </c>
      <c r="C38" t="s">
        <v>101</v>
      </c>
      <c r="D38">
        <v>0</v>
      </c>
      <c r="E38">
        <v>0</v>
      </c>
      <c r="F38">
        <v>0</v>
      </c>
      <c r="G38">
        <v>0</v>
      </c>
      <c r="H38">
        <v>0</v>
      </c>
      <c r="I38">
        <v>7.0000000000000001E-3</v>
      </c>
      <c r="J38">
        <v>0</v>
      </c>
      <c r="K38">
        <v>2E-3</v>
      </c>
      <c r="L38">
        <v>2E-3</v>
      </c>
      <c r="M38">
        <v>0</v>
      </c>
      <c r="N38">
        <v>0</v>
      </c>
      <c r="O38">
        <v>0</v>
      </c>
      <c r="P38">
        <v>0</v>
      </c>
      <c r="Q38">
        <v>7.0000000000000001E-3</v>
      </c>
      <c r="R38">
        <v>0</v>
      </c>
      <c r="S38">
        <v>0</v>
      </c>
      <c r="T38">
        <v>0</v>
      </c>
      <c r="U38">
        <v>0</v>
      </c>
      <c r="V38">
        <v>0</v>
      </c>
      <c r="W38">
        <v>8.0000000000000002E-3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5.0000000000000001E-3</v>
      </c>
      <c r="AF38">
        <v>3.0000000000000001E-3</v>
      </c>
      <c r="AG38">
        <v>0</v>
      </c>
      <c r="AH38">
        <v>0</v>
      </c>
      <c r="AI38">
        <v>0.96299999999999997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3.0000000000000001E-3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41</v>
      </c>
      <c r="C39" t="s">
        <v>41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45</v>
      </c>
      <c r="C40" t="s">
        <v>45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41</v>
      </c>
      <c r="C41" t="s">
        <v>41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41</v>
      </c>
      <c r="C42" t="s">
        <v>41</v>
      </c>
      <c r="D42">
        <v>0</v>
      </c>
      <c r="E42">
        <v>0</v>
      </c>
      <c r="F42">
        <v>0</v>
      </c>
      <c r="G42">
        <v>0.98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0.02</v>
      </c>
      <c r="AZ42">
        <v>0</v>
      </c>
    </row>
    <row r="43" spans="1:52">
      <c r="A43">
        <v>42</v>
      </c>
      <c r="B43" t="s">
        <v>96</v>
      </c>
      <c r="C43" t="s">
        <v>96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0.98299999999999998</v>
      </c>
      <c r="V43">
        <v>0</v>
      </c>
      <c r="W43">
        <v>1.7000000000000001E-2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96</v>
      </c>
      <c r="C44" t="s">
        <v>96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0.80500000000000005</v>
      </c>
      <c r="V44">
        <v>0</v>
      </c>
      <c r="W44">
        <v>0.161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3.4000000000000002E-2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57</v>
      </c>
      <c r="C45" t="s">
        <v>57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0.99099999999999999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8.9999999999999993E-3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110</v>
      </c>
      <c r="C46" t="s">
        <v>110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0.77300000000000002</v>
      </c>
      <c r="Z46">
        <v>0.20200000000000001</v>
      </c>
      <c r="AA46">
        <v>2.5000000000000001E-2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41</v>
      </c>
      <c r="C47" t="s">
        <v>41</v>
      </c>
      <c r="D47">
        <v>0</v>
      </c>
      <c r="E47">
        <v>0</v>
      </c>
      <c r="F47">
        <v>0</v>
      </c>
      <c r="G47">
        <v>0.98599999999999999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1.4E-2</v>
      </c>
      <c r="AZ47">
        <v>0</v>
      </c>
    </row>
    <row r="48" spans="1:52">
      <c r="A48">
        <v>47</v>
      </c>
      <c r="B48" t="s">
        <v>113</v>
      </c>
      <c r="C48" t="s">
        <v>113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0.154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0.84599999999999997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41</v>
      </c>
      <c r="C49" t="s">
        <v>41</v>
      </c>
      <c r="D49">
        <v>0</v>
      </c>
      <c r="E49">
        <v>0</v>
      </c>
      <c r="F49">
        <v>0</v>
      </c>
      <c r="G49">
        <v>0.998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1E-3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1E-3</v>
      </c>
      <c r="AY49">
        <v>0</v>
      </c>
      <c r="AZ49">
        <v>0</v>
      </c>
    </row>
    <row r="50" spans="1:52">
      <c r="A50">
        <v>49</v>
      </c>
      <c r="B50" t="s">
        <v>41</v>
      </c>
      <c r="C50" t="s">
        <v>41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41</v>
      </c>
      <c r="C51" t="s">
        <v>41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67</v>
      </c>
      <c r="C52" t="s">
        <v>67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2.7E-2</v>
      </c>
      <c r="W52">
        <v>0.97299999999999998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45</v>
      </c>
      <c r="C53" t="s">
        <v>45</v>
      </c>
      <c r="D53">
        <v>1E-3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0.93600000000000005</v>
      </c>
      <c r="P53">
        <v>6.3E-2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110</v>
      </c>
      <c r="C54" t="s">
        <v>110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0.84799999999999998</v>
      </c>
      <c r="Z54">
        <v>0.152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41</v>
      </c>
      <c r="C55" t="s">
        <v>41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113</v>
      </c>
      <c r="C56" t="s">
        <v>113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0.25800000000000001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0.74199999999999999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45</v>
      </c>
      <c r="C57" t="s">
        <v>45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127</v>
      </c>
      <c r="C58" t="s">
        <v>127</v>
      </c>
      <c r="D58">
        <v>0</v>
      </c>
      <c r="E58">
        <v>0</v>
      </c>
      <c r="F58">
        <v>0.88200000000000001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1E-3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0.11700000000000001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41</v>
      </c>
      <c r="C59" t="s">
        <v>41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41</v>
      </c>
      <c r="C60" t="s">
        <v>41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132</v>
      </c>
      <c r="C61" t="s">
        <v>132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0.1</v>
      </c>
      <c r="AT61">
        <v>0</v>
      </c>
      <c r="AU61">
        <v>0.9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50</v>
      </c>
      <c r="C62" t="s">
        <v>50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1E-3</v>
      </c>
      <c r="AF62">
        <v>0</v>
      </c>
      <c r="AG62">
        <v>0</v>
      </c>
      <c r="AH62">
        <v>0</v>
      </c>
      <c r="AI62">
        <v>0</v>
      </c>
      <c r="AJ62">
        <v>0.999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41</v>
      </c>
      <c r="C63" t="s">
        <v>41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37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8.9999999999999993E-3</v>
      </c>
      <c r="Y64">
        <v>0.108</v>
      </c>
      <c r="Z64">
        <v>0.114</v>
      </c>
      <c r="AA64">
        <v>0.76900000000000002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54</v>
      </c>
      <c r="C65" t="s">
        <v>54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0.69</v>
      </c>
      <c r="AN65">
        <v>0</v>
      </c>
      <c r="AO65">
        <v>0.31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28</v>
      </c>
      <c r="C66" t="s">
        <v>28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45</v>
      </c>
      <c r="C67" t="s">
        <v>45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139</v>
      </c>
      <c r="C68" t="s">
        <v>139</v>
      </c>
      <c r="D68">
        <v>0</v>
      </c>
      <c r="E68">
        <v>0</v>
      </c>
      <c r="F68">
        <v>0</v>
      </c>
      <c r="G68">
        <v>1E-3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0.376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0.623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141</v>
      </c>
      <c r="C69" t="s">
        <v>141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0.72599999999999998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6.0999999999999999E-2</v>
      </c>
      <c r="AN69">
        <v>1.4E-2</v>
      </c>
      <c r="AO69">
        <v>0.19900000000000001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54</v>
      </c>
      <c r="C70" t="s">
        <v>54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0.60199999999999998</v>
      </c>
      <c r="AN70">
        <v>2.1999999999999999E-2</v>
      </c>
      <c r="AO70">
        <v>0.376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88</v>
      </c>
      <c r="C71" t="s">
        <v>88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0.99399999999999999</v>
      </c>
      <c r="O71">
        <v>0</v>
      </c>
      <c r="P71">
        <v>0</v>
      </c>
      <c r="Q71">
        <v>0</v>
      </c>
      <c r="R71">
        <v>0</v>
      </c>
      <c r="S71">
        <v>0</v>
      </c>
      <c r="T71">
        <v>6.0000000000000001E-3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67</v>
      </c>
      <c r="C72" t="s">
        <v>67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96</v>
      </c>
      <c r="C73" t="s">
        <v>96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0.96499999999999997</v>
      </c>
      <c r="V73">
        <v>0</v>
      </c>
      <c r="W73">
        <v>3.5000000000000003E-2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145</v>
      </c>
      <c r="C74" t="s">
        <v>145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1E-3</v>
      </c>
      <c r="L74">
        <v>0</v>
      </c>
      <c r="M74">
        <v>0</v>
      </c>
      <c r="N74">
        <v>0</v>
      </c>
      <c r="O74">
        <v>0</v>
      </c>
      <c r="P74">
        <v>0</v>
      </c>
      <c r="Q74">
        <v>0.98199999999999998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1.7000000000000001E-2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41</v>
      </c>
      <c r="C75" t="s">
        <v>41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45</v>
      </c>
      <c r="C76" t="s">
        <v>45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37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1E-3</v>
      </c>
      <c r="Z77">
        <v>0</v>
      </c>
      <c r="AA77">
        <v>0.999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80</v>
      </c>
      <c r="C78" t="s">
        <v>80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152</v>
      </c>
      <c r="C79" t="s">
        <v>152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145</v>
      </c>
      <c r="C80" t="s">
        <v>145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45</v>
      </c>
      <c r="C81" t="s">
        <v>45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35</v>
      </c>
      <c r="C82" t="s">
        <v>35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0.98799999999999999</v>
      </c>
      <c r="L82">
        <v>0</v>
      </c>
      <c r="M82">
        <v>0</v>
      </c>
      <c r="N82">
        <v>1E-3</v>
      </c>
      <c r="O82">
        <v>0</v>
      </c>
      <c r="P82">
        <v>0</v>
      </c>
      <c r="Q82">
        <v>0</v>
      </c>
      <c r="R82">
        <v>0</v>
      </c>
      <c r="S82">
        <v>0</v>
      </c>
      <c r="T82">
        <v>1.0999999999999999E-2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156</v>
      </c>
      <c r="C83" t="s">
        <v>156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88</v>
      </c>
      <c r="C84" t="s">
        <v>88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5.0000000000000001E-3</v>
      </c>
      <c r="K84">
        <v>0</v>
      </c>
      <c r="L84">
        <v>0</v>
      </c>
      <c r="M84">
        <v>0</v>
      </c>
      <c r="N84">
        <v>0.99099999999999999</v>
      </c>
      <c r="O84">
        <v>0</v>
      </c>
      <c r="P84">
        <v>0</v>
      </c>
      <c r="Q84">
        <v>0</v>
      </c>
      <c r="R84">
        <v>0</v>
      </c>
      <c r="S84">
        <v>0</v>
      </c>
      <c r="T84">
        <v>4.0000000000000001E-3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37</v>
      </c>
      <c r="C85" t="s">
        <v>37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2.1000000000000001E-2</v>
      </c>
      <c r="Z85">
        <v>0</v>
      </c>
      <c r="AA85">
        <v>0.97899999999999998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37</v>
      </c>
      <c r="C86" t="s">
        <v>37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41</v>
      </c>
      <c r="C87" t="s">
        <v>41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22</v>
      </c>
      <c r="C88" t="s">
        <v>22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7.0000000000000001E-3</v>
      </c>
      <c r="Y88">
        <v>0.20499999999999999</v>
      </c>
      <c r="Z88">
        <v>0.78800000000000003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163</v>
      </c>
      <c r="C89" t="s">
        <v>163</v>
      </c>
      <c r="D89">
        <v>0</v>
      </c>
      <c r="E89">
        <v>0</v>
      </c>
      <c r="F89">
        <v>0</v>
      </c>
      <c r="G89">
        <v>0</v>
      </c>
      <c r="H89">
        <v>1E-3</v>
      </c>
      <c r="I89">
        <v>0</v>
      </c>
      <c r="J89">
        <v>0</v>
      </c>
      <c r="K89">
        <v>0</v>
      </c>
      <c r="L89">
        <v>2E-3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1E-3</v>
      </c>
      <c r="V89">
        <v>0</v>
      </c>
      <c r="W89">
        <v>0</v>
      </c>
      <c r="X89">
        <v>0</v>
      </c>
      <c r="Y89">
        <v>1E-3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0.99399999999999999</v>
      </c>
      <c r="AU89">
        <v>0</v>
      </c>
      <c r="AV89">
        <v>0</v>
      </c>
      <c r="AW89">
        <v>1E-3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67</v>
      </c>
      <c r="C90" t="s">
        <v>67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2E-3</v>
      </c>
      <c r="W90">
        <v>0.82199999999999995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0.17599999999999999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45</v>
      </c>
      <c r="C91" t="s">
        <v>45</v>
      </c>
      <c r="D91">
        <v>1E-3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0.99</v>
      </c>
      <c r="P91">
        <v>8.9999999999999993E-3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41</v>
      </c>
      <c r="C92" t="s">
        <v>41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167</v>
      </c>
      <c r="C93" t="s">
        <v>167</v>
      </c>
      <c r="D93">
        <v>9.5000000000000001E-2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0.33700000000000002</v>
      </c>
      <c r="P93">
        <v>0.56799999999999995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169</v>
      </c>
      <c r="C94" t="s">
        <v>169</v>
      </c>
      <c r="D94">
        <v>0</v>
      </c>
      <c r="E94">
        <v>0</v>
      </c>
      <c r="F94">
        <v>0</v>
      </c>
      <c r="G94">
        <v>0.24199999999999999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0.75800000000000001</v>
      </c>
      <c r="AZ94">
        <v>0</v>
      </c>
    </row>
    <row r="95" spans="1:52">
      <c r="A95">
        <v>94</v>
      </c>
      <c r="B95" t="s">
        <v>41</v>
      </c>
      <c r="C95" t="s">
        <v>41</v>
      </c>
      <c r="D95">
        <v>0</v>
      </c>
      <c r="E95">
        <v>0</v>
      </c>
      <c r="F95">
        <v>0</v>
      </c>
      <c r="G95">
        <v>0.99299999999999999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7.0000000000000001E-3</v>
      </c>
      <c r="AZ95">
        <v>0</v>
      </c>
    </row>
    <row r="96" spans="1:52">
      <c r="A96">
        <v>95</v>
      </c>
      <c r="B96" t="s">
        <v>45</v>
      </c>
      <c r="C96" t="s">
        <v>45</v>
      </c>
      <c r="D96">
        <v>4.0000000000000001E-3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0.94299999999999995</v>
      </c>
      <c r="P96">
        <v>5.2999999999999999E-2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110</v>
      </c>
      <c r="C97" t="s">
        <v>110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0.68200000000000005</v>
      </c>
      <c r="Z97">
        <v>0.312</v>
      </c>
      <c r="AA97">
        <v>6.0000000000000001E-3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41</v>
      </c>
      <c r="C98" t="s">
        <v>41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83</v>
      </c>
      <c r="C99" t="s">
        <v>83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0.13600000000000001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0.122</v>
      </c>
      <c r="AN99">
        <v>0.153</v>
      </c>
      <c r="AO99">
        <v>0.58899999999999997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22</v>
      </c>
      <c r="C100" t="s">
        <v>22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7.9000000000000001E-2</v>
      </c>
      <c r="Y100">
        <v>1.7000000000000001E-2</v>
      </c>
      <c r="Z100">
        <v>0.90400000000000003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35</v>
      </c>
      <c r="C101" t="s">
        <v>35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4.0000000000000001E-3</v>
      </c>
      <c r="K101">
        <v>0.875</v>
      </c>
      <c r="L101">
        <v>0</v>
      </c>
      <c r="M101">
        <v>0</v>
      </c>
      <c r="N101">
        <v>5.0000000000000001E-3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0.11600000000000001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41</v>
      </c>
      <c r="C102" t="s">
        <v>41</v>
      </c>
      <c r="D102">
        <v>0</v>
      </c>
      <c r="E102">
        <v>0</v>
      </c>
      <c r="F102">
        <v>0</v>
      </c>
      <c r="G102">
        <v>0.98299999999999998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1.7000000000000001E-2</v>
      </c>
      <c r="AZ102">
        <v>0</v>
      </c>
    </row>
    <row r="103" spans="1:52">
      <c r="A103">
        <v>102</v>
      </c>
      <c r="B103" t="s">
        <v>110</v>
      </c>
      <c r="C103" t="s">
        <v>110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0.89900000000000002</v>
      </c>
      <c r="Z103">
        <v>2E-3</v>
      </c>
      <c r="AA103">
        <v>9.9000000000000005E-2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92</v>
      </c>
      <c r="C104" t="s">
        <v>92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8.5999999999999993E-2</v>
      </c>
      <c r="AG104">
        <v>0.35099999999999998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0.56299999999999994</v>
      </c>
    </row>
    <row r="105" spans="1:52">
      <c r="A105">
        <v>104</v>
      </c>
      <c r="B105" t="s">
        <v>67</v>
      </c>
      <c r="C105" t="s">
        <v>67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45</v>
      </c>
      <c r="C106" t="s">
        <v>45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181</v>
      </c>
      <c r="C107" t="s">
        <v>181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2.3E-2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0.97699999999999998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22</v>
      </c>
      <c r="C108" t="s">
        <v>22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0.04</v>
      </c>
      <c r="Z108">
        <v>0.96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86</v>
      </c>
      <c r="C109" t="s">
        <v>86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0.97599999999999998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1E-3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2.3E-2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184</v>
      </c>
      <c r="C110" t="s">
        <v>184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186</v>
      </c>
      <c r="C111" t="s">
        <v>186</v>
      </c>
      <c r="D111">
        <v>0.74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0.21</v>
      </c>
      <c r="P111">
        <v>0.05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189</v>
      </c>
      <c r="C112" t="s">
        <v>189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1E-3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2E-3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0.315</v>
      </c>
      <c r="AR112">
        <v>0.68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2E-3</v>
      </c>
      <c r="AY112">
        <v>0</v>
      </c>
      <c r="AZ112">
        <v>0</v>
      </c>
    </row>
    <row r="113" spans="1:52">
      <c r="A113">
        <v>112</v>
      </c>
      <c r="B113" t="s">
        <v>67</v>
      </c>
      <c r="C113" t="s">
        <v>67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3.0000000000000001E-3</v>
      </c>
      <c r="W113">
        <v>0.95299999999999996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4.3999999999999997E-2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41</v>
      </c>
      <c r="C114" t="s">
        <v>41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37</v>
      </c>
      <c r="C115" t="s">
        <v>37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8.7999999999999995E-2</v>
      </c>
      <c r="Z115">
        <v>6.4000000000000001E-2</v>
      </c>
      <c r="AA115">
        <v>0.84799999999999998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22</v>
      </c>
      <c r="C116" t="s">
        <v>22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2E-3</v>
      </c>
      <c r="Y116">
        <v>0</v>
      </c>
      <c r="Z116">
        <v>0.998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45</v>
      </c>
      <c r="C117" t="s">
        <v>45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80</v>
      </c>
      <c r="C118" t="s">
        <v>80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2E-3</v>
      </c>
      <c r="L118">
        <v>0</v>
      </c>
      <c r="M118">
        <v>0</v>
      </c>
      <c r="N118">
        <v>5.0000000000000001E-3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0.99299999999999999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113</v>
      </c>
      <c r="C119" t="s">
        <v>113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1E-3</v>
      </c>
      <c r="M119">
        <v>0</v>
      </c>
      <c r="N119">
        <v>0</v>
      </c>
      <c r="O119">
        <v>0</v>
      </c>
      <c r="P119">
        <v>0</v>
      </c>
      <c r="Q119">
        <v>1.4999999999999999E-2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1E-3</v>
      </c>
      <c r="X119">
        <v>0</v>
      </c>
      <c r="Y119">
        <v>0</v>
      </c>
      <c r="Z119">
        <v>0</v>
      </c>
      <c r="AA119">
        <v>0</v>
      </c>
      <c r="AB119">
        <v>0.246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0.73699999999999999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152</v>
      </c>
      <c r="C120" t="s">
        <v>152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1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50</v>
      </c>
      <c r="C121" t="s">
        <v>50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1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101</v>
      </c>
      <c r="C122" t="s">
        <v>101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1E-3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0.998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1E-3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202</v>
      </c>
      <c r="C123" t="s">
        <v>202</v>
      </c>
      <c r="D123">
        <v>0</v>
      </c>
      <c r="E123">
        <v>0</v>
      </c>
      <c r="F123">
        <v>0</v>
      </c>
      <c r="G123">
        <v>3.0000000000000001E-3</v>
      </c>
      <c r="H123">
        <v>0</v>
      </c>
      <c r="I123">
        <v>0.95799999999999996</v>
      </c>
      <c r="J123">
        <v>1E-3</v>
      </c>
      <c r="K123">
        <v>1E-3</v>
      </c>
      <c r="L123">
        <v>8.9999999999999993E-3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3.0000000000000001E-3</v>
      </c>
      <c r="W123">
        <v>2E-3</v>
      </c>
      <c r="X123">
        <v>6.0000000000000001E-3</v>
      </c>
      <c r="Y123">
        <v>0</v>
      </c>
      <c r="Z123">
        <v>0</v>
      </c>
      <c r="AA123">
        <v>0</v>
      </c>
      <c r="AB123">
        <v>8.0000000000000002E-3</v>
      </c>
      <c r="AC123">
        <v>0</v>
      </c>
      <c r="AD123">
        <v>0</v>
      </c>
      <c r="AE123">
        <v>2E-3</v>
      </c>
      <c r="AF123">
        <v>1E-3</v>
      </c>
      <c r="AG123">
        <v>0</v>
      </c>
      <c r="AH123">
        <v>0</v>
      </c>
      <c r="AI123">
        <v>2E-3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4.0000000000000001E-3</v>
      </c>
      <c r="AY123">
        <v>0</v>
      </c>
      <c r="AZ123">
        <v>0</v>
      </c>
    </row>
    <row r="124" spans="1:52">
      <c r="A124">
        <v>123</v>
      </c>
      <c r="B124" t="s">
        <v>202</v>
      </c>
      <c r="C124" t="s">
        <v>202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113</v>
      </c>
      <c r="C125" t="s">
        <v>113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0.32400000000000001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0.67600000000000005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45</v>
      </c>
      <c r="C126" t="s">
        <v>45</v>
      </c>
      <c r="D126">
        <v>1E-3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0.996</v>
      </c>
      <c r="P126">
        <v>3.0000000000000001E-3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207</v>
      </c>
      <c r="C127" t="s">
        <v>207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1E-3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0.91800000000000004</v>
      </c>
      <c r="AT127">
        <v>0</v>
      </c>
      <c r="AU127">
        <v>8.1000000000000003E-2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83</v>
      </c>
      <c r="C128" t="s">
        <v>83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0.16800000000000001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0.114</v>
      </c>
      <c r="AN128">
        <v>3.0000000000000001E-3</v>
      </c>
      <c r="AO128">
        <v>0.71499999999999997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110</v>
      </c>
      <c r="C129" t="s">
        <v>110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1.2999999999999999E-2</v>
      </c>
      <c r="Y129">
        <v>0.60499999999999998</v>
      </c>
      <c r="Z129">
        <v>0.35</v>
      </c>
      <c r="AA129">
        <v>3.2000000000000001E-2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41</v>
      </c>
      <c r="C130" t="s">
        <v>41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71</v>
      </c>
      <c r="C131" t="s">
        <v>71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41</v>
      </c>
      <c r="C132" t="s">
        <v>41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37</v>
      </c>
      <c r="C133" t="s">
        <v>37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6.0000000000000001E-3</v>
      </c>
      <c r="Z133">
        <v>3.0000000000000001E-3</v>
      </c>
      <c r="AA133">
        <v>0.99099999999999999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110</v>
      </c>
      <c r="C134" t="s">
        <v>110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0.995</v>
      </c>
      <c r="Z134">
        <v>5.0000000000000001E-3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152</v>
      </c>
      <c r="C135" t="s">
        <v>152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1E-3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0.999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96</v>
      </c>
      <c r="C136" t="s">
        <v>96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0.98399999999999999</v>
      </c>
      <c r="V136">
        <v>0</v>
      </c>
      <c r="W136">
        <v>1.6E-2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22</v>
      </c>
      <c r="C137" t="s">
        <v>22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1.9E-2</v>
      </c>
      <c r="Y137">
        <v>1.2999999999999999E-2</v>
      </c>
      <c r="Z137">
        <v>0.96799999999999997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101</v>
      </c>
      <c r="C138" t="s">
        <v>101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37</v>
      </c>
      <c r="C139" t="s">
        <v>37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4.2000000000000003E-2</v>
      </c>
      <c r="Z139">
        <v>0.06</v>
      </c>
      <c r="AA139">
        <v>0.89800000000000002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45</v>
      </c>
      <c r="C140" t="s">
        <v>45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45</v>
      </c>
      <c r="C141" t="s">
        <v>45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110</v>
      </c>
      <c r="C142" t="s">
        <v>110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1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223</v>
      </c>
      <c r="C143" t="s">
        <v>223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8.9999999999999993E-3</v>
      </c>
      <c r="AG143">
        <v>0.90500000000000003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8.5999999999999993E-2</v>
      </c>
    </row>
    <row r="144" spans="1:52">
      <c r="A144">
        <v>143</v>
      </c>
      <c r="B144" t="s">
        <v>50</v>
      </c>
      <c r="C144" t="s">
        <v>50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1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41</v>
      </c>
      <c r="C145" t="s">
        <v>41</v>
      </c>
      <c r="D145">
        <v>0</v>
      </c>
      <c r="E145">
        <v>0</v>
      </c>
      <c r="F145">
        <v>0</v>
      </c>
      <c r="G145">
        <v>0.97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0.03</v>
      </c>
      <c r="AZ145">
        <v>0</v>
      </c>
    </row>
    <row r="146" spans="1:52">
      <c r="A146">
        <v>145</v>
      </c>
      <c r="B146" t="s">
        <v>110</v>
      </c>
      <c r="C146" t="s">
        <v>110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0.871</v>
      </c>
      <c r="Z146">
        <v>5.0000000000000001E-3</v>
      </c>
      <c r="AA146">
        <v>0.124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41</v>
      </c>
      <c r="C147" t="s">
        <v>41</v>
      </c>
      <c r="D147">
        <v>0</v>
      </c>
      <c r="E147">
        <v>0</v>
      </c>
      <c r="F147">
        <v>0</v>
      </c>
      <c r="G147">
        <v>0.998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2E-3</v>
      </c>
      <c r="AZ147">
        <v>0</v>
      </c>
    </row>
    <row r="148" spans="1:52">
      <c r="A148">
        <v>147</v>
      </c>
      <c r="B148" t="s">
        <v>41</v>
      </c>
      <c r="C148" t="s">
        <v>41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163</v>
      </c>
      <c r="C149" t="s">
        <v>163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1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110</v>
      </c>
      <c r="C150" t="s">
        <v>110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0.98599999999999999</v>
      </c>
      <c r="Z150">
        <v>1.2E-2</v>
      </c>
      <c r="AA150">
        <v>2E-3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113</v>
      </c>
      <c r="C151" t="s">
        <v>113</v>
      </c>
      <c r="D151">
        <v>0</v>
      </c>
      <c r="E151">
        <v>0</v>
      </c>
      <c r="F151">
        <v>0</v>
      </c>
      <c r="G151">
        <v>0</v>
      </c>
      <c r="H151">
        <v>1E-3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0.187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0.81200000000000006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207</v>
      </c>
      <c r="C152" t="s">
        <v>207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0.81</v>
      </c>
      <c r="AT152">
        <v>0</v>
      </c>
      <c r="AU152">
        <v>0.19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41</v>
      </c>
      <c r="C153" t="s">
        <v>41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22</v>
      </c>
      <c r="C154" t="s">
        <v>22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3.1E-2</v>
      </c>
      <c r="Y154">
        <v>0.191</v>
      </c>
      <c r="Z154">
        <v>0.64300000000000002</v>
      </c>
      <c r="AA154">
        <v>0.13500000000000001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163</v>
      </c>
      <c r="C155" t="s">
        <v>163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1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41</v>
      </c>
      <c r="C156" t="s">
        <v>41</v>
      </c>
      <c r="D156">
        <v>0</v>
      </c>
      <c r="E156">
        <v>0</v>
      </c>
      <c r="F156">
        <v>0</v>
      </c>
      <c r="G156">
        <v>0.92300000000000004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7.6999999999999999E-2</v>
      </c>
      <c r="AZ156">
        <v>0</v>
      </c>
    </row>
    <row r="157" spans="1:52">
      <c r="A157">
        <v>156</v>
      </c>
      <c r="B157" t="s">
        <v>45</v>
      </c>
      <c r="C157" t="s">
        <v>45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96</v>
      </c>
      <c r="C158" t="s">
        <v>96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0.94499999999999995</v>
      </c>
      <c r="V158">
        <v>0</v>
      </c>
      <c r="W158">
        <v>5.5E-2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41</v>
      </c>
      <c r="C159" t="s">
        <v>41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45</v>
      </c>
      <c r="C160" t="s">
        <v>45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41</v>
      </c>
      <c r="C161" t="s">
        <v>41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41</v>
      </c>
      <c r="C162" t="s">
        <v>41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45</v>
      </c>
      <c r="C163" t="s">
        <v>45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71</v>
      </c>
      <c r="C164" t="s">
        <v>71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1E-3</v>
      </c>
      <c r="Y164">
        <v>0</v>
      </c>
      <c r="Z164">
        <v>0</v>
      </c>
      <c r="AA164">
        <v>0</v>
      </c>
      <c r="AB164">
        <v>4.0000000000000001E-3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0.995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41</v>
      </c>
      <c r="C165" t="s">
        <v>41</v>
      </c>
      <c r="D165">
        <v>0</v>
      </c>
      <c r="E165">
        <v>0</v>
      </c>
      <c r="F165">
        <v>0</v>
      </c>
      <c r="G165">
        <v>0.85099999999999998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0.14899999999999999</v>
      </c>
      <c r="AZ165">
        <v>0</v>
      </c>
    </row>
    <row r="166" spans="1:52">
      <c r="A166">
        <v>165</v>
      </c>
      <c r="B166" t="s">
        <v>41</v>
      </c>
      <c r="C166" t="s">
        <v>41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94</v>
      </c>
      <c r="C167" t="s">
        <v>94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1E-3</v>
      </c>
      <c r="J167">
        <v>0</v>
      </c>
      <c r="K167">
        <v>0</v>
      </c>
      <c r="L167">
        <v>1E-3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2E-3</v>
      </c>
      <c r="X167">
        <v>0.97699999999999998</v>
      </c>
      <c r="Y167">
        <v>1.0999999999999999E-2</v>
      </c>
      <c r="Z167">
        <v>4.0000000000000001E-3</v>
      </c>
      <c r="AA167">
        <v>0</v>
      </c>
      <c r="AB167">
        <v>0</v>
      </c>
      <c r="AC167">
        <v>0</v>
      </c>
      <c r="AD167">
        <v>1E-3</v>
      </c>
      <c r="AE167">
        <v>0</v>
      </c>
      <c r="AF167">
        <v>0</v>
      </c>
      <c r="AG167">
        <v>2E-3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1E-3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113</v>
      </c>
      <c r="C168" t="s">
        <v>113</v>
      </c>
      <c r="D168">
        <v>0</v>
      </c>
      <c r="E168">
        <v>1E-3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1.0999999999999999E-2</v>
      </c>
      <c r="R168">
        <v>0</v>
      </c>
      <c r="S168">
        <v>0</v>
      </c>
      <c r="T168">
        <v>0</v>
      </c>
      <c r="U168">
        <v>0</v>
      </c>
      <c r="V168">
        <v>1E-3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0.40400000000000003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0.58299999999999996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41</v>
      </c>
      <c r="C169" t="s">
        <v>41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45</v>
      </c>
      <c r="C170" t="s">
        <v>45</v>
      </c>
      <c r="D170">
        <v>0.115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0.88500000000000001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45</v>
      </c>
      <c r="C171" t="s">
        <v>45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41</v>
      </c>
      <c r="C172" t="s">
        <v>41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113</v>
      </c>
      <c r="C173" t="s">
        <v>113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0.108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0.89200000000000002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223</v>
      </c>
      <c r="C174" t="s">
        <v>223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1.7999999999999999E-2</v>
      </c>
      <c r="AG174">
        <v>0.95499999999999996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2.7E-2</v>
      </c>
    </row>
    <row r="175" spans="1:52">
      <c r="A175">
        <v>174</v>
      </c>
      <c r="B175" t="s">
        <v>54</v>
      </c>
      <c r="C175" t="s">
        <v>54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9.1999999999999998E-2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0.61599999999999999</v>
      </c>
      <c r="AN175">
        <v>0.01</v>
      </c>
      <c r="AO175">
        <v>0.28199999999999997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28</v>
      </c>
      <c r="C176" t="s">
        <v>28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163</v>
      </c>
      <c r="C177" t="s">
        <v>163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1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113</v>
      </c>
      <c r="C178" t="s">
        <v>113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0.316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0.68400000000000005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37</v>
      </c>
      <c r="C179" t="s">
        <v>37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110</v>
      </c>
      <c r="C180" t="s">
        <v>110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7.0000000000000007E-2</v>
      </c>
      <c r="Y180">
        <v>0.71199999999999997</v>
      </c>
      <c r="Z180">
        <v>0.216</v>
      </c>
      <c r="AA180">
        <v>2E-3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67</v>
      </c>
      <c r="C181" t="s">
        <v>67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8.2000000000000003E-2</v>
      </c>
      <c r="V181">
        <v>8.9999999999999993E-3</v>
      </c>
      <c r="W181">
        <v>0.90900000000000003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110</v>
      </c>
      <c r="C182" t="s">
        <v>110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0.88500000000000001</v>
      </c>
      <c r="Z182">
        <v>9.9000000000000005E-2</v>
      </c>
      <c r="AA182">
        <v>1.6E-2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110</v>
      </c>
      <c r="C183" t="s">
        <v>110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1E-3</v>
      </c>
      <c r="X183">
        <v>1E-3</v>
      </c>
      <c r="Y183">
        <v>0.96</v>
      </c>
      <c r="Z183">
        <v>3.7999999999999999E-2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22</v>
      </c>
      <c r="C184" t="s">
        <v>22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2E-3</v>
      </c>
      <c r="Y184">
        <v>2.9000000000000001E-2</v>
      </c>
      <c r="Z184">
        <v>0.96899999999999997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110</v>
      </c>
      <c r="C185" t="s">
        <v>110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0.98399999999999999</v>
      </c>
      <c r="Z185">
        <v>1.6E-2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41</v>
      </c>
      <c r="C186" t="s">
        <v>41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110</v>
      </c>
      <c r="C187" t="s">
        <v>110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0.85499999999999998</v>
      </c>
      <c r="Z187">
        <v>0.09</v>
      </c>
      <c r="AA187">
        <v>5.5E-2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28</v>
      </c>
      <c r="C188" t="s">
        <v>28</v>
      </c>
      <c r="D188">
        <v>0</v>
      </c>
      <c r="E188">
        <v>0.998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2E-3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110</v>
      </c>
      <c r="C189" t="s">
        <v>110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0.90400000000000003</v>
      </c>
      <c r="Z189">
        <v>5.8999999999999997E-2</v>
      </c>
      <c r="AA189">
        <v>3.6999999999999998E-2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113</v>
      </c>
      <c r="C190" t="s">
        <v>113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0.17199999999999999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0.82799999999999996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132</v>
      </c>
      <c r="C191" t="s">
        <v>132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1.0999999999999999E-2</v>
      </c>
      <c r="AT191">
        <v>0</v>
      </c>
      <c r="AU191">
        <v>0.98899999999999999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265</v>
      </c>
      <c r="C192" t="s">
        <v>265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1E-3</v>
      </c>
      <c r="L192">
        <v>2E-3</v>
      </c>
      <c r="M192">
        <v>1E-3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1E-3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0.93700000000000006</v>
      </c>
      <c r="AO192">
        <v>5.7000000000000002E-2</v>
      </c>
      <c r="AP192">
        <v>0</v>
      </c>
      <c r="AQ192">
        <v>0</v>
      </c>
      <c r="AR192">
        <v>0</v>
      </c>
      <c r="AS192">
        <v>0</v>
      </c>
      <c r="AT192">
        <v>1E-3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113</v>
      </c>
      <c r="C193" t="s">
        <v>113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0.35299999999999998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0.64700000000000002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110</v>
      </c>
      <c r="C194" t="s">
        <v>110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0.879</v>
      </c>
      <c r="Z194">
        <v>0.121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45</v>
      </c>
      <c r="C195" t="s">
        <v>45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127</v>
      </c>
      <c r="C196" t="s">
        <v>127</v>
      </c>
      <c r="D196">
        <v>0</v>
      </c>
      <c r="E196">
        <v>0</v>
      </c>
      <c r="F196">
        <v>0.92800000000000005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7.1999999999999995E-2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41</v>
      </c>
      <c r="C197" t="s">
        <v>41</v>
      </c>
      <c r="D197">
        <v>0</v>
      </c>
      <c r="E197">
        <v>0</v>
      </c>
      <c r="F197">
        <v>0</v>
      </c>
      <c r="G197">
        <v>0.96299999999999997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3.6999999999999998E-2</v>
      </c>
      <c r="AZ197">
        <v>0</v>
      </c>
    </row>
    <row r="198" spans="1:52">
      <c r="A198">
        <v>197</v>
      </c>
      <c r="B198" t="s">
        <v>223</v>
      </c>
      <c r="C198" t="s">
        <v>223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0.15</v>
      </c>
      <c r="AG198">
        <v>0.80600000000000005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4.3999999999999997E-2</v>
      </c>
    </row>
    <row r="199" spans="1:52">
      <c r="A199">
        <v>198</v>
      </c>
      <c r="B199" t="s">
        <v>113</v>
      </c>
      <c r="C199" t="s">
        <v>113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0.28799999999999998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0.71199999999999997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57</v>
      </c>
      <c r="C200" t="s">
        <v>57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3.0000000000000001E-3</v>
      </c>
      <c r="M200">
        <v>0</v>
      </c>
      <c r="N200">
        <v>0</v>
      </c>
      <c r="O200">
        <v>0</v>
      </c>
      <c r="P200">
        <v>0</v>
      </c>
      <c r="Q200">
        <v>4.0000000000000001E-3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1E-3</v>
      </c>
      <c r="AA200">
        <v>0</v>
      </c>
      <c r="AB200">
        <v>0.96399999999999997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2.5000000000000001E-2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3.0000000000000001E-3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37</v>
      </c>
      <c r="C201" t="s">
        <v>37</v>
      </c>
      <c r="D201">
        <v>0</v>
      </c>
      <c r="E201">
        <v>1E-3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1.4999999999999999E-2</v>
      </c>
      <c r="Z201">
        <v>0</v>
      </c>
      <c r="AA201">
        <v>0.98299999999999998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1E-3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41</v>
      </c>
      <c r="C202" t="s">
        <v>41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22</v>
      </c>
      <c r="C203" t="s">
        <v>22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8.0000000000000002E-3</v>
      </c>
      <c r="Y203">
        <v>0.13100000000000001</v>
      </c>
      <c r="Z203">
        <v>0.85699999999999998</v>
      </c>
      <c r="AA203">
        <v>4.0000000000000001E-3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41</v>
      </c>
      <c r="C204" t="s">
        <v>41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41</v>
      </c>
      <c r="C205" t="s">
        <v>41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41</v>
      </c>
      <c r="C206" t="s">
        <v>41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67</v>
      </c>
      <c r="C207" t="s">
        <v>67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0.14799999999999999</v>
      </c>
      <c r="V207">
        <v>1E-3</v>
      </c>
      <c r="W207">
        <v>0.85099999999999998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41</v>
      </c>
      <c r="C208" t="s">
        <v>41</v>
      </c>
      <c r="D208">
        <v>0</v>
      </c>
      <c r="E208">
        <v>0</v>
      </c>
      <c r="F208">
        <v>0</v>
      </c>
      <c r="G208">
        <v>0.98799999999999999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1.2E-2</v>
      </c>
      <c r="AZ208">
        <v>0</v>
      </c>
    </row>
    <row r="209" spans="1:52">
      <c r="A209">
        <v>208</v>
      </c>
      <c r="B209" t="s">
        <v>57</v>
      </c>
      <c r="C209" t="s">
        <v>57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0.76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0.24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41</v>
      </c>
      <c r="C210" t="s">
        <v>41</v>
      </c>
      <c r="D210">
        <v>0</v>
      </c>
      <c r="E210">
        <v>0</v>
      </c>
      <c r="F210">
        <v>0</v>
      </c>
      <c r="G210">
        <v>0.91800000000000004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8.2000000000000003E-2</v>
      </c>
      <c r="AZ210">
        <v>0</v>
      </c>
    </row>
    <row r="211" spans="1:52">
      <c r="A211">
        <v>210</v>
      </c>
      <c r="B211" t="s">
        <v>113</v>
      </c>
      <c r="C211" t="s">
        <v>113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0.254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0.746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156</v>
      </c>
      <c r="C212" t="s">
        <v>156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0.85899999999999999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0.14099999999999999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22</v>
      </c>
      <c r="C213" t="s">
        <v>22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1.2E-2</v>
      </c>
      <c r="Y213">
        <v>2E-3</v>
      </c>
      <c r="Z213">
        <v>0.94899999999999995</v>
      </c>
      <c r="AA213">
        <v>3.6999999999999998E-2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41</v>
      </c>
      <c r="C214" t="s">
        <v>41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22</v>
      </c>
      <c r="C215" t="s">
        <v>22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0.378</v>
      </c>
      <c r="Z215">
        <v>0.622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113</v>
      </c>
      <c r="C216" t="s">
        <v>113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0.38400000000000001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0.61599999999999999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45</v>
      </c>
      <c r="C217" t="s">
        <v>45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45</v>
      </c>
      <c r="C218" t="s">
        <v>45</v>
      </c>
      <c r="D218">
        <v>1.2999999999999999E-2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0.97299999999999998</v>
      </c>
      <c r="P218">
        <v>1.4E-2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113</v>
      </c>
      <c r="C219" t="s">
        <v>113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9.6000000000000002E-2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0.90400000000000003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110</v>
      </c>
      <c r="C220" t="s">
        <v>110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0.99199999999999999</v>
      </c>
      <c r="Z220">
        <v>8.0000000000000002E-3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110</v>
      </c>
      <c r="C221" t="s">
        <v>110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0.86599999999999999</v>
      </c>
      <c r="Z221">
        <v>2.3E-2</v>
      </c>
      <c r="AA221">
        <v>0.111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50</v>
      </c>
      <c r="C222" t="s">
        <v>50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1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184</v>
      </c>
      <c r="C223" t="s">
        <v>184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0.97899999999999998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1E-3</v>
      </c>
      <c r="Z223">
        <v>0</v>
      </c>
      <c r="AA223">
        <v>0</v>
      </c>
      <c r="AB223">
        <v>0</v>
      </c>
      <c r="AC223">
        <v>0.02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186</v>
      </c>
      <c r="C224" t="s">
        <v>186</v>
      </c>
      <c r="D224">
        <v>0.60099999999999998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0.34599999999999997</v>
      </c>
      <c r="P224">
        <v>5.2999999999999999E-2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41</v>
      </c>
      <c r="C225" t="s">
        <v>41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28</v>
      </c>
      <c r="C226" t="s">
        <v>28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41</v>
      </c>
      <c r="C227" t="s">
        <v>41</v>
      </c>
      <c r="D227">
        <v>0</v>
      </c>
      <c r="E227">
        <v>0</v>
      </c>
      <c r="F227">
        <v>0</v>
      </c>
      <c r="G227">
        <v>0.995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5.0000000000000001E-3</v>
      </c>
      <c r="AZ227">
        <v>0</v>
      </c>
    </row>
    <row r="228" spans="1:52">
      <c r="A228">
        <v>227</v>
      </c>
      <c r="B228" t="s">
        <v>41</v>
      </c>
      <c r="C228" t="s">
        <v>41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22</v>
      </c>
      <c r="C229" t="s">
        <v>22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5.0000000000000001E-3</v>
      </c>
      <c r="Y229">
        <v>8.9999999999999993E-3</v>
      </c>
      <c r="Z229">
        <v>0.98599999999999999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41</v>
      </c>
      <c r="C230" t="s">
        <v>41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28</v>
      </c>
      <c r="C231" t="s">
        <v>28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22</v>
      </c>
      <c r="C232" t="s">
        <v>22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2E-3</v>
      </c>
      <c r="Y232">
        <v>6.0000000000000001E-3</v>
      </c>
      <c r="Z232">
        <v>0.99199999999999999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22</v>
      </c>
      <c r="C233" t="s">
        <v>22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8.0000000000000002E-3</v>
      </c>
      <c r="Y233">
        <v>0.22800000000000001</v>
      </c>
      <c r="Z233">
        <v>0.75</v>
      </c>
      <c r="AA233">
        <v>1.4E-2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67</v>
      </c>
      <c r="C234" t="s">
        <v>67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1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265</v>
      </c>
      <c r="C235" t="s">
        <v>265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3.0000000000000001E-3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0.98599999999999999</v>
      </c>
      <c r="AO235">
        <v>0.01</v>
      </c>
      <c r="AP235">
        <v>0</v>
      </c>
      <c r="AQ235">
        <v>0</v>
      </c>
      <c r="AR235">
        <v>0</v>
      </c>
      <c r="AS235">
        <v>0</v>
      </c>
      <c r="AT235">
        <v>1E-3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57</v>
      </c>
      <c r="C236" t="s">
        <v>57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0.72899999999999998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0.27100000000000002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41</v>
      </c>
      <c r="C237" t="s">
        <v>41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181</v>
      </c>
      <c r="C238" t="s">
        <v>181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5.8999999999999997E-2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0.94099999999999995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22</v>
      </c>
      <c r="C239" t="s">
        <v>22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0.112</v>
      </c>
      <c r="Z239">
        <v>0.67500000000000004</v>
      </c>
      <c r="AA239">
        <v>0.21299999999999999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67</v>
      </c>
      <c r="C240" t="s">
        <v>67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1.4999999999999999E-2</v>
      </c>
      <c r="V240">
        <v>0.14199999999999999</v>
      </c>
      <c r="W240">
        <v>0.77300000000000002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7.0000000000000007E-2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41</v>
      </c>
      <c r="C241" t="s">
        <v>41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28</v>
      </c>
      <c r="C242" t="s">
        <v>28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57</v>
      </c>
      <c r="C243" t="s">
        <v>57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0.85299999999999998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0.14699999999999999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50</v>
      </c>
      <c r="C244" t="s">
        <v>50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1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110</v>
      </c>
      <c r="C245" t="s">
        <v>110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2E-3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2E-3</v>
      </c>
      <c r="Y245">
        <v>0.78200000000000003</v>
      </c>
      <c r="Z245">
        <v>0.214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22</v>
      </c>
      <c r="C246" t="s">
        <v>22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1.7000000000000001E-2</v>
      </c>
      <c r="Y246">
        <v>7.0000000000000001E-3</v>
      </c>
      <c r="Z246">
        <v>0.97399999999999998</v>
      </c>
      <c r="AA246">
        <v>2E-3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67</v>
      </c>
      <c r="C247" t="s">
        <v>67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0.10100000000000001</v>
      </c>
      <c r="V247">
        <v>0.13800000000000001</v>
      </c>
      <c r="W247">
        <v>0.746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1.4999999999999999E-2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22</v>
      </c>
      <c r="C248" t="s">
        <v>22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1.2999999999999999E-2</v>
      </c>
      <c r="Y248">
        <v>3.0000000000000001E-3</v>
      </c>
      <c r="Z248">
        <v>0.98399999999999999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54</v>
      </c>
      <c r="C249" t="s">
        <v>54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0.121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0.59699999999999998</v>
      </c>
      <c r="AN249">
        <v>0</v>
      </c>
      <c r="AO249">
        <v>0.28199999999999997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22</v>
      </c>
      <c r="C250" t="s">
        <v>22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1E-3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0.06</v>
      </c>
      <c r="Z250">
        <v>0.71499999999999997</v>
      </c>
      <c r="AA250">
        <v>0.224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41</v>
      </c>
      <c r="C251" t="s">
        <v>41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22</v>
      </c>
      <c r="C252" t="s">
        <v>22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3.5000000000000003E-2</v>
      </c>
      <c r="Y252">
        <v>3.5000000000000003E-2</v>
      </c>
      <c r="Z252">
        <v>0.91900000000000004</v>
      </c>
      <c r="AA252">
        <v>1.0999999999999999E-2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41</v>
      </c>
      <c r="C253" t="s">
        <v>41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57</v>
      </c>
      <c r="C254" t="s">
        <v>57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0.82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0.18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152</v>
      </c>
      <c r="C255" t="s">
        <v>152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1E-3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0.999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110</v>
      </c>
      <c r="C256" t="s">
        <v>110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0.88500000000000001</v>
      </c>
      <c r="Z256">
        <v>2.1000000000000001E-2</v>
      </c>
      <c r="AA256">
        <v>9.4E-2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45</v>
      </c>
      <c r="C257" t="s">
        <v>45</v>
      </c>
      <c r="D257">
        <v>1E-3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0.99299999999999999</v>
      </c>
      <c r="P257">
        <v>6.0000000000000001E-3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41</v>
      </c>
      <c r="C258" t="s">
        <v>41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94</v>
      </c>
      <c r="C259" t="s">
        <v>94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8.9999999999999993E-3</v>
      </c>
      <c r="J259">
        <v>0</v>
      </c>
      <c r="K259">
        <v>0</v>
      </c>
      <c r="L259">
        <v>1E-3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3.0000000000000001E-3</v>
      </c>
      <c r="X259">
        <v>0.96499999999999997</v>
      </c>
      <c r="Y259">
        <v>8.0000000000000002E-3</v>
      </c>
      <c r="Z259">
        <v>6.0000000000000001E-3</v>
      </c>
      <c r="AA259">
        <v>0</v>
      </c>
      <c r="AB259">
        <v>0</v>
      </c>
      <c r="AC259">
        <v>0</v>
      </c>
      <c r="AD259">
        <v>1E-3</v>
      </c>
      <c r="AE259">
        <v>0</v>
      </c>
      <c r="AF259">
        <v>3.0000000000000001E-3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1E-3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2E-3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1E-3</v>
      </c>
    </row>
    <row r="260" spans="1:52">
      <c r="A260">
        <v>259</v>
      </c>
      <c r="B260" t="s">
        <v>41</v>
      </c>
      <c r="C260" t="s">
        <v>41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152</v>
      </c>
      <c r="C261" t="s">
        <v>152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1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50</v>
      </c>
      <c r="C262" t="s">
        <v>50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1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223</v>
      </c>
      <c r="C263" t="s">
        <v>223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0.03</v>
      </c>
      <c r="AG263">
        <v>0.91100000000000003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5.8999999999999997E-2</v>
      </c>
    </row>
    <row r="264" spans="1:52">
      <c r="A264">
        <v>263</v>
      </c>
      <c r="B264" t="s">
        <v>45</v>
      </c>
      <c r="C264" t="s">
        <v>45</v>
      </c>
      <c r="D264">
        <v>2.1000000000000001E-2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0.95299999999999996</v>
      </c>
      <c r="P264">
        <v>2.5999999999999999E-2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67</v>
      </c>
      <c r="C265" t="s">
        <v>67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0.97299999999999998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2.7E-2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167</v>
      </c>
      <c r="C266" t="s">
        <v>167</v>
      </c>
      <c r="D266">
        <v>8.5000000000000006E-2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3.4000000000000002E-2</v>
      </c>
      <c r="P266">
        <v>0.88100000000000001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41</v>
      </c>
      <c r="C267" t="s">
        <v>41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86</v>
      </c>
      <c r="C268" t="s">
        <v>86</v>
      </c>
      <c r="D268">
        <v>0</v>
      </c>
      <c r="E268">
        <v>0</v>
      </c>
      <c r="F268">
        <v>0</v>
      </c>
      <c r="G268">
        <v>1E-3</v>
      </c>
      <c r="H268">
        <v>0</v>
      </c>
      <c r="I268">
        <v>0</v>
      </c>
      <c r="J268">
        <v>0</v>
      </c>
      <c r="K268">
        <v>3.0000000000000001E-3</v>
      </c>
      <c r="L268">
        <v>6.0000000000000001E-3</v>
      </c>
      <c r="M268">
        <v>0.92200000000000004</v>
      </c>
      <c r="N268">
        <v>0</v>
      </c>
      <c r="O268">
        <v>0</v>
      </c>
      <c r="P268">
        <v>0</v>
      </c>
      <c r="Q268">
        <v>4.0000000000000001E-3</v>
      </c>
      <c r="R268">
        <v>0</v>
      </c>
      <c r="S268">
        <v>0</v>
      </c>
      <c r="T268">
        <v>0</v>
      </c>
      <c r="U268">
        <v>1E-3</v>
      </c>
      <c r="V268">
        <v>0</v>
      </c>
      <c r="W268">
        <v>0</v>
      </c>
      <c r="X268">
        <v>1E-3</v>
      </c>
      <c r="Y268">
        <v>1E-3</v>
      </c>
      <c r="Z268">
        <v>4.0000000000000001E-3</v>
      </c>
      <c r="AA268">
        <v>0</v>
      </c>
      <c r="AB268">
        <v>3.0000000000000001E-3</v>
      </c>
      <c r="AC268">
        <v>0</v>
      </c>
      <c r="AD268">
        <v>1E-3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3.0000000000000001E-3</v>
      </c>
      <c r="AK268">
        <v>0</v>
      </c>
      <c r="AL268">
        <v>4.1000000000000002E-2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8.9999999999999993E-3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110</v>
      </c>
      <c r="C269" t="s">
        <v>110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0.76500000000000001</v>
      </c>
      <c r="Z269">
        <v>0.23400000000000001</v>
      </c>
      <c r="AA269">
        <v>1E-3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110</v>
      </c>
      <c r="C270" t="s">
        <v>110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0.98</v>
      </c>
      <c r="Z270">
        <v>7.0000000000000001E-3</v>
      </c>
      <c r="AA270">
        <v>1.2999999999999999E-2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184</v>
      </c>
      <c r="C271" t="s">
        <v>184</v>
      </c>
      <c r="D271">
        <v>0</v>
      </c>
      <c r="E271">
        <v>0</v>
      </c>
      <c r="F271">
        <v>0</v>
      </c>
      <c r="G271">
        <v>1E-3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0.93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6.9000000000000006E-2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189</v>
      </c>
      <c r="C272" t="s">
        <v>189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1E-3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1E-3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0.191</v>
      </c>
      <c r="AR272">
        <v>0.80700000000000005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22</v>
      </c>
      <c r="C273" t="s">
        <v>22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0.47499999999999998</v>
      </c>
      <c r="Z273">
        <v>0.52200000000000002</v>
      </c>
      <c r="AA273">
        <v>3.0000000000000001E-3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45</v>
      </c>
      <c r="C274" t="s">
        <v>45</v>
      </c>
      <c r="D274">
        <v>2.5000000000000001E-2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0.97399999999999998</v>
      </c>
      <c r="P274">
        <v>1E-3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41</v>
      </c>
      <c r="C275" t="s">
        <v>41</v>
      </c>
      <c r="D275">
        <v>0</v>
      </c>
      <c r="E275">
        <v>0</v>
      </c>
      <c r="F275">
        <v>0</v>
      </c>
      <c r="G275">
        <v>0.93300000000000005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6.7000000000000004E-2</v>
      </c>
      <c r="AZ275">
        <v>0</v>
      </c>
    </row>
    <row r="276" spans="1:52">
      <c r="A276">
        <v>275</v>
      </c>
      <c r="B276" t="s">
        <v>61</v>
      </c>
      <c r="C276" t="s">
        <v>61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5.0000000000000001E-3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1E-3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8.9999999999999993E-3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4.0000000000000001E-3</v>
      </c>
      <c r="AF276">
        <v>1E-3</v>
      </c>
      <c r="AG276">
        <v>1E-3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2E-3</v>
      </c>
      <c r="AR276">
        <v>0</v>
      </c>
      <c r="AS276">
        <v>0</v>
      </c>
      <c r="AT276">
        <v>0</v>
      </c>
      <c r="AU276">
        <v>0</v>
      </c>
      <c r="AV276">
        <v>1E-3</v>
      </c>
      <c r="AW276">
        <v>0</v>
      </c>
      <c r="AX276">
        <v>0.97599999999999998</v>
      </c>
      <c r="AY276">
        <v>0</v>
      </c>
      <c r="AZ276">
        <v>0</v>
      </c>
    </row>
    <row r="277" spans="1:52">
      <c r="A277">
        <v>276</v>
      </c>
      <c r="B277" t="s">
        <v>22</v>
      </c>
      <c r="C277" t="s">
        <v>22</v>
      </c>
      <c r="D277">
        <v>0</v>
      </c>
      <c r="E277">
        <v>0</v>
      </c>
      <c r="F277">
        <v>0</v>
      </c>
      <c r="G277">
        <v>0</v>
      </c>
      <c r="H277">
        <v>1E-3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2E-3</v>
      </c>
      <c r="Y277">
        <v>0.35099999999999998</v>
      </c>
      <c r="Z277">
        <v>0.64600000000000002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57</v>
      </c>
      <c r="C278" t="s">
        <v>57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0.93799999999999994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6.2E-2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50</v>
      </c>
      <c r="C279" t="s">
        <v>50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1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22</v>
      </c>
      <c r="C280" t="s">
        <v>22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5.8999999999999997E-2</v>
      </c>
      <c r="Y280">
        <v>2E-3</v>
      </c>
      <c r="Z280">
        <v>0.92200000000000004</v>
      </c>
      <c r="AA280">
        <v>1.7000000000000001E-2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41</v>
      </c>
      <c r="C281" t="s">
        <v>41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57</v>
      </c>
      <c r="C282" t="s">
        <v>57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1E-3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0.85199999999999998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0.14699999999999999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41</v>
      </c>
      <c r="C283" t="s">
        <v>41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67</v>
      </c>
      <c r="C284" t="s">
        <v>67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0.99399999999999999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6.0000000000000001E-3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45</v>
      </c>
      <c r="C285" t="s">
        <v>45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50</v>
      </c>
      <c r="C286" t="s">
        <v>50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1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41</v>
      </c>
      <c r="C287" t="s">
        <v>41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152</v>
      </c>
      <c r="C288" t="s">
        <v>152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1E-3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0.999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37</v>
      </c>
      <c r="C289" t="s">
        <v>37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1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54</v>
      </c>
      <c r="C290" t="s">
        <v>54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1E-3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0.76700000000000002</v>
      </c>
      <c r="AN290">
        <v>0</v>
      </c>
      <c r="AO290">
        <v>0.23200000000000001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45</v>
      </c>
      <c r="C291" t="s">
        <v>45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41</v>
      </c>
      <c r="C292" t="s">
        <v>41</v>
      </c>
      <c r="D292">
        <v>0</v>
      </c>
      <c r="E292">
        <v>0</v>
      </c>
      <c r="F292">
        <v>0</v>
      </c>
      <c r="G292">
        <v>0.92500000000000004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7.4999999999999997E-2</v>
      </c>
      <c r="AZ292">
        <v>0</v>
      </c>
    </row>
    <row r="293" spans="1:52">
      <c r="A293">
        <v>292</v>
      </c>
      <c r="B293" t="s">
        <v>28</v>
      </c>
      <c r="C293" t="s">
        <v>28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41</v>
      </c>
      <c r="C294" t="s">
        <v>41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45</v>
      </c>
      <c r="C295" t="s">
        <v>45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71</v>
      </c>
      <c r="C296" t="s">
        <v>71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1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139</v>
      </c>
      <c r="C297" t="s">
        <v>139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28</v>
      </c>
      <c r="C298" t="s">
        <v>28</v>
      </c>
      <c r="D298">
        <v>0</v>
      </c>
      <c r="E298">
        <v>0.999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1E-3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22</v>
      </c>
      <c r="C299" t="s">
        <v>22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0.373</v>
      </c>
      <c r="Z299">
        <v>0.627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41</v>
      </c>
      <c r="C300" t="s">
        <v>41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71</v>
      </c>
      <c r="C301" t="s">
        <v>71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1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41</v>
      </c>
      <c r="C302" t="s">
        <v>41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28</v>
      </c>
      <c r="C303" t="s">
        <v>28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132</v>
      </c>
      <c r="C304" t="s">
        <v>132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3.0000000000000001E-3</v>
      </c>
      <c r="AT304">
        <v>3.0000000000000001E-3</v>
      </c>
      <c r="AU304">
        <v>0.99399999999999999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132</v>
      </c>
      <c r="C305" t="s">
        <v>132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3.0000000000000001E-3</v>
      </c>
      <c r="AU305">
        <v>0.997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41</v>
      </c>
      <c r="C306" t="s">
        <v>41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145</v>
      </c>
      <c r="C307" t="s">
        <v>145</v>
      </c>
      <c r="D307">
        <v>0</v>
      </c>
      <c r="E307">
        <v>1E-3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0.97299999999999998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1.2999999999999999E-2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1.2999999999999999E-2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353</v>
      </c>
      <c r="C308" t="s">
        <v>353</v>
      </c>
      <c r="D308">
        <v>0</v>
      </c>
      <c r="E308">
        <v>4.0000000000000001E-3</v>
      </c>
      <c r="F308">
        <v>0</v>
      </c>
      <c r="G308">
        <v>1E-3</v>
      </c>
      <c r="H308">
        <v>0.80400000000000005</v>
      </c>
      <c r="I308">
        <v>0</v>
      </c>
      <c r="J308">
        <v>0</v>
      </c>
      <c r="K308">
        <v>3.5000000000000003E-2</v>
      </c>
      <c r="L308">
        <v>1E-3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2.8000000000000001E-2</v>
      </c>
      <c r="U308">
        <v>1E-3</v>
      </c>
      <c r="V308">
        <v>1.2999999999999999E-2</v>
      </c>
      <c r="W308">
        <v>3.0000000000000001E-3</v>
      </c>
      <c r="X308">
        <v>0</v>
      </c>
      <c r="Y308">
        <v>4.0000000000000001E-3</v>
      </c>
      <c r="Z308">
        <v>4.0000000000000001E-3</v>
      </c>
      <c r="AA308">
        <v>0</v>
      </c>
      <c r="AB308">
        <v>3.4000000000000002E-2</v>
      </c>
      <c r="AC308">
        <v>1E-3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7.0000000000000001E-3</v>
      </c>
      <c r="AK308">
        <v>4.3999999999999997E-2</v>
      </c>
      <c r="AL308">
        <v>0</v>
      </c>
      <c r="AM308">
        <v>0</v>
      </c>
      <c r="AN308">
        <v>0</v>
      </c>
      <c r="AO308">
        <v>3.0000000000000001E-3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1.2999999999999999E-2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45</v>
      </c>
      <c r="C309" t="s">
        <v>45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1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41</v>
      </c>
      <c r="C310" t="s">
        <v>41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41</v>
      </c>
      <c r="C311" t="s">
        <v>41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50</v>
      </c>
      <c r="C312" t="s">
        <v>50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1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110</v>
      </c>
      <c r="C313" t="s">
        <v>110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0.97699999999999998</v>
      </c>
      <c r="Z313">
        <v>2.3E-2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83</v>
      </c>
      <c r="C314" t="s">
        <v>83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0.41499999999999998</v>
      </c>
      <c r="AO314">
        <v>0.58499999999999996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359</v>
      </c>
      <c r="C315" t="s">
        <v>359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3.0000000000000001E-3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1E-3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0.97399999999999998</v>
      </c>
      <c r="AR315">
        <v>2.1999999999999999E-2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127</v>
      </c>
      <c r="C316" t="s">
        <v>127</v>
      </c>
      <c r="D316">
        <v>0</v>
      </c>
      <c r="E316">
        <v>0</v>
      </c>
      <c r="F316">
        <v>0.59499999999999997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1E-3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0.40400000000000003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61</v>
      </c>
      <c r="C317" t="s">
        <v>61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1E-3</v>
      </c>
      <c r="M317">
        <v>4.0000000000000001E-3</v>
      </c>
      <c r="N317">
        <v>0</v>
      </c>
      <c r="O317">
        <v>0</v>
      </c>
      <c r="P317">
        <v>0</v>
      </c>
      <c r="Q317">
        <v>1E-3</v>
      </c>
      <c r="R317">
        <v>0</v>
      </c>
      <c r="S317">
        <v>0</v>
      </c>
      <c r="T317">
        <v>0</v>
      </c>
      <c r="U317">
        <v>2E-3</v>
      </c>
      <c r="V317">
        <v>0</v>
      </c>
      <c r="W317">
        <v>0</v>
      </c>
      <c r="X317">
        <v>0</v>
      </c>
      <c r="Y317">
        <v>3.0000000000000001E-3</v>
      </c>
      <c r="Z317">
        <v>4.0000000000000001E-3</v>
      </c>
      <c r="AA317">
        <v>0</v>
      </c>
      <c r="AB317">
        <v>7.0000000000000001E-3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1E-3</v>
      </c>
      <c r="AL317">
        <v>4.0000000000000001E-3</v>
      </c>
      <c r="AM317">
        <v>1E-3</v>
      </c>
      <c r="AN317">
        <v>0</v>
      </c>
      <c r="AO317">
        <v>1E-3</v>
      </c>
      <c r="AP317">
        <v>0</v>
      </c>
      <c r="AQ317">
        <v>1E-3</v>
      </c>
      <c r="AR317">
        <v>0</v>
      </c>
      <c r="AS317">
        <v>1E-3</v>
      </c>
      <c r="AT317">
        <v>0</v>
      </c>
      <c r="AU317">
        <v>2E-3</v>
      </c>
      <c r="AV317">
        <v>2E-3</v>
      </c>
      <c r="AW317">
        <v>0</v>
      </c>
      <c r="AX317">
        <v>0.96499999999999997</v>
      </c>
      <c r="AY317">
        <v>0</v>
      </c>
      <c r="AZ317">
        <v>0</v>
      </c>
    </row>
    <row r="318" spans="1:52">
      <c r="A318">
        <v>317</v>
      </c>
      <c r="B318" t="s">
        <v>22</v>
      </c>
      <c r="C318" t="s">
        <v>22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5.0000000000000001E-3</v>
      </c>
      <c r="Y318">
        <v>7.3999999999999996E-2</v>
      </c>
      <c r="Z318">
        <v>0.92100000000000004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145</v>
      </c>
      <c r="C319" t="s">
        <v>145</v>
      </c>
      <c r="D319">
        <v>0</v>
      </c>
      <c r="E319">
        <v>0</v>
      </c>
      <c r="F319">
        <v>0</v>
      </c>
      <c r="G319">
        <v>3.0000000000000001E-3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6.0000000000000001E-3</v>
      </c>
      <c r="N319">
        <v>0</v>
      </c>
      <c r="O319">
        <v>0</v>
      </c>
      <c r="P319">
        <v>0</v>
      </c>
      <c r="Q319">
        <v>0.68700000000000006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3.0000000000000001E-3</v>
      </c>
      <c r="X319">
        <v>0</v>
      </c>
      <c r="Y319">
        <v>0</v>
      </c>
      <c r="Z319">
        <v>0</v>
      </c>
      <c r="AA319">
        <v>0</v>
      </c>
      <c r="AB319">
        <v>0.20100000000000001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1E-3</v>
      </c>
      <c r="AK319">
        <v>9.4E-2</v>
      </c>
      <c r="AL319">
        <v>0</v>
      </c>
      <c r="AM319">
        <v>0</v>
      </c>
      <c r="AN319">
        <v>1E-3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1E-3</v>
      </c>
      <c r="AU319">
        <v>0</v>
      </c>
      <c r="AV319">
        <v>2E-3</v>
      </c>
      <c r="AW319">
        <v>1E-3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184</v>
      </c>
      <c r="C320" t="s">
        <v>184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0.98099999999999998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1.9E-2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37</v>
      </c>
      <c r="C321" t="s">
        <v>37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2E-3</v>
      </c>
      <c r="Y321">
        <v>0.01</v>
      </c>
      <c r="Z321">
        <v>0.25900000000000001</v>
      </c>
      <c r="AA321">
        <v>0.72899999999999998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145</v>
      </c>
      <c r="C322" t="s">
        <v>145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22</v>
      </c>
      <c r="C323" t="s">
        <v>22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3.1E-2</v>
      </c>
      <c r="Y323">
        <v>5.2999999999999999E-2</v>
      </c>
      <c r="Z323">
        <v>0.91600000000000004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45</v>
      </c>
      <c r="C324" t="s">
        <v>45</v>
      </c>
      <c r="D324">
        <v>3.5999999999999997E-2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0.95799999999999996</v>
      </c>
      <c r="P324">
        <v>6.0000000000000001E-3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22</v>
      </c>
      <c r="C325" t="s">
        <v>22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3.6999999999999998E-2</v>
      </c>
      <c r="Y325">
        <v>0.185</v>
      </c>
      <c r="Z325">
        <v>0.77800000000000002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67</v>
      </c>
      <c r="C326" t="s">
        <v>67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37</v>
      </c>
      <c r="C327" t="s">
        <v>37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8.5000000000000006E-2</v>
      </c>
      <c r="Y327">
        <v>1.4E-2</v>
      </c>
      <c r="Z327">
        <v>0.23300000000000001</v>
      </c>
      <c r="AA327">
        <v>0.66800000000000004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54</v>
      </c>
      <c r="C328" t="s">
        <v>54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0.79900000000000004</v>
      </c>
      <c r="AN328">
        <v>0</v>
      </c>
      <c r="AO328">
        <v>0.20100000000000001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22</v>
      </c>
      <c r="C329" t="s">
        <v>22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0.02</v>
      </c>
      <c r="Y329">
        <v>8.0000000000000002E-3</v>
      </c>
      <c r="Z329">
        <v>0.97199999999999998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110</v>
      </c>
      <c r="C330" t="s">
        <v>110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0.91500000000000004</v>
      </c>
      <c r="Z330">
        <v>6.5000000000000002E-2</v>
      </c>
      <c r="AA330">
        <v>0.02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71</v>
      </c>
      <c r="C331" t="s">
        <v>71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1E-3</v>
      </c>
      <c r="AD331">
        <v>0</v>
      </c>
      <c r="AE331">
        <v>2E-3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0.997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41</v>
      </c>
      <c r="C332" t="s">
        <v>41</v>
      </c>
      <c r="D332">
        <v>0</v>
      </c>
      <c r="E332">
        <v>0</v>
      </c>
      <c r="F332">
        <v>0</v>
      </c>
      <c r="G332">
        <v>0.98799999999999999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1.2E-2</v>
      </c>
      <c r="AZ332">
        <v>0</v>
      </c>
    </row>
    <row r="333" spans="1:52">
      <c r="A333">
        <v>332</v>
      </c>
      <c r="B333" t="s">
        <v>373</v>
      </c>
      <c r="C333" t="s">
        <v>373</v>
      </c>
      <c r="D333">
        <v>0</v>
      </c>
      <c r="E333">
        <v>0</v>
      </c>
      <c r="F333">
        <v>0</v>
      </c>
      <c r="G333">
        <v>0</v>
      </c>
      <c r="H333">
        <v>0.11899999999999999</v>
      </c>
      <c r="I333">
        <v>0</v>
      </c>
      <c r="J333">
        <v>0.84</v>
      </c>
      <c r="K333">
        <v>1.4999999999999999E-2</v>
      </c>
      <c r="L333">
        <v>0</v>
      </c>
      <c r="M333">
        <v>0</v>
      </c>
      <c r="N333">
        <v>1.4999999999999999E-2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1.0999999999999999E-2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184</v>
      </c>
      <c r="C334" t="s">
        <v>184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0.99099999999999999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8.9999999999999993E-3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57</v>
      </c>
      <c r="C335" t="s">
        <v>57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0.83199999999999996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0.16800000000000001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88</v>
      </c>
      <c r="C336" t="s">
        <v>88</v>
      </c>
      <c r="D336">
        <v>0</v>
      </c>
      <c r="E336">
        <v>0</v>
      </c>
      <c r="F336">
        <v>0</v>
      </c>
      <c r="G336">
        <v>0</v>
      </c>
      <c r="H336">
        <v>7.0000000000000001E-3</v>
      </c>
      <c r="I336">
        <v>0</v>
      </c>
      <c r="J336">
        <v>0</v>
      </c>
      <c r="K336">
        <v>1E-3</v>
      </c>
      <c r="L336">
        <v>0</v>
      </c>
      <c r="M336">
        <v>0</v>
      </c>
      <c r="N336">
        <v>0.98899999999999999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3.0000000000000001E-3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67</v>
      </c>
      <c r="C337" t="s">
        <v>67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353</v>
      </c>
      <c r="C338" t="s">
        <v>353</v>
      </c>
      <c r="D338">
        <v>0</v>
      </c>
      <c r="E338">
        <v>0</v>
      </c>
      <c r="F338">
        <v>0</v>
      </c>
      <c r="G338">
        <v>0</v>
      </c>
      <c r="H338">
        <v>0.76600000000000001</v>
      </c>
      <c r="I338">
        <v>0</v>
      </c>
      <c r="J338">
        <v>4.5999999999999999E-2</v>
      </c>
      <c r="K338">
        <v>1.4E-2</v>
      </c>
      <c r="L338">
        <v>1E-3</v>
      </c>
      <c r="M338">
        <v>0</v>
      </c>
      <c r="N338">
        <v>2.8000000000000001E-2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0.14499999999999999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41</v>
      </c>
      <c r="C339" t="s">
        <v>41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127</v>
      </c>
      <c r="C340" t="s">
        <v>127</v>
      </c>
      <c r="D340">
        <v>0</v>
      </c>
      <c r="E340">
        <v>0</v>
      </c>
      <c r="F340">
        <v>0.87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1E-3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0.129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50</v>
      </c>
      <c r="C341" t="s">
        <v>50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1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169</v>
      </c>
      <c r="C342" t="s">
        <v>169</v>
      </c>
      <c r="D342">
        <v>0</v>
      </c>
      <c r="E342">
        <v>0</v>
      </c>
      <c r="F342">
        <v>0</v>
      </c>
      <c r="G342">
        <v>0.20399999999999999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0.79600000000000004</v>
      </c>
      <c r="AZ342">
        <v>0</v>
      </c>
    </row>
    <row r="343" spans="1:52">
      <c r="A343">
        <v>342</v>
      </c>
      <c r="B343" t="s">
        <v>45</v>
      </c>
      <c r="C343" t="s">
        <v>45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57</v>
      </c>
      <c r="C344" t="s">
        <v>57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0.86599999999999999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0.13300000000000001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1E-3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41</v>
      </c>
      <c r="C345" t="s">
        <v>41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22</v>
      </c>
      <c r="C346" t="s">
        <v>22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4.7E-2</v>
      </c>
      <c r="Y346">
        <v>8.9999999999999993E-3</v>
      </c>
      <c r="Z346">
        <v>0.94399999999999995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22</v>
      </c>
      <c r="C347" t="s">
        <v>22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5.0999999999999997E-2</v>
      </c>
      <c r="Y347">
        <v>1.4E-2</v>
      </c>
      <c r="Z347">
        <v>0.93300000000000005</v>
      </c>
      <c r="AA347">
        <v>2E-3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22</v>
      </c>
      <c r="C348" t="s">
        <v>22</v>
      </c>
      <c r="D348">
        <v>0</v>
      </c>
      <c r="E348">
        <v>1E-3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0.188</v>
      </c>
      <c r="Y348">
        <v>0</v>
      </c>
      <c r="Z348">
        <v>0.80900000000000005</v>
      </c>
      <c r="AA348">
        <v>2E-3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145</v>
      </c>
      <c r="C349" t="s">
        <v>145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41</v>
      </c>
      <c r="C350" t="s">
        <v>41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57</v>
      </c>
      <c r="C351" t="s">
        <v>57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0.83199999999999996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0.16800000000000001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41</v>
      </c>
      <c r="C352" t="s">
        <v>41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45</v>
      </c>
      <c r="C353" t="s">
        <v>45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50</v>
      </c>
      <c r="C354" t="s">
        <v>50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1E-3</v>
      </c>
      <c r="AA354">
        <v>0</v>
      </c>
      <c r="AB354">
        <v>1E-3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0.998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45</v>
      </c>
      <c r="C355" t="s">
        <v>45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1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2020-02-11T20:58:44Z</dcterms:created>
  <dcterms:modified xsi:type="dcterms:W3CDTF">2020-02-13T20:28:17Z</dcterms:modified>
</cp:coreProperties>
</file>