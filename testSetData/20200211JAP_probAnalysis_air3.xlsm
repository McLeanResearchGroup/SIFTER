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DC7DDAC4-CBAC-234A-A719-B6B4ED62AEBD}" xr6:coauthVersionLast="45" xr6:coauthVersionMax="45" xr10:uidLastSave="{00000000-0000-0000-0000-000000000000}"/>
  <bookViews>
    <workbookView xWindow="-29840" yWindow="1440" windowWidth="28040" windowHeight="17440" xr2:uid="{00000000-000D-0000-FFFF-FFFF00000000}"/>
  </bookViews>
  <sheets>
    <sheet name="2020211JAP_probAnalysis_air3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'2020211JAP_probAnalysis_air3'!$A$1:$S$1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<sst xmlns="http://schemas.openxmlformats.org/spreadsheetml/2006/main" count="6667" uniqueCount="418">
  <si>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</si>
  <si>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</si>
  <si>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</si>
  <si>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</si>
  <si>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</si>
  <si>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</si>
  <si>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</si>
  <si>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</si>
  <si>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</si>
  <si>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</si>
  <si>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</si>
  <si>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</si>
  <si>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</si>
  <si>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</si>
  <si>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</si>
  <si>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</si>
  <si>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</si>
  <si>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SM 44:03</t>
  </si>
  <si>
    <t>Organic compounds</t>
  </si>
  <si>
    <t>yes</t>
  </si>
  <si>
    <t>Lipids and lipid-like molecules</t>
  </si>
  <si>
    <t>Sphingolipids</t>
  </si>
  <si>
    <t>Phosphosphingolipids</t>
  </si>
  <si>
    <t>kscsb</t>
  </si>
  <si>
    <t>GlcCer 40:01</t>
  </si>
  <si>
    <t>Glycosphingolipids</t>
  </si>
  <si>
    <t>Hexakis(1H,1H,4H-hexafluorobutyloxy)phosphazene</t>
  </si>
  <si>
    <t>Organohalogen compounds</t>
  </si>
  <si>
    <t>Organofluorides</t>
  </si>
  <si>
    <t>Phosphazene and phosphazene derivatives</t>
  </si>
  <si>
    <t>D-Ornithine</t>
  </si>
  <si>
    <t>Organic acids and derivatives</t>
  </si>
  <si>
    <t>Carboxylic acids and derivatives</t>
  </si>
  <si>
    <t>Amino acids, peptides, and analogues</t>
  </si>
  <si>
    <t>1-Stearoyl-2-oleoyl-sn-glycero-3-phosphoethanolamine</t>
  </si>
  <si>
    <t>Benzenoids</t>
  </si>
  <si>
    <t>Benzene and substituted derivatives</t>
  </si>
  <si>
    <t>Anilides</t>
  </si>
  <si>
    <t>NYQEAK (Tryptic Peptide)</t>
  </si>
  <si>
    <t>Apramycin</t>
  </si>
  <si>
    <t>Organic oxygen compounds</t>
  </si>
  <si>
    <t>Organooxygen compounds</t>
  </si>
  <si>
    <t>Carbohydrates and carbohydrate conjugates</t>
  </si>
  <si>
    <t>Monensin A</t>
  </si>
  <si>
    <t>Fatty acyls</t>
  </si>
  <si>
    <t>Fatty acids and conjugates</t>
  </si>
  <si>
    <t>2',4'-Dihydroxyacetophenone</t>
  </si>
  <si>
    <t>PE 34:02</t>
  </si>
  <si>
    <t>Glycerophospholipids</t>
  </si>
  <si>
    <t>Glycerophosphoethanolamines</t>
  </si>
  <si>
    <t>1,2-Didecanoyl-sn-glycero-3-phosphoethanolamine</t>
  </si>
  <si>
    <t>EALDFFAR (Tryptic Peptide)</t>
  </si>
  <si>
    <t>D-(+)-Glucosamine</t>
  </si>
  <si>
    <t>PS 39:04</t>
  </si>
  <si>
    <t>Glycerophosphoserines</t>
  </si>
  <si>
    <t>Cs(CsI)3(NaI)3 or Na(CsI)4(NaI)2</t>
  </si>
  <si>
    <t>Inorganic compounds</t>
  </si>
  <si>
    <t>Mixed metal/non-metal compounds</t>
  </si>
  <si>
    <t>Alkali metal salts</t>
  </si>
  <si>
    <t>Alkali metal iodides</t>
  </si>
  <si>
    <t>PS (O-35:02)</t>
  </si>
  <si>
    <t>DL-Pipecolate</t>
  </si>
  <si>
    <t>AWSVAR (Tryptic Peptide)</t>
  </si>
  <si>
    <t xml:space="preserve">2'-Hydroxy-4-monobromodiphenyl Ether </t>
  </si>
  <si>
    <t>Diphenylethers</t>
  </si>
  <si>
    <t>N-Acetyl-D-mannosamine</t>
  </si>
  <si>
    <t>Na(NaI)7</t>
  </si>
  <si>
    <t>D-(-)-Ribose</t>
  </si>
  <si>
    <t>LR (Tryptic Peptide)</t>
  </si>
  <si>
    <t>Prostaglandin D2</t>
  </si>
  <si>
    <t>Eicosanoids</t>
  </si>
  <si>
    <t>Guanosine Diphosphate</t>
  </si>
  <si>
    <t>Nucleosides, nucleotides, and analogues</t>
  </si>
  <si>
    <t>Purine nucleotides</t>
  </si>
  <si>
    <t>Purine ribonucleotides</t>
  </si>
  <si>
    <t>d7-PE (15:0-18:1)</t>
  </si>
  <si>
    <t>L-Threonic Acid</t>
  </si>
  <si>
    <t>Cytidine-5'-diphosphocholine</t>
  </si>
  <si>
    <t>Pyrimidine nucleotides</t>
  </si>
  <si>
    <t>Pyrimidine ribonucleotides</t>
  </si>
  <si>
    <t>2'-Deoxyguanosine-5'-diphosphate</t>
  </si>
  <si>
    <t>Purine deoxyribonucleotides</t>
  </si>
  <si>
    <t>Carbocyclic Thromboxane A2</t>
  </si>
  <si>
    <t>N-alpha-Acetyllysine</t>
  </si>
  <si>
    <t>NVNDVIAPAFVK (Tryptic Peptide)</t>
  </si>
  <si>
    <t>LysoPC (18:0)</t>
  </si>
  <si>
    <t>Glycerophosphocholines</t>
  </si>
  <si>
    <t>Arachidonic Acid (20:4)</t>
  </si>
  <si>
    <t>Orotic Acid</t>
  </si>
  <si>
    <t>Organoheterocyclic compounds</t>
  </si>
  <si>
    <t>Diazines</t>
  </si>
  <si>
    <t>Pyrimidines and pyrimidine derivatives</t>
  </si>
  <si>
    <t>Aculeacin A</t>
  </si>
  <si>
    <t>GlcCer 49:01</t>
  </si>
  <si>
    <t>PE (O-34:03)</t>
  </si>
  <si>
    <t>2,2,4,5,5-Pentachlorobiphenyl</t>
  </si>
  <si>
    <t>Biphenyls and derivatives</t>
  </si>
  <si>
    <t>Sulfaguanidine</t>
  </si>
  <si>
    <t>Benzenesulfonamides</t>
  </si>
  <si>
    <t>PS 40:05</t>
  </si>
  <si>
    <t>5-Hydroxy-L-tryptophan</t>
  </si>
  <si>
    <t>Indoles and derivatives</t>
  </si>
  <si>
    <t>Tryptamines and derivatives</t>
  </si>
  <si>
    <t>3,5-Diiodo-L-tyrosine</t>
  </si>
  <si>
    <t>Cysteate</t>
  </si>
  <si>
    <t>Citrulline</t>
  </si>
  <si>
    <t>Valinomycin</t>
  </si>
  <si>
    <t>Peptidomimetics</t>
  </si>
  <si>
    <t>Depsipeptides</t>
  </si>
  <si>
    <t>Acetylcholine</t>
  </si>
  <si>
    <t>Organic nitrogen compounds</t>
  </si>
  <si>
    <t>Organonitrogen compounds</t>
  </si>
  <si>
    <t>Quaternary ammonium salts</t>
  </si>
  <si>
    <t>Sorbitol</t>
  </si>
  <si>
    <t>D-allo-Isoleucine</t>
  </si>
  <si>
    <t>LysoPC (19:0)</t>
  </si>
  <si>
    <t>L-alpha-Aminoadipate</t>
  </si>
  <si>
    <t>Melatonin</t>
  </si>
  <si>
    <t>Indoles</t>
  </si>
  <si>
    <t>SM 40:00</t>
  </si>
  <si>
    <t>N-Acetylphenylalanine</t>
  </si>
  <si>
    <t>N,N-Dimethylglycine</t>
  </si>
  <si>
    <t>GlcCer 44:02</t>
  </si>
  <si>
    <t>5-Hydroxylysine</t>
  </si>
  <si>
    <t>SM 42:02</t>
  </si>
  <si>
    <t>2,3',4',5-Tetrachlorobiphenyl</t>
  </si>
  <si>
    <t>D-Xylose-5-phosphate</t>
  </si>
  <si>
    <t>PC 36:02</t>
  </si>
  <si>
    <t>UltraMark 1022</t>
  </si>
  <si>
    <t>Mannose-6-phosphate</t>
  </si>
  <si>
    <t>Cer 42:03</t>
  </si>
  <si>
    <t>Ceramides</t>
  </si>
  <si>
    <t>Adenosine-5'-diphosphate (From Bacterial Source)</t>
  </si>
  <si>
    <t>13-OxoODE</t>
  </si>
  <si>
    <t>Lineolic acids and derivatives</t>
  </si>
  <si>
    <t>SM 36:01</t>
  </si>
  <si>
    <t>TIAQYAR (Tryptic Peptide)</t>
  </si>
  <si>
    <t>LysoPC (16:0)</t>
  </si>
  <si>
    <t>Choline</t>
  </si>
  <si>
    <t>Glucosamine-6-sulfate</t>
  </si>
  <si>
    <t>Hexakis(1H,1H,6H-decafluorohexyloxy)phosphazene</t>
  </si>
  <si>
    <t>Palmitic Acid</t>
  </si>
  <si>
    <t>2-Hydroxy Hippuric Acid</t>
  </si>
  <si>
    <t>Benzoic acids and derivatives</t>
  </si>
  <si>
    <t>Cs(CsI)9</t>
  </si>
  <si>
    <t>D-Maltose</t>
  </si>
  <si>
    <t>PA 35:01</t>
  </si>
  <si>
    <t>Glycerophosphates</t>
  </si>
  <si>
    <t>Nervonate</t>
  </si>
  <si>
    <t>PS 38:04</t>
  </si>
  <si>
    <t>Guanidinoacetate</t>
  </si>
  <si>
    <t>1,2-Dilignoceroyl-sn-glycero-3-phosphocholine</t>
  </si>
  <si>
    <t>beta-Glycerophosphate</t>
  </si>
  <si>
    <t>D-(+)-2-Phosphoglyceric Acid</t>
  </si>
  <si>
    <t>Methylgalactoside</t>
  </si>
  <si>
    <t>Kanamycin</t>
  </si>
  <si>
    <t>Tetrahexadecylammonium</t>
  </si>
  <si>
    <t>2,2',3,4,4',5'-Hexabromodiphenyl ether</t>
  </si>
  <si>
    <t>PE 36:01</t>
  </si>
  <si>
    <t>Citicoline</t>
  </si>
  <si>
    <t>PE 34:03</t>
  </si>
  <si>
    <t>Capsofungin</t>
  </si>
  <si>
    <t>Cs(CsI)8</t>
  </si>
  <si>
    <t>1,2-Distearoyl-sn-glycero-3-phosphoethanolamine</t>
  </si>
  <si>
    <t>3,4-Dihydroxymandelate</t>
  </si>
  <si>
    <t>Phenols</t>
  </si>
  <si>
    <t>Benzenediols</t>
  </si>
  <si>
    <t>Glutarylcarnitine</t>
  </si>
  <si>
    <t>Fatty acid esters</t>
  </si>
  <si>
    <t>LysoPC (20:0)</t>
  </si>
  <si>
    <t>IATAIEK (Tryptic Peptide)</t>
  </si>
  <si>
    <t>Cer 36:00</t>
  </si>
  <si>
    <t>L-Isoleucine</t>
  </si>
  <si>
    <t>Uridine Diphosphate-N-acetylglucosamine</t>
  </si>
  <si>
    <t>Pyrimidine nucleotide sugars</t>
  </si>
  <si>
    <t>Daptomycin</t>
  </si>
  <si>
    <t>Uric Acid</t>
  </si>
  <si>
    <t>Imidazopyrimidines</t>
  </si>
  <si>
    <t>Purines and purine derivatives</t>
  </si>
  <si>
    <t>L-Aspartic Acid</t>
  </si>
  <si>
    <t>Angiotensin II</t>
  </si>
  <si>
    <t>N-Acetylneuraminate</t>
  </si>
  <si>
    <t>Surfactin 5</t>
  </si>
  <si>
    <t>PC (O-18:0/2:0)</t>
  </si>
  <si>
    <t>Hippurate</t>
  </si>
  <si>
    <t>2-Hydroxy-2',3',4',5,5'-pentachlorobiphenyl</t>
  </si>
  <si>
    <t>Hydroquinone</t>
  </si>
  <si>
    <t>Erythromycin A</t>
  </si>
  <si>
    <t>Cs(CsI)3(NaI)2 or Na(CsI)4(NaI)</t>
  </si>
  <si>
    <t>Lauroyl-L-carnitine</t>
  </si>
  <si>
    <t>N-Methylaspartate</t>
  </si>
  <si>
    <t>YVR (Tryptic Peptide)</t>
  </si>
  <si>
    <t>Hesperetin</t>
  </si>
  <si>
    <t>Phenylpropanoids and polyketides</t>
  </si>
  <si>
    <t>Flavonoids</t>
  </si>
  <si>
    <t>O-methylated flavonoids</t>
  </si>
  <si>
    <t>Xanthine</t>
  </si>
  <si>
    <t>Melibiose</t>
  </si>
  <si>
    <t>Pyrocatechol</t>
  </si>
  <si>
    <t>Leukotriene C4</t>
  </si>
  <si>
    <t>Lincomycin</t>
  </si>
  <si>
    <t>Ophthalmate</t>
  </si>
  <si>
    <t>Uridine-5'-triphosphate</t>
  </si>
  <si>
    <t>Sucrose</t>
  </si>
  <si>
    <t>FA (17:0)</t>
  </si>
  <si>
    <t>GVFR (Tryptic Peptide)</t>
  </si>
  <si>
    <t>d7-PS (15:0/18:1)</t>
  </si>
  <si>
    <t>3-Methyglutarate</t>
  </si>
  <si>
    <t>Citrate</t>
  </si>
  <si>
    <t>Tricarboxylic acids and derivatives</t>
  </si>
  <si>
    <t>L-Tryptophan</t>
  </si>
  <si>
    <t>Indolyl carboxylic acids and derivatives</t>
  </si>
  <si>
    <t>Deoxythymidine-diphosphate-D-Glucose</t>
  </si>
  <si>
    <t>3,5-Diiodo-L-thryonine</t>
  </si>
  <si>
    <t>Uridine-5'-diphosphate</t>
  </si>
  <si>
    <t>PE 35:02</t>
  </si>
  <si>
    <t>UltraMark 1121</t>
  </si>
  <si>
    <t>Sulfanilamide</t>
  </si>
  <si>
    <t>L-Valine</t>
  </si>
  <si>
    <t>Indole-3-acetamide</t>
  </si>
  <si>
    <t>Imazapyr</t>
  </si>
  <si>
    <t>L-Cystine</t>
  </si>
  <si>
    <t>PC 36:05</t>
  </si>
  <si>
    <t>Cellobiose</t>
  </si>
  <si>
    <t>Kynurenate</t>
  </si>
  <si>
    <t>Quinolines and derivatives</t>
  </si>
  <si>
    <t>Quinoline carboxylic acids</t>
  </si>
  <si>
    <t>Hygromycin</t>
  </si>
  <si>
    <t>Cs(CsI)2(NaI)6 or Na(CsI)3(NaI)5</t>
  </si>
  <si>
    <t>Hexakis(2,2,3,3-tetrafluoropropoxy)phosphazene</t>
  </si>
  <si>
    <t>Lactulose</t>
  </si>
  <si>
    <t>1,2-Diacyl-sn-glycero-3-phosphocholine</t>
  </si>
  <si>
    <t>Amphotericin</t>
  </si>
  <si>
    <t>2-Deoxy-D-glucose</t>
  </si>
  <si>
    <t>Galactitol</t>
  </si>
  <si>
    <t>Uridine-5'-monophosphate</t>
  </si>
  <si>
    <t>D-Glucosamine-6-phosphate</t>
  </si>
  <si>
    <t>14(15)-EET</t>
  </si>
  <si>
    <t>Serotonin</t>
  </si>
  <si>
    <t>Adenosine-5'-triphosphate</t>
  </si>
  <si>
    <t>Surfactin A</t>
  </si>
  <si>
    <t>SM 44:01</t>
  </si>
  <si>
    <t>Val-Tyr-Val</t>
  </si>
  <si>
    <t>Glufosinate</t>
  </si>
  <si>
    <t>FA (19:0)</t>
  </si>
  <si>
    <t>PE 38:05</t>
  </si>
  <si>
    <t>UltraMark 1722</t>
  </si>
  <si>
    <t>PC 36:01 HETE</t>
  </si>
  <si>
    <t>Myoinositol</t>
  </si>
  <si>
    <t>Alcohols and polyols</t>
  </si>
  <si>
    <t>Adipate</t>
  </si>
  <si>
    <t>Arabitol</t>
  </si>
  <si>
    <t>MSLVEEGAVK (Tryptic Peptide)</t>
  </si>
  <si>
    <t>1,2-Dilauroyl-sn-glycero-3-phosphocholine</t>
  </si>
  <si>
    <t>GlcCer 38:03</t>
  </si>
  <si>
    <t>Roxithromycin</t>
  </si>
  <si>
    <t>LysoPC (18:1)</t>
  </si>
  <si>
    <t>Xanthosine Monophosphate</t>
  </si>
  <si>
    <t>PS 37:02</t>
  </si>
  <si>
    <t>Palmitate</t>
  </si>
  <si>
    <t>Cytidine-3'-phosphate</t>
  </si>
  <si>
    <t>Adenosine-5'-monophosphate</t>
  </si>
  <si>
    <t>Cytidine-5'-monophosphate</t>
  </si>
  <si>
    <t>Maltopentaose</t>
  </si>
  <si>
    <t>Cortisol-21-acetate</t>
  </si>
  <si>
    <t>Steroids and steroid derivatives</t>
  </si>
  <si>
    <t>Pregnane steroids</t>
  </si>
  <si>
    <t>Itaconate</t>
  </si>
  <si>
    <t>Carnitine (18:1/delta9-cis)</t>
  </si>
  <si>
    <t>SM 42:01 OH</t>
  </si>
  <si>
    <t>1-Aminocyclopropanecarboxylate</t>
  </si>
  <si>
    <t>Josamycin</t>
  </si>
  <si>
    <t>Nicotinate</t>
  </si>
  <si>
    <t>Pyridines and derivatives</t>
  </si>
  <si>
    <t>Pyridinecarboxylic acids and derivatives</t>
  </si>
  <si>
    <t>1-Kestose</t>
  </si>
  <si>
    <t>Trehalose-6-phosphate</t>
  </si>
  <si>
    <t>1,2-Distearoyl-sn-glycero-3-phosphocholine</t>
  </si>
  <si>
    <t>N-Acetyl-D-glucosamine</t>
  </si>
  <si>
    <t>Carnosine</t>
  </si>
  <si>
    <t>Hybrid peptides</t>
  </si>
  <si>
    <t>Uridine Diphosphate-N-acetylgalactosamine</t>
  </si>
  <si>
    <t>1,2-Dipalmitoleoyl-sn-glycero-3-phosphoethanolamine</t>
  </si>
  <si>
    <t>GlcCer 38:02</t>
  </si>
  <si>
    <t>Hexakis(1H,1H,9H-perfluorononyloxy) phosphazene</t>
  </si>
  <si>
    <t>Bradykinin</t>
  </si>
  <si>
    <t>Galactose</t>
  </si>
  <si>
    <t>N-Acetyl-D-Tryptophan</t>
  </si>
  <si>
    <t>L-Ribonic Acid</t>
  </si>
  <si>
    <t>2,3,4,4',5-Pentachlorobiphenyl</t>
  </si>
  <si>
    <t>d7-PA (15:0-18:1)</t>
  </si>
  <si>
    <t>Uracil</t>
  </si>
  <si>
    <t>Metolachlor</t>
  </si>
  <si>
    <t>Thymine</t>
  </si>
  <si>
    <t>5-Hydroxy-2,2',3,4,4',5'-hexachlorobiphenyl</t>
  </si>
  <si>
    <t>L-Cysteine</t>
  </si>
  <si>
    <t>LNQLLR (Tryptic Peptide)</t>
  </si>
  <si>
    <t>GlcCer 42:01 OH</t>
  </si>
  <si>
    <t>Methyl Linoleate</t>
  </si>
  <si>
    <t>VEDVDR (Tryptic Peptide)</t>
  </si>
  <si>
    <t>6-Hydroxy-2,2',3,4,4'-pentabromodiphenylether</t>
  </si>
  <si>
    <t>PS 40:04</t>
  </si>
  <si>
    <t>PE (O-32:01)</t>
  </si>
  <si>
    <t>SM 38:01</t>
  </si>
  <si>
    <t>QEPER (Tryptic Peptide)</t>
  </si>
  <si>
    <t>DIPVPKPK (Tryptic Peptide)</t>
  </si>
  <si>
    <t>2,5-Dihydrobenzoate</t>
  </si>
  <si>
    <t>Cellopentaose &gt; 80%</t>
  </si>
  <si>
    <t>Inosine Triphosphate</t>
  </si>
  <si>
    <t>GlcCer 43:02</t>
  </si>
  <si>
    <t>PS 36:04</t>
  </si>
  <si>
    <t>1,2-Dioctanoyl-sn-glycero-3-phosphocholine</t>
  </si>
  <si>
    <t>Prostaglandin G2</t>
  </si>
  <si>
    <t>N-Methyl-L-glutamate</t>
  </si>
  <si>
    <t>GlcCer 46:02</t>
  </si>
  <si>
    <t>Spermine</t>
  </si>
  <si>
    <t>Amines</t>
  </si>
  <si>
    <t>Cer 40:02</t>
  </si>
  <si>
    <t>3,3',4,4',5,5'-Hexachlorobiphenyl</t>
  </si>
  <si>
    <t>PE 42:09</t>
  </si>
  <si>
    <t>Actinomycin</t>
  </si>
  <si>
    <t>L-tert-Leucine</t>
  </si>
  <si>
    <t>Hexakis(1H,1H,8H-tetradecafluoroctyoxy)phosphazene</t>
  </si>
  <si>
    <t>GlcCer 42:02</t>
  </si>
  <si>
    <t>Hexazinone</t>
  </si>
  <si>
    <t>17(S)-HDHA</t>
  </si>
  <si>
    <t>alpha-Muricholic Acid</t>
  </si>
  <si>
    <t>Bile acids, alcohols and derivatives</t>
  </si>
  <si>
    <t>Urocanate</t>
  </si>
  <si>
    <t>Azoles</t>
  </si>
  <si>
    <t>Imidazoles</t>
  </si>
  <si>
    <t>Fatty Acyls</t>
  </si>
  <si>
    <t>kssb</t>
  </si>
  <si>
    <t>Lactose</t>
  </si>
  <si>
    <t>2'-Deoxyguanosine 5'-monophosphate</t>
  </si>
  <si>
    <t>SM 42:01</t>
  </si>
  <si>
    <t>GlcCer 42:00 OH</t>
  </si>
  <si>
    <t>Creatinine</t>
  </si>
  <si>
    <t>Adenosine-2',3'-Cyclic Phosphate</t>
  </si>
  <si>
    <t>Cyclic purine nucleotides</t>
  </si>
  <si>
    <t>GlcCer 42:02 OH</t>
  </si>
  <si>
    <t>PE (O-36:00)</t>
  </si>
  <si>
    <t>N-Acetyl-D-tryptophan</t>
  </si>
  <si>
    <t>(S)-Carboxymethyl-L-cysteine</t>
  </si>
  <si>
    <t>PC 36:03 HETE</t>
  </si>
  <si>
    <t>2,2',4,4',6-Pentabromodiphenyl Ether</t>
  </si>
  <si>
    <t>PC 36:01</t>
  </si>
  <si>
    <t>SM 41:02</t>
  </si>
  <si>
    <t>PE 36:02</t>
  </si>
  <si>
    <t>PS 40:03</t>
  </si>
  <si>
    <t>Platelet-activating Factor</t>
  </si>
  <si>
    <t>L-Lysine</t>
  </si>
  <si>
    <t>Thiamine Monophosphate</t>
  </si>
  <si>
    <t>4-Pyridoxate</t>
  </si>
  <si>
    <t>Lyxose</t>
  </si>
  <si>
    <t>3-Nitro-L-tyrosine</t>
  </si>
  <si>
    <t>4-Quinolinecarboxylate</t>
  </si>
  <si>
    <t>5-iPF2alpha-VI</t>
  </si>
  <si>
    <t>LVTDLTK (Tryptic Peptide)</t>
  </si>
  <si>
    <t>Isobutyrylamino Acetic Acid</t>
  </si>
  <si>
    <t>D-Gluconate</t>
  </si>
  <si>
    <t>Mannitol</t>
  </si>
  <si>
    <t>Cer (d18:1/17:0)</t>
  </si>
  <si>
    <t>Oleic Acid (18:1)</t>
  </si>
  <si>
    <t>Coronene</t>
  </si>
  <si>
    <t>Pyrenes</t>
  </si>
  <si>
    <t>Benzopyrenes</t>
  </si>
  <si>
    <t>Folate</t>
  </si>
  <si>
    <t>4-Acetamidobutanoate</t>
  </si>
  <si>
    <t>Thromboxane B3</t>
  </si>
  <si>
    <t>Uridine Diphosphate Glucuronic Acid</t>
  </si>
  <si>
    <t>PA 36:04</t>
  </si>
  <si>
    <t>Leucine Enkephalin</t>
  </si>
  <si>
    <t>alpha-Linolenic acid (PC18:3)</t>
  </si>
  <si>
    <t>Linoleic Acid (18:2)</t>
  </si>
  <si>
    <t>YIPGTK (Tryptic Peptide)</t>
  </si>
  <si>
    <t>Hexakis(1H,1H,7H-perfluoroheptoxy)phosphazene</t>
  </si>
  <si>
    <t>Monensin B</t>
  </si>
  <si>
    <t>Antimycin A1b</t>
  </si>
  <si>
    <t>Pyridoxal-5'-phosphate</t>
  </si>
  <si>
    <t>Pyridine carboxaldehydes</t>
  </si>
  <si>
    <t>Uridine Diphosphate Glucose</t>
  </si>
  <si>
    <t>Poly-DL-(alanine)7</t>
  </si>
  <si>
    <t>Organic polymers</t>
  </si>
  <si>
    <t>kcsb</t>
  </si>
  <si>
    <t>2,3',4,4'-Tetrabromodiphenyl ether</t>
  </si>
  <si>
    <t>Glyphospate</t>
  </si>
  <si>
    <t>Ribitol</t>
  </si>
  <si>
    <t>Eicosanoic Acid (20:0)</t>
  </si>
  <si>
    <t>Cs(CsI)4(NaI)3 or Na(CsI)5(NaI)2</t>
  </si>
  <si>
    <t>D-(-)-Tartartic Acid</t>
  </si>
  <si>
    <t>GlcCer 36:02</t>
  </si>
  <si>
    <t>L-Methionine</t>
  </si>
  <si>
    <t>Poly-DL-(alanine)5</t>
  </si>
  <si>
    <t>L-Arginine</t>
  </si>
  <si>
    <t>3-Hydroxy-2,2',4,4',6-pentabromodiphenylether</t>
  </si>
  <si>
    <t>Cortexolone</t>
  </si>
  <si>
    <t>Hydroxysteroids</t>
  </si>
  <si>
    <t>SM 34:01</t>
  </si>
  <si>
    <t>Thyroxine</t>
  </si>
  <si>
    <t>UltraMark 1921</t>
  </si>
  <si>
    <t>Rhamnose</t>
  </si>
  <si>
    <t>Picloram</t>
  </si>
  <si>
    <t>TNGITPR (Tryptic Peptide)</t>
  </si>
  <si>
    <t>Adrenic Acid</t>
  </si>
  <si>
    <t>Phosphocreatine</t>
  </si>
  <si>
    <t>Vancomycin</t>
  </si>
  <si>
    <t>Row</t>
  </si>
  <si>
    <t>count</t>
  </si>
  <si>
    <t>class.error</t>
  </si>
  <si>
    <t>Carbonyl compounds</t>
  </si>
  <si>
    <t>Purine nucleotide sugars</t>
  </si>
  <si>
    <t>Pyrimidine deoxyribonucleotides</t>
  </si>
  <si>
    <t>Predicted.Kingdom</t>
  </si>
  <si>
    <t>Predicted.Super.Class</t>
  </si>
  <si>
    <t>Predicted.Class</t>
  </si>
  <si>
    <t>Predicted.Subclass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</si>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</sst>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9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A318" workbookViewId="0">
      <selection activeCell="S2" sqref="S2:S355"/>
    </sheetView>
  </sheetViews>
  <sheetFormatPr baseColWidth="10" defaultRowHeight="16"/>
  <sheetData>
    <row r="1" spans="1:23">
      <c r="A1" t="s">
        <v>407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408</v>
      </c>
    </row>
    <row r="2" spans="1:23">
      <c r="A2">
        <v>1</v>
      </c>
      <c r="B2" t="s">
        <v>17</v>
      </c>
      <c r="C2">
        <v>861.6825</v>
      </c>
      <c r="D2">
        <v>305.89999999999998</v>
      </c>
      <c r="E2">
        <v>-0.72038675168891997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1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0.72</v>
      </c>
      <c r="R2" t="s">
        <v>23</v>
      </c>
      <c r="S2">
        <v>4</v>
      </c>
      <c r="U2" s="3" t="s">
        <v>417</v>
      </c>
      <c r="V2" s="4">
        <v>4</v>
      </c>
      <c r="W2" s="4">
        <f>COUNTIF($S$2:$S$355,"4")</f>
        <v>354</v>
      </c>
    </row>
    <row r="3" spans="1:23">
      <c r="A3">
        <v>2</v>
      </c>
      <c r="B3" t="s">
        <v>24</v>
      </c>
      <c r="C3">
        <v>784.66660000000002</v>
      </c>
      <c r="D3">
        <v>295</v>
      </c>
      <c r="E3">
        <v>-0.79047900257091896</v>
      </c>
      <c r="F3" t="s">
        <v>18</v>
      </c>
      <c r="G3" t="s">
        <v>19</v>
      </c>
      <c r="H3">
        <v>1</v>
      </c>
      <c r="I3" t="s">
        <v>20</v>
      </c>
      <c r="J3" t="s">
        <v>19</v>
      </c>
      <c r="K3">
        <v>1</v>
      </c>
      <c r="L3" t="s">
        <v>21</v>
      </c>
      <c r="M3" t="s">
        <v>19</v>
      </c>
      <c r="N3">
        <v>1</v>
      </c>
      <c r="O3" t="s">
        <v>25</v>
      </c>
      <c r="P3" t="s">
        <v>19</v>
      </c>
      <c r="Q3">
        <v>0.95899999999999996</v>
      </c>
      <c r="R3" t="s">
        <v>23</v>
      </c>
      <c r="S3">
        <v>4</v>
      </c>
      <c r="U3" s="3"/>
      <c r="V3" s="4">
        <v>3</v>
      </c>
      <c r="W3" s="4">
        <f t="shared" ref="W3" si="0">COUNTIF($S$2:$S$355,"3")</f>
        <v>0</v>
      </c>
    </row>
    <row r="4" spans="1:23">
      <c r="A4">
        <v>3</v>
      </c>
      <c r="B4" t="s">
        <v>26</v>
      </c>
      <c r="C4">
        <v>1333.9684</v>
      </c>
      <c r="D4">
        <v>285.39999999999998</v>
      </c>
      <c r="E4">
        <v>-0.47895502407391199</v>
      </c>
      <c r="F4" t="s">
        <v>18</v>
      </c>
      <c r="G4" t="s">
        <v>19</v>
      </c>
      <c r="H4">
        <v>0.95</v>
      </c>
      <c r="I4" t="s">
        <v>27</v>
      </c>
      <c r="J4" t="s">
        <v>19</v>
      </c>
      <c r="K4">
        <v>0.93</v>
      </c>
      <c r="L4" t="s">
        <v>28</v>
      </c>
      <c r="M4" t="s">
        <v>19</v>
      </c>
      <c r="N4">
        <v>1</v>
      </c>
      <c r="O4" t="s">
        <v>29</v>
      </c>
      <c r="P4" t="s">
        <v>19</v>
      </c>
      <c r="Q4">
        <v>1</v>
      </c>
      <c r="R4" t="s">
        <v>23</v>
      </c>
      <c r="S4">
        <v>4</v>
      </c>
      <c r="U4" s="3"/>
      <c r="V4" s="4">
        <v>2</v>
      </c>
      <c r="W4" s="4">
        <f>COUNTIF($S$2:$S$355,"2")</f>
        <v>0</v>
      </c>
    </row>
    <row r="5" spans="1:23">
      <c r="A5">
        <v>4</v>
      </c>
      <c r="B5" t="s">
        <v>30</v>
      </c>
      <c r="C5">
        <v>131.08240000000001</v>
      </c>
      <c r="D5">
        <v>128.69999999999999</v>
      </c>
      <c r="E5">
        <v>-0.93603969482910498</v>
      </c>
      <c r="F5" t="s">
        <v>18</v>
      </c>
      <c r="G5" t="s">
        <v>19</v>
      </c>
      <c r="H5">
        <v>1</v>
      </c>
      <c r="I5" t="s">
        <v>31</v>
      </c>
      <c r="J5" t="s">
        <v>19</v>
      </c>
      <c r="K5">
        <v>0.99</v>
      </c>
      <c r="L5" t="s">
        <v>32</v>
      </c>
      <c r="M5" t="s">
        <v>19</v>
      </c>
      <c r="N5">
        <v>1</v>
      </c>
      <c r="O5" t="s">
        <v>33</v>
      </c>
      <c r="P5" t="s">
        <v>19</v>
      </c>
      <c r="Q5">
        <v>1</v>
      </c>
      <c r="R5" t="s">
        <v>23</v>
      </c>
      <c r="S5">
        <v>4</v>
      </c>
      <c r="U5" s="3"/>
      <c r="V5" s="4">
        <v>1</v>
      </c>
      <c r="W5" s="4">
        <f>COUNTIF($S$2:$S$355,"1")</f>
        <v>0</v>
      </c>
    </row>
    <row r="6" spans="1:23">
      <c r="A6">
        <v>5</v>
      </c>
      <c r="B6" t="s">
        <v>34</v>
      </c>
      <c r="C6">
        <v>768.55190000000005</v>
      </c>
      <c r="D6">
        <v>287.8</v>
      </c>
      <c r="E6">
        <v>-0.69377190176817305</v>
      </c>
      <c r="F6" t="s">
        <v>18</v>
      </c>
      <c r="G6" t="s">
        <v>19</v>
      </c>
      <c r="H6">
        <v>1</v>
      </c>
      <c r="I6" t="s">
        <v>35</v>
      </c>
      <c r="J6" t="s">
        <v>19</v>
      </c>
      <c r="K6">
        <v>0.65</v>
      </c>
      <c r="L6" t="s">
        <v>36</v>
      </c>
      <c r="M6" t="s">
        <v>19</v>
      </c>
      <c r="N6">
        <v>0.88</v>
      </c>
      <c r="O6" t="s">
        <v>37</v>
      </c>
      <c r="P6" t="s">
        <v>19</v>
      </c>
      <c r="Q6">
        <v>0.81100000000000005</v>
      </c>
      <c r="R6" t="s">
        <v>23</v>
      </c>
      <c r="S6">
        <v>4</v>
      </c>
      <c r="U6" s="5"/>
      <c r="V6" s="6">
        <v>0</v>
      </c>
      <c r="W6" s="6">
        <f>COUNTIF($S$2:$S$355,"0")</f>
        <v>0</v>
      </c>
    </row>
    <row r="7" spans="1:23">
      <c r="A7">
        <v>6</v>
      </c>
      <c r="B7" t="s">
        <v>38</v>
      </c>
      <c r="C7">
        <v>752.35799999999995</v>
      </c>
      <c r="D7">
        <v>260</v>
      </c>
      <c r="E7">
        <v>-0.51795323187730002</v>
      </c>
      <c r="F7" t="s">
        <v>18</v>
      </c>
      <c r="G7" t="s">
        <v>19</v>
      </c>
      <c r="H7">
        <v>1</v>
      </c>
      <c r="I7" t="s">
        <v>31</v>
      </c>
      <c r="J7" t="s">
        <v>19</v>
      </c>
      <c r="K7">
        <v>0.97</v>
      </c>
      <c r="L7" t="s">
        <v>32</v>
      </c>
      <c r="M7" t="s">
        <v>19</v>
      </c>
      <c r="N7">
        <v>0.81</v>
      </c>
      <c r="O7" t="s">
        <v>33</v>
      </c>
      <c r="P7" t="s">
        <v>19</v>
      </c>
      <c r="Q7">
        <v>1</v>
      </c>
      <c r="R7" t="s">
        <v>23</v>
      </c>
      <c r="S7">
        <v>4</v>
      </c>
      <c r="U7" s="4"/>
      <c r="V7" s="4"/>
      <c r="W7" s="4">
        <f>SUM(W2:W6)</f>
        <v>354</v>
      </c>
    </row>
    <row r="8" spans="1:23">
      <c r="A8">
        <v>7</v>
      </c>
      <c r="B8" t="s">
        <v>39</v>
      </c>
      <c r="C8">
        <v>540.28809999999999</v>
      </c>
      <c r="D8">
        <v>231.4</v>
      </c>
      <c r="E8">
        <v>-0.68484028552882104</v>
      </c>
      <c r="F8" t="s">
        <v>18</v>
      </c>
      <c r="G8" t="s">
        <v>19</v>
      </c>
      <c r="H8">
        <v>1</v>
      </c>
      <c r="I8" t="s">
        <v>40</v>
      </c>
      <c r="J8" t="s">
        <v>19</v>
      </c>
      <c r="K8">
        <v>0.64</v>
      </c>
      <c r="L8" t="s">
        <v>41</v>
      </c>
      <c r="M8" t="s">
        <v>19</v>
      </c>
      <c r="N8">
        <v>1</v>
      </c>
      <c r="O8" t="s">
        <v>42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43</v>
      </c>
      <c r="C9">
        <v>675.40840000000003</v>
      </c>
      <c r="D9">
        <v>254</v>
      </c>
      <c r="E9">
        <v>-0.65427145536716602</v>
      </c>
      <c r="F9" t="s">
        <v>18</v>
      </c>
      <c r="G9" t="s">
        <v>19</v>
      </c>
      <c r="H9">
        <v>1</v>
      </c>
      <c r="I9" t="s">
        <v>20</v>
      </c>
      <c r="J9" t="s">
        <v>19</v>
      </c>
      <c r="K9">
        <v>0.91</v>
      </c>
      <c r="L9" t="s">
        <v>44</v>
      </c>
      <c r="M9" t="s">
        <v>19</v>
      </c>
      <c r="N9">
        <v>0.96</v>
      </c>
      <c r="O9" t="s">
        <v>45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46</v>
      </c>
      <c r="C10">
        <v>151.0395</v>
      </c>
      <c r="D10">
        <v>126.6</v>
      </c>
      <c r="E10">
        <v>-0.87085655654109895</v>
      </c>
      <c r="F10" t="s">
        <v>18</v>
      </c>
      <c r="G10" t="s">
        <v>19</v>
      </c>
      <c r="H10">
        <v>1</v>
      </c>
      <c r="I10" t="s">
        <v>31</v>
      </c>
      <c r="J10" t="s">
        <v>19</v>
      </c>
      <c r="K10">
        <v>0.7</v>
      </c>
      <c r="L10" t="s">
        <v>32</v>
      </c>
      <c r="M10" t="s">
        <v>19</v>
      </c>
      <c r="N10">
        <v>1</v>
      </c>
      <c r="O10" t="s">
        <v>33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47</v>
      </c>
      <c r="C11">
        <v>760.48689999999999</v>
      </c>
      <c r="D11">
        <v>274.39999999999998</v>
      </c>
      <c r="E11">
        <v>-0.63777689298899498</v>
      </c>
      <c r="F11" t="s">
        <v>18</v>
      </c>
      <c r="G11" t="s">
        <v>19</v>
      </c>
      <c r="H11">
        <v>1</v>
      </c>
      <c r="I11" t="s">
        <v>20</v>
      </c>
      <c r="J11" t="s">
        <v>19</v>
      </c>
      <c r="K11">
        <v>0.99</v>
      </c>
      <c r="L11" t="s">
        <v>48</v>
      </c>
      <c r="M11" t="s">
        <v>19</v>
      </c>
      <c r="N11">
        <v>1</v>
      </c>
      <c r="O11" t="s">
        <v>49</v>
      </c>
      <c r="P11" t="s">
        <v>19</v>
      </c>
      <c r="Q11">
        <v>0.94399999999999995</v>
      </c>
      <c r="R11" t="s">
        <v>23</v>
      </c>
      <c r="S11">
        <v>4</v>
      </c>
    </row>
    <row r="12" spans="1:23">
      <c r="A12">
        <v>11</v>
      </c>
      <c r="B12" t="s">
        <v>50</v>
      </c>
      <c r="C12">
        <v>524.33519999999999</v>
      </c>
      <c r="D12">
        <v>235.4</v>
      </c>
      <c r="E12">
        <v>-0.74975252662568403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1</v>
      </c>
      <c r="L12" t="s">
        <v>48</v>
      </c>
      <c r="M12" t="s">
        <v>19</v>
      </c>
      <c r="N12">
        <v>1</v>
      </c>
      <c r="O12" t="s">
        <v>49</v>
      </c>
      <c r="P12" t="s">
        <v>19</v>
      </c>
      <c r="Q12">
        <v>0.63100000000000001</v>
      </c>
      <c r="R12" t="s">
        <v>23</v>
      </c>
      <c r="S12">
        <v>4</v>
      </c>
    </row>
    <row r="13" spans="1:23">
      <c r="A13">
        <v>12</v>
      </c>
      <c r="B13" t="s">
        <v>51</v>
      </c>
      <c r="C13">
        <v>968.48410000000001</v>
      </c>
      <c r="D13">
        <v>302.3</v>
      </c>
      <c r="E13">
        <v>-0.40273722033509801</v>
      </c>
      <c r="F13" t="s">
        <v>18</v>
      </c>
      <c r="G13" t="s">
        <v>19</v>
      </c>
      <c r="H13">
        <v>1</v>
      </c>
      <c r="I13" t="s">
        <v>31</v>
      </c>
      <c r="J13" t="s">
        <v>19</v>
      </c>
      <c r="K13">
        <v>0.87</v>
      </c>
      <c r="L13" t="s">
        <v>32</v>
      </c>
      <c r="M13" t="s">
        <v>19</v>
      </c>
      <c r="N13">
        <v>0.96</v>
      </c>
      <c r="O13" t="s">
        <v>33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52</v>
      </c>
      <c r="C14">
        <v>202.0668</v>
      </c>
      <c r="D14">
        <v>143.69999999999999</v>
      </c>
      <c r="E14">
        <v>-0.84118192684215398</v>
      </c>
      <c r="F14" t="s">
        <v>18</v>
      </c>
      <c r="G14" t="s">
        <v>19</v>
      </c>
      <c r="H14">
        <v>1</v>
      </c>
      <c r="I14" t="s">
        <v>40</v>
      </c>
      <c r="J14" t="s">
        <v>19</v>
      </c>
      <c r="K14">
        <v>0.86</v>
      </c>
      <c r="L14" t="s">
        <v>41</v>
      </c>
      <c r="M14" t="s">
        <v>19</v>
      </c>
      <c r="N14">
        <v>1</v>
      </c>
      <c r="O14" t="s">
        <v>42</v>
      </c>
      <c r="P14" t="s">
        <v>19</v>
      </c>
      <c r="Q14">
        <v>0.999</v>
      </c>
      <c r="R14" t="s">
        <v>23</v>
      </c>
      <c r="S14">
        <v>4</v>
      </c>
    </row>
    <row r="15" spans="1:23">
      <c r="A15">
        <v>14</v>
      </c>
      <c r="B15" t="s">
        <v>53</v>
      </c>
      <c r="C15">
        <v>870.52369999999996</v>
      </c>
      <c r="D15">
        <v>294.3</v>
      </c>
      <c r="E15">
        <v>-0.55171509286913101</v>
      </c>
      <c r="F15" t="s">
        <v>18</v>
      </c>
      <c r="G15" t="s">
        <v>19</v>
      </c>
      <c r="H15">
        <v>1</v>
      </c>
      <c r="I15" t="s">
        <v>20</v>
      </c>
      <c r="J15" t="s">
        <v>19</v>
      </c>
      <c r="K15">
        <v>1</v>
      </c>
      <c r="L15" t="s">
        <v>48</v>
      </c>
      <c r="M15" t="s">
        <v>19</v>
      </c>
      <c r="N15">
        <v>1</v>
      </c>
      <c r="O15" t="s">
        <v>54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55</v>
      </c>
      <c r="C16">
        <v>1362.0179000000001</v>
      </c>
      <c r="D16">
        <v>211.3</v>
      </c>
      <c r="E16">
        <v>-0.49713630104270101</v>
      </c>
      <c r="F16" t="s">
        <v>56</v>
      </c>
      <c r="G16" t="s">
        <v>19</v>
      </c>
      <c r="H16">
        <v>0.998</v>
      </c>
      <c r="I16" t="s">
        <v>57</v>
      </c>
      <c r="J16" t="s">
        <v>19</v>
      </c>
      <c r="K16">
        <v>0.96</v>
      </c>
      <c r="L16" t="s">
        <v>58</v>
      </c>
      <c r="M16" t="s">
        <v>19</v>
      </c>
      <c r="N16">
        <v>1</v>
      </c>
      <c r="O16" t="s">
        <v>59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60</v>
      </c>
      <c r="C17">
        <v>804.51310000000001</v>
      </c>
      <c r="D17">
        <v>284.60000000000002</v>
      </c>
      <c r="E17">
        <v>-0.61481935492497497</v>
      </c>
      <c r="F17" t="s">
        <v>18</v>
      </c>
      <c r="G17" t="s">
        <v>19</v>
      </c>
      <c r="H17">
        <v>1</v>
      </c>
      <c r="I17" t="s">
        <v>20</v>
      </c>
      <c r="J17" t="s">
        <v>19</v>
      </c>
      <c r="K17">
        <v>1</v>
      </c>
      <c r="L17" t="s">
        <v>48</v>
      </c>
      <c r="M17" t="s">
        <v>19</v>
      </c>
      <c r="N17">
        <v>1</v>
      </c>
      <c r="O17" t="s">
        <v>54</v>
      </c>
      <c r="P17" t="s">
        <v>19</v>
      </c>
      <c r="Q17">
        <v>0.64600000000000002</v>
      </c>
      <c r="R17" t="s">
        <v>23</v>
      </c>
      <c r="S17">
        <v>4</v>
      </c>
    </row>
    <row r="18" spans="1:19">
      <c r="A18">
        <v>17</v>
      </c>
      <c r="B18" t="s">
        <v>61</v>
      </c>
      <c r="C18">
        <v>130.0865</v>
      </c>
      <c r="D18">
        <v>127.4</v>
      </c>
      <c r="E18">
        <v>-0.94125166888451905</v>
      </c>
      <c r="F18" t="s">
        <v>18</v>
      </c>
      <c r="G18" t="s">
        <v>19</v>
      </c>
      <c r="H18">
        <v>1</v>
      </c>
      <c r="I18" t="s">
        <v>31</v>
      </c>
      <c r="J18" t="s">
        <v>19</v>
      </c>
      <c r="K18">
        <v>0.99</v>
      </c>
      <c r="L18" t="s">
        <v>32</v>
      </c>
      <c r="M18" t="s">
        <v>19</v>
      </c>
      <c r="N18">
        <v>1</v>
      </c>
      <c r="O18" t="s">
        <v>33</v>
      </c>
      <c r="P18" t="s">
        <v>19</v>
      </c>
      <c r="Q18">
        <v>1</v>
      </c>
      <c r="R18" t="s">
        <v>23</v>
      </c>
      <c r="S18">
        <v>4</v>
      </c>
    </row>
    <row r="19" spans="1:19">
      <c r="A19">
        <v>18</v>
      </c>
      <c r="B19" t="s">
        <v>62</v>
      </c>
      <c r="C19">
        <v>689.37300000000005</v>
      </c>
      <c r="D19">
        <v>255.7</v>
      </c>
      <c r="E19">
        <v>-0.60327925444937602</v>
      </c>
      <c r="F19" t="s">
        <v>18</v>
      </c>
      <c r="G19" t="s">
        <v>19</v>
      </c>
      <c r="H19">
        <v>1</v>
      </c>
      <c r="I19" t="s">
        <v>31</v>
      </c>
      <c r="J19" t="s">
        <v>19</v>
      </c>
      <c r="K19">
        <v>0.96</v>
      </c>
      <c r="L19" t="s">
        <v>32</v>
      </c>
      <c r="M19" t="s">
        <v>19</v>
      </c>
      <c r="N19">
        <v>1</v>
      </c>
      <c r="O19" t="s">
        <v>33</v>
      </c>
      <c r="P19" t="s">
        <v>19</v>
      </c>
      <c r="Q19">
        <v>1</v>
      </c>
      <c r="R19" t="s">
        <v>23</v>
      </c>
      <c r="S19">
        <v>4</v>
      </c>
    </row>
    <row r="20" spans="1:19">
      <c r="A20">
        <v>19</v>
      </c>
      <c r="B20" t="s">
        <v>63</v>
      </c>
      <c r="C20">
        <v>262.9708</v>
      </c>
      <c r="D20">
        <v>152.4</v>
      </c>
      <c r="E20">
        <v>-0.67717944881212599</v>
      </c>
      <c r="F20" t="s">
        <v>18</v>
      </c>
      <c r="G20" t="s">
        <v>19</v>
      </c>
      <c r="H20">
        <v>1</v>
      </c>
      <c r="I20" t="s">
        <v>35</v>
      </c>
      <c r="J20" t="s">
        <v>19</v>
      </c>
      <c r="K20">
        <v>0.8</v>
      </c>
      <c r="L20" t="s">
        <v>36</v>
      </c>
      <c r="M20" t="s">
        <v>19</v>
      </c>
      <c r="N20">
        <v>0.95</v>
      </c>
      <c r="O20" t="s">
        <v>64</v>
      </c>
      <c r="P20" t="s">
        <v>19</v>
      </c>
      <c r="Q20">
        <v>0.44500000000000001</v>
      </c>
      <c r="R20" t="s">
        <v>23</v>
      </c>
      <c r="S20">
        <v>4</v>
      </c>
    </row>
    <row r="21" spans="1:19">
      <c r="A21">
        <v>20</v>
      </c>
      <c r="B21" t="s">
        <v>65</v>
      </c>
      <c r="C21">
        <v>244.08160000000001</v>
      </c>
      <c r="D21">
        <v>150</v>
      </c>
      <c r="E21">
        <v>-0.80907022130662698</v>
      </c>
      <c r="F21" t="s">
        <v>18</v>
      </c>
      <c r="G21" t="s">
        <v>19</v>
      </c>
      <c r="H21">
        <v>1</v>
      </c>
      <c r="I21" t="s">
        <v>40</v>
      </c>
      <c r="J21" t="s">
        <v>19</v>
      </c>
      <c r="K21">
        <v>0.91</v>
      </c>
      <c r="L21" t="s">
        <v>41</v>
      </c>
      <c r="M21" t="s">
        <v>19</v>
      </c>
      <c r="N21">
        <v>1</v>
      </c>
      <c r="O21" t="s">
        <v>42</v>
      </c>
      <c r="P21" t="s">
        <v>19</v>
      </c>
      <c r="Q21">
        <v>0.95199999999999996</v>
      </c>
      <c r="R21" t="s">
        <v>23</v>
      </c>
      <c r="S21">
        <v>4</v>
      </c>
    </row>
    <row r="22" spans="1:19">
      <c r="A22">
        <v>21</v>
      </c>
      <c r="B22" t="s">
        <v>66</v>
      </c>
      <c r="C22">
        <v>1072.2494999999999</v>
      </c>
      <c r="D22">
        <v>215.5</v>
      </c>
      <c r="E22">
        <v>-5.2277763915299098E-2</v>
      </c>
      <c r="F22" t="s">
        <v>56</v>
      </c>
      <c r="G22" t="s">
        <v>19</v>
      </c>
      <c r="H22">
        <v>0.90600000000000003</v>
      </c>
      <c r="I22" t="s">
        <v>57</v>
      </c>
      <c r="J22" t="s">
        <v>19</v>
      </c>
      <c r="K22">
        <v>0.98</v>
      </c>
      <c r="L22" t="s">
        <v>58</v>
      </c>
      <c r="M22" t="s">
        <v>19</v>
      </c>
      <c r="N22">
        <v>1</v>
      </c>
      <c r="O22" t="s">
        <v>59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67</v>
      </c>
      <c r="C23">
        <v>173.04259999999999</v>
      </c>
      <c r="D23">
        <v>135.80000000000001</v>
      </c>
      <c r="E23">
        <v>-0.84938895302829598</v>
      </c>
      <c r="F23" t="s">
        <v>18</v>
      </c>
      <c r="G23" t="s">
        <v>19</v>
      </c>
      <c r="H23">
        <v>1</v>
      </c>
      <c r="I23" t="s">
        <v>40</v>
      </c>
      <c r="J23" t="s">
        <v>19</v>
      </c>
      <c r="K23">
        <v>0.99</v>
      </c>
      <c r="L23" t="s">
        <v>41</v>
      </c>
      <c r="M23" t="s">
        <v>19</v>
      </c>
      <c r="N23">
        <v>1</v>
      </c>
      <c r="O23" t="s">
        <v>42</v>
      </c>
      <c r="P23" t="s">
        <v>19</v>
      </c>
      <c r="Q23">
        <v>0.98599999999999999</v>
      </c>
      <c r="R23" t="s">
        <v>23</v>
      </c>
      <c r="S23">
        <v>4</v>
      </c>
    </row>
    <row r="24" spans="1:19">
      <c r="A24">
        <v>23</v>
      </c>
      <c r="B24" t="s">
        <v>68</v>
      </c>
      <c r="C24">
        <v>288.20400000000001</v>
      </c>
      <c r="D24">
        <v>172.1</v>
      </c>
      <c r="E24">
        <v>-0.88220527094813395</v>
      </c>
      <c r="F24" t="s">
        <v>18</v>
      </c>
      <c r="G24" t="s">
        <v>19</v>
      </c>
      <c r="H24">
        <v>1</v>
      </c>
      <c r="I24" t="s">
        <v>31</v>
      </c>
      <c r="J24" t="s">
        <v>19</v>
      </c>
      <c r="K24">
        <v>0.6</v>
      </c>
      <c r="L24" t="s">
        <v>32</v>
      </c>
      <c r="M24" t="s">
        <v>19</v>
      </c>
      <c r="N24">
        <v>0.92</v>
      </c>
      <c r="O24" t="s">
        <v>33</v>
      </c>
      <c r="P24" t="s">
        <v>19</v>
      </c>
      <c r="Q24">
        <v>1</v>
      </c>
      <c r="R24" t="s">
        <v>23</v>
      </c>
      <c r="S24">
        <v>4</v>
      </c>
    </row>
    <row r="25" spans="1:19">
      <c r="A25">
        <v>24</v>
      </c>
      <c r="B25" t="s">
        <v>69</v>
      </c>
      <c r="C25">
        <v>351.21710000000002</v>
      </c>
      <c r="D25">
        <v>189.4</v>
      </c>
      <c r="E25">
        <v>-0.82494787326726304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1</v>
      </c>
      <c r="L25" t="s">
        <v>44</v>
      </c>
      <c r="M25" t="s">
        <v>19</v>
      </c>
      <c r="N25">
        <v>0.92</v>
      </c>
      <c r="O25" t="s">
        <v>70</v>
      </c>
      <c r="P25" t="s">
        <v>19</v>
      </c>
      <c r="Q25">
        <v>0.93899999999999995</v>
      </c>
      <c r="R25" t="s">
        <v>23</v>
      </c>
      <c r="S25">
        <v>4</v>
      </c>
    </row>
    <row r="26" spans="1:19">
      <c r="A26">
        <v>25</v>
      </c>
      <c r="B26" t="s">
        <v>71</v>
      </c>
      <c r="C26">
        <v>466.01080000000002</v>
      </c>
      <c r="D26">
        <v>188.4</v>
      </c>
      <c r="E26">
        <v>-0.49047474732742602</v>
      </c>
      <c r="F26" t="s">
        <v>18</v>
      </c>
      <c r="G26" t="s">
        <v>19</v>
      </c>
      <c r="H26">
        <v>1</v>
      </c>
      <c r="I26" t="s">
        <v>72</v>
      </c>
      <c r="J26" t="s">
        <v>19</v>
      </c>
      <c r="K26">
        <v>0.96</v>
      </c>
      <c r="L26" t="s">
        <v>73</v>
      </c>
      <c r="M26" t="s">
        <v>19</v>
      </c>
      <c r="N26">
        <v>0.89</v>
      </c>
      <c r="O26" t="s">
        <v>74</v>
      </c>
      <c r="P26" t="s">
        <v>19</v>
      </c>
      <c r="Q26">
        <v>0.94799999999999995</v>
      </c>
      <c r="R26" t="s">
        <v>23</v>
      </c>
      <c r="S26">
        <v>4</v>
      </c>
    </row>
    <row r="27" spans="1:19">
      <c r="A27">
        <v>26</v>
      </c>
      <c r="B27" t="s">
        <v>75</v>
      </c>
      <c r="C27">
        <v>733.54729999999995</v>
      </c>
      <c r="D27">
        <v>279.89999999999998</v>
      </c>
      <c r="E27">
        <v>-0.72825635504625597</v>
      </c>
      <c r="F27" t="s">
        <v>18</v>
      </c>
      <c r="G27" t="s">
        <v>19</v>
      </c>
      <c r="H27">
        <v>1</v>
      </c>
      <c r="I27" t="s">
        <v>20</v>
      </c>
      <c r="J27" t="s">
        <v>19</v>
      </c>
      <c r="K27">
        <v>1</v>
      </c>
      <c r="L27" t="s">
        <v>48</v>
      </c>
      <c r="M27" t="s">
        <v>19</v>
      </c>
      <c r="N27">
        <v>0.85</v>
      </c>
      <c r="O27" t="s">
        <v>49</v>
      </c>
      <c r="P27" t="s">
        <v>19</v>
      </c>
      <c r="Q27">
        <v>0.76</v>
      </c>
      <c r="R27" t="s">
        <v>23</v>
      </c>
      <c r="S27">
        <v>4</v>
      </c>
    </row>
    <row r="28" spans="1:19">
      <c r="A28">
        <v>27</v>
      </c>
      <c r="B28" t="s">
        <v>76</v>
      </c>
      <c r="C28">
        <v>138.05279999999999</v>
      </c>
      <c r="D28">
        <v>136.1</v>
      </c>
      <c r="E28">
        <v>-0.89865688133801302</v>
      </c>
      <c r="F28" t="s">
        <v>18</v>
      </c>
      <c r="G28" t="s">
        <v>19</v>
      </c>
      <c r="H28">
        <v>1</v>
      </c>
      <c r="I28" t="s">
        <v>40</v>
      </c>
      <c r="J28" t="s">
        <v>19</v>
      </c>
      <c r="K28">
        <v>0.67</v>
      </c>
      <c r="L28" t="s">
        <v>41</v>
      </c>
      <c r="M28" t="s">
        <v>19</v>
      </c>
      <c r="N28">
        <v>1</v>
      </c>
      <c r="O28" t="s">
        <v>42</v>
      </c>
      <c r="P28" t="s">
        <v>19</v>
      </c>
      <c r="Q28">
        <v>0.94599999999999995</v>
      </c>
      <c r="R28" t="s">
        <v>23</v>
      </c>
      <c r="S28">
        <v>4</v>
      </c>
    </row>
    <row r="29" spans="1:19">
      <c r="A29">
        <v>28</v>
      </c>
      <c r="B29" t="s">
        <v>77</v>
      </c>
      <c r="C29">
        <v>489.11520000000002</v>
      </c>
      <c r="D29">
        <v>197.6</v>
      </c>
      <c r="E29">
        <v>-0.56907748518705104</v>
      </c>
      <c r="F29" t="s">
        <v>18</v>
      </c>
      <c r="G29" t="s">
        <v>19</v>
      </c>
      <c r="H29">
        <v>1</v>
      </c>
      <c r="I29" t="s">
        <v>72</v>
      </c>
      <c r="J29" t="s">
        <v>19</v>
      </c>
      <c r="K29">
        <v>0.66</v>
      </c>
      <c r="L29" t="s">
        <v>78</v>
      </c>
      <c r="M29" t="s">
        <v>19</v>
      </c>
      <c r="N29">
        <v>0.87</v>
      </c>
      <c r="O29" t="s">
        <v>79</v>
      </c>
      <c r="P29" t="s">
        <v>19</v>
      </c>
      <c r="Q29">
        <v>0.99399999999999999</v>
      </c>
      <c r="R29" t="s">
        <v>23</v>
      </c>
      <c r="S29">
        <v>4</v>
      </c>
    </row>
    <row r="30" spans="1:19">
      <c r="A30">
        <v>29</v>
      </c>
      <c r="B30" t="s">
        <v>80</v>
      </c>
      <c r="C30">
        <v>426.02330000000001</v>
      </c>
      <c r="D30">
        <v>180.8</v>
      </c>
      <c r="E30">
        <v>-0.54762286715907704</v>
      </c>
      <c r="F30" t="s">
        <v>18</v>
      </c>
      <c r="G30" t="s">
        <v>19</v>
      </c>
      <c r="H30">
        <v>1</v>
      </c>
      <c r="I30" t="s">
        <v>72</v>
      </c>
      <c r="J30" t="s">
        <v>19</v>
      </c>
      <c r="K30">
        <v>0.79</v>
      </c>
      <c r="L30" t="s">
        <v>73</v>
      </c>
      <c r="M30" t="s">
        <v>19</v>
      </c>
      <c r="N30">
        <v>0.65</v>
      </c>
      <c r="O30" t="s">
        <v>81</v>
      </c>
      <c r="P30" t="s">
        <v>19</v>
      </c>
      <c r="Q30">
        <v>0.64200000000000002</v>
      </c>
      <c r="R30" t="s">
        <v>23</v>
      </c>
      <c r="S30">
        <v>4</v>
      </c>
    </row>
    <row r="31" spans="1:19">
      <c r="A31">
        <v>30</v>
      </c>
      <c r="B31" t="s">
        <v>82</v>
      </c>
      <c r="C31">
        <v>347.2586</v>
      </c>
      <c r="D31">
        <v>200.4</v>
      </c>
      <c r="E31">
        <v>-0.87086774403570599</v>
      </c>
      <c r="F31" t="s">
        <v>18</v>
      </c>
      <c r="G31" t="s">
        <v>19</v>
      </c>
      <c r="H31">
        <v>0.998</v>
      </c>
      <c r="I31" t="s">
        <v>20</v>
      </c>
      <c r="J31" t="s">
        <v>19</v>
      </c>
      <c r="K31">
        <v>0.99</v>
      </c>
      <c r="L31" t="s">
        <v>44</v>
      </c>
      <c r="M31" t="s">
        <v>19</v>
      </c>
      <c r="N31">
        <v>0.92</v>
      </c>
      <c r="O31" t="s">
        <v>45</v>
      </c>
      <c r="P31" t="s">
        <v>19</v>
      </c>
      <c r="Q31">
        <v>0.78500000000000003</v>
      </c>
      <c r="R31" t="s">
        <v>23</v>
      </c>
      <c r="S31">
        <v>4</v>
      </c>
    </row>
    <row r="32" spans="1:19">
      <c r="A32">
        <v>31</v>
      </c>
      <c r="B32" t="s">
        <v>83</v>
      </c>
      <c r="C32">
        <v>189.12389999999999</v>
      </c>
      <c r="D32">
        <v>145.6</v>
      </c>
      <c r="E32">
        <v>-0.91273334666507799</v>
      </c>
      <c r="F32" t="s">
        <v>18</v>
      </c>
      <c r="G32" t="s">
        <v>19</v>
      </c>
      <c r="H32">
        <v>1</v>
      </c>
      <c r="I32" t="s">
        <v>31</v>
      </c>
      <c r="J32" t="s">
        <v>19</v>
      </c>
      <c r="K32">
        <v>0.93</v>
      </c>
      <c r="L32" t="s">
        <v>32</v>
      </c>
      <c r="M32" t="s">
        <v>19</v>
      </c>
      <c r="N32">
        <v>1</v>
      </c>
      <c r="O32" t="s">
        <v>33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84</v>
      </c>
      <c r="C33">
        <v>1286.7108000000001</v>
      </c>
      <c r="D33">
        <v>355.4</v>
      </c>
      <c r="E33">
        <v>-0.27412058800678102</v>
      </c>
      <c r="F33" t="s">
        <v>18</v>
      </c>
      <c r="G33" t="s">
        <v>19</v>
      </c>
      <c r="H33">
        <v>1</v>
      </c>
      <c r="I33" t="s">
        <v>31</v>
      </c>
      <c r="J33" t="s">
        <v>19</v>
      </c>
      <c r="K33">
        <v>1</v>
      </c>
      <c r="L33" t="s">
        <v>32</v>
      </c>
      <c r="M33" t="s">
        <v>19</v>
      </c>
      <c r="N33">
        <v>0.86</v>
      </c>
      <c r="O33" t="s">
        <v>33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85</v>
      </c>
      <c r="C34">
        <v>524.37159999999994</v>
      </c>
      <c r="D34">
        <v>238.8</v>
      </c>
      <c r="E34">
        <v>-0.78611188413583499</v>
      </c>
      <c r="F34" t="s">
        <v>18</v>
      </c>
      <c r="G34" t="s">
        <v>19</v>
      </c>
      <c r="H34">
        <v>1</v>
      </c>
      <c r="I34" t="s">
        <v>20</v>
      </c>
      <c r="J34" t="s">
        <v>19</v>
      </c>
      <c r="K34">
        <v>1</v>
      </c>
      <c r="L34" t="s">
        <v>48</v>
      </c>
      <c r="M34" t="s">
        <v>19</v>
      </c>
      <c r="N34">
        <v>1</v>
      </c>
      <c r="O34" t="s">
        <v>86</v>
      </c>
      <c r="P34" t="s">
        <v>19</v>
      </c>
      <c r="Q34">
        <v>0.999</v>
      </c>
      <c r="R34" t="s">
        <v>23</v>
      </c>
      <c r="S34">
        <v>4</v>
      </c>
    </row>
    <row r="35" spans="1:19">
      <c r="A35">
        <v>34</v>
      </c>
      <c r="B35" t="s">
        <v>87</v>
      </c>
      <c r="C35">
        <v>327.23</v>
      </c>
      <c r="D35">
        <v>179.8</v>
      </c>
      <c r="E35">
        <v>-0.86463071578589301</v>
      </c>
      <c r="F35" t="s">
        <v>18</v>
      </c>
      <c r="G35" t="s">
        <v>19</v>
      </c>
      <c r="H35">
        <v>1</v>
      </c>
      <c r="I35" t="s">
        <v>20</v>
      </c>
      <c r="J35" t="s">
        <v>19</v>
      </c>
      <c r="K35">
        <v>0.97</v>
      </c>
      <c r="L35" t="s">
        <v>44</v>
      </c>
      <c r="M35" t="s">
        <v>19</v>
      </c>
      <c r="N35">
        <v>0.99</v>
      </c>
      <c r="O35" t="s">
        <v>45</v>
      </c>
      <c r="P35" t="s">
        <v>19</v>
      </c>
      <c r="Q35">
        <v>0.90300000000000002</v>
      </c>
      <c r="R35" t="s">
        <v>23</v>
      </c>
      <c r="S35">
        <v>4</v>
      </c>
    </row>
    <row r="36" spans="1:19">
      <c r="A36">
        <v>35</v>
      </c>
      <c r="B36" t="s">
        <v>88</v>
      </c>
      <c r="C36">
        <v>157.0249</v>
      </c>
      <c r="D36">
        <v>138</v>
      </c>
      <c r="E36">
        <v>-0.84957354668949803</v>
      </c>
      <c r="F36" t="s">
        <v>18</v>
      </c>
      <c r="G36" t="s">
        <v>19</v>
      </c>
      <c r="H36">
        <v>1</v>
      </c>
      <c r="I36" t="s">
        <v>89</v>
      </c>
      <c r="J36" t="s">
        <v>19</v>
      </c>
      <c r="K36">
        <v>0.85</v>
      </c>
      <c r="L36" t="s">
        <v>90</v>
      </c>
      <c r="M36" t="s">
        <v>19</v>
      </c>
      <c r="N36">
        <v>0.63</v>
      </c>
      <c r="O36" t="s">
        <v>91</v>
      </c>
      <c r="P36" t="s">
        <v>19</v>
      </c>
      <c r="Q36">
        <v>0.999</v>
      </c>
      <c r="R36" t="s">
        <v>23</v>
      </c>
      <c r="S36">
        <v>4</v>
      </c>
    </row>
    <row r="37" spans="1:19">
      <c r="A37">
        <v>36</v>
      </c>
      <c r="B37" t="s">
        <v>92</v>
      </c>
      <c r="C37">
        <v>1036.5788</v>
      </c>
      <c r="D37">
        <v>315.89999999999998</v>
      </c>
      <c r="E37">
        <v>-0.42140595242631201</v>
      </c>
      <c r="F37" t="s">
        <v>18</v>
      </c>
      <c r="G37" t="s">
        <v>19</v>
      </c>
      <c r="H37">
        <v>1</v>
      </c>
      <c r="I37" t="s">
        <v>31</v>
      </c>
      <c r="J37" t="s">
        <v>19</v>
      </c>
      <c r="K37">
        <v>1</v>
      </c>
      <c r="L37" t="s">
        <v>32</v>
      </c>
      <c r="M37" t="s">
        <v>19</v>
      </c>
      <c r="N37">
        <v>0.99</v>
      </c>
      <c r="O37" t="s">
        <v>33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39</v>
      </c>
      <c r="C38">
        <v>562.27</v>
      </c>
      <c r="D38">
        <v>221</v>
      </c>
      <c r="E38">
        <v>-0.64219635291669896</v>
      </c>
      <c r="F38" t="s">
        <v>18</v>
      </c>
      <c r="G38" t="s">
        <v>19</v>
      </c>
      <c r="H38">
        <v>1</v>
      </c>
      <c r="I38" t="s">
        <v>40</v>
      </c>
      <c r="J38" t="s">
        <v>19</v>
      </c>
      <c r="K38">
        <v>0.61</v>
      </c>
      <c r="L38" t="s">
        <v>41</v>
      </c>
      <c r="M38" t="s">
        <v>19</v>
      </c>
      <c r="N38">
        <v>1</v>
      </c>
      <c r="O38" t="s">
        <v>42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93</v>
      </c>
      <c r="C39">
        <v>896.76829999999995</v>
      </c>
      <c r="D39">
        <v>318.8</v>
      </c>
      <c r="E39">
        <v>-0.76701163439497599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1</v>
      </c>
      <c r="L39" t="s">
        <v>21</v>
      </c>
      <c r="M39" t="s">
        <v>19</v>
      </c>
      <c r="N39">
        <v>0.92</v>
      </c>
      <c r="O39" t="s">
        <v>25</v>
      </c>
      <c r="P39" t="s">
        <v>19</v>
      </c>
      <c r="Q39">
        <v>0.995</v>
      </c>
      <c r="R39" t="s">
        <v>23</v>
      </c>
      <c r="S39">
        <v>4</v>
      </c>
    </row>
    <row r="40" spans="1:19">
      <c r="A40">
        <v>39</v>
      </c>
      <c r="B40" t="s">
        <v>94</v>
      </c>
      <c r="C40">
        <v>744.49199999999996</v>
      </c>
      <c r="D40">
        <v>272.7</v>
      </c>
      <c r="E40">
        <v>-0.66073602926644504</v>
      </c>
      <c r="F40" t="s">
        <v>18</v>
      </c>
      <c r="G40" t="s">
        <v>19</v>
      </c>
      <c r="H40">
        <v>1</v>
      </c>
      <c r="I40" t="s">
        <v>20</v>
      </c>
      <c r="J40" t="s">
        <v>19</v>
      </c>
      <c r="K40">
        <v>0.91</v>
      </c>
      <c r="L40" t="s">
        <v>48</v>
      </c>
      <c r="M40" t="s">
        <v>19</v>
      </c>
      <c r="N40">
        <v>1</v>
      </c>
      <c r="O40" t="s">
        <v>49</v>
      </c>
      <c r="P40" t="s">
        <v>19</v>
      </c>
      <c r="Q40">
        <v>0.72899999999999998</v>
      </c>
      <c r="R40" t="s">
        <v>23</v>
      </c>
      <c r="S40">
        <v>4</v>
      </c>
    </row>
    <row r="41" spans="1:19">
      <c r="A41">
        <v>40</v>
      </c>
      <c r="B41" t="s">
        <v>95</v>
      </c>
      <c r="C41">
        <v>304.90609999999998</v>
      </c>
      <c r="D41">
        <v>162</v>
      </c>
      <c r="E41">
        <v>-0.56565650915405297</v>
      </c>
      <c r="F41" t="s">
        <v>18</v>
      </c>
      <c r="G41" t="s">
        <v>19</v>
      </c>
      <c r="H41">
        <v>1</v>
      </c>
      <c r="I41" t="s">
        <v>35</v>
      </c>
      <c r="J41" t="s">
        <v>19</v>
      </c>
      <c r="K41">
        <v>0.99</v>
      </c>
      <c r="L41" t="s">
        <v>36</v>
      </c>
      <c r="M41" t="s">
        <v>19</v>
      </c>
      <c r="N41">
        <v>1</v>
      </c>
      <c r="O41" t="s">
        <v>96</v>
      </c>
      <c r="P41" t="s">
        <v>19</v>
      </c>
      <c r="Q41">
        <v>0.999</v>
      </c>
      <c r="R41" t="s">
        <v>23</v>
      </c>
      <c r="S41">
        <v>4</v>
      </c>
    </row>
    <row r="42" spans="1:19">
      <c r="A42">
        <v>41</v>
      </c>
      <c r="B42" t="s">
        <v>97</v>
      </c>
      <c r="C42">
        <v>213.0446</v>
      </c>
      <c r="D42">
        <v>146.6</v>
      </c>
      <c r="E42">
        <v>-0.80672464319383197</v>
      </c>
      <c r="F42" t="s">
        <v>18</v>
      </c>
      <c r="G42" t="s">
        <v>19</v>
      </c>
      <c r="H42">
        <v>1</v>
      </c>
      <c r="I42" t="s">
        <v>35</v>
      </c>
      <c r="J42" t="s">
        <v>19</v>
      </c>
      <c r="K42">
        <v>0.66</v>
      </c>
      <c r="L42" t="s">
        <v>36</v>
      </c>
      <c r="M42" t="s">
        <v>19</v>
      </c>
      <c r="N42">
        <v>0.99</v>
      </c>
      <c r="O42" t="s">
        <v>98</v>
      </c>
      <c r="P42" t="s">
        <v>19</v>
      </c>
      <c r="Q42">
        <v>0.68799999999999994</v>
      </c>
      <c r="R42" t="s">
        <v>23</v>
      </c>
      <c r="S42">
        <v>4</v>
      </c>
    </row>
    <row r="43" spans="1:19">
      <c r="A43">
        <v>42</v>
      </c>
      <c r="B43" t="s">
        <v>99</v>
      </c>
      <c r="C43">
        <v>876.51570000000004</v>
      </c>
      <c r="D43">
        <v>296.60000000000002</v>
      </c>
      <c r="E43">
        <v>-0.53702471377493999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1</v>
      </c>
      <c r="L43" t="s">
        <v>48</v>
      </c>
      <c r="M43" t="s">
        <v>19</v>
      </c>
      <c r="N43">
        <v>1</v>
      </c>
      <c r="O43" t="s">
        <v>54</v>
      </c>
      <c r="P43" t="s">
        <v>19</v>
      </c>
      <c r="Q43">
        <v>1</v>
      </c>
      <c r="R43" t="s">
        <v>23</v>
      </c>
      <c r="S43">
        <v>4</v>
      </c>
    </row>
    <row r="44" spans="1:19">
      <c r="A44">
        <v>43</v>
      </c>
      <c r="B44" t="s">
        <v>100</v>
      </c>
      <c r="C44">
        <v>219.077</v>
      </c>
      <c r="D44">
        <v>147</v>
      </c>
      <c r="E44">
        <v>-0.83238915540206904</v>
      </c>
      <c r="F44" t="s">
        <v>18</v>
      </c>
      <c r="G44" t="s">
        <v>19</v>
      </c>
      <c r="H44">
        <v>1</v>
      </c>
      <c r="I44" t="s">
        <v>89</v>
      </c>
      <c r="J44" t="s">
        <v>19</v>
      </c>
      <c r="K44">
        <v>0.84</v>
      </c>
      <c r="L44" t="s">
        <v>101</v>
      </c>
      <c r="M44" t="s">
        <v>19</v>
      </c>
      <c r="N44">
        <v>0.97</v>
      </c>
      <c r="O44" t="s">
        <v>102</v>
      </c>
      <c r="P44" t="s">
        <v>19</v>
      </c>
      <c r="Q44">
        <v>0.57999999999999996</v>
      </c>
      <c r="R44" t="s">
        <v>23</v>
      </c>
      <c r="S44">
        <v>4</v>
      </c>
    </row>
    <row r="45" spans="1:19">
      <c r="A45">
        <v>44</v>
      </c>
      <c r="B45" t="s">
        <v>103</v>
      </c>
      <c r="C45">
        <v>455.85610000000003</v>
      </c>
      <c r="D45">
        <v>165.2</v>
      </c>
      <c r="E45">
        <v>-0.34711299709186999</v>
      </c>
      <c r="F45" t="s">
        <v>18</v>
      </c>
      <c r="G45" t="s">
        <v>19</v>
      </c>
      <c r="H45">
        <v>0.96399999999999997</v>
      </c>
      <c r="I45" t="s">
        <v>31</v>
      </c>
      <c r="J45" t="s">
        <v>19</v>
      </c>
      <c r="K45">
        <v>0.74</v>
      </c>
      <c r="L45" t="s">
        <v>32</v>
      </c>
      <c r="M45" t="s">
        <v>19</v>
      </c>
      <c r="N45">
        <v>0.99</v>
      </c>
      <c r="O45" t="s">
        <v>33</v>
      </c>
      <c r="P45" t="s">
        <v>19</v>
      </c>
      <c r="Q45">
        <v>1</v>
      </c>
      <c r="R45" t="s">
        <v>23</v>
      </c>
      <c r="S45">
        <v>4</v>
      </c>
    </row>
    <row r="46" spans="1:19">
      <c r="A46">
        <v>45</v>
      </c>
      <c r="B46" t="s">
        <v>104</v>
      </c>
      <c r="C46">
        <v>167.99719999999999</v>
      </c>
      <c r="D46">
        <v>123.3</v>
      </c>
      <c r="E46">
        <v>-0.80962240407672004</v>
      </c>
      <c r="F46" t="s">
        <v>18</v>
      </c>
      <c r="G46" t="s">
        <v>19</v>
      </c>
      <c r="H46">
        <v>1</v>
      </c>
      <c r="I46" t="s">
        <v>31</v>
      </c>
      <c r="J46" t="s">
        <v>19</v>
      </c>
      <c r="K46">
        <v>0.78</v>
      </c>
      <c r="L46" t="s">
        <v>32</v>
      </c>
      <c r="M46" t="s">
        <v>19</v>
      </c>
      <c r="N46">
        <v>1</v>
      </c>
      <c r="O46" t="s">
        <v>33</v>
      </c>
      <c r="P46" t="s">
        <v>19</v>
      </c>
      <c r="Q46">
        <v>0.76300000000000001</v>
      </c>
      <c r="R46" t="s">
        <v>23</v>
      </c>
      <c r="S46">
        <v>4</v>
      </c>
    </row>
    <row r="47" spans="1:19">
      <c r="A47">
        <v>46</v>
      </c>
      <c r="B47" t="s">
        <v>105</v>
      </c>
      <c r="C47">
        <v>174.0898</v>
      </c>
      <c r="D47">
        <v>135.5</v>
      </c>
      <c r="E47">
        <v>-0.89541969985947401</v>
      </c>
      <c r="F47" t="s">
        <v>18</v>
      </c>
      <c r="G47" t="s">
        <v>19</v>
      </c>
      <c r="H47">
        <v>1</v>
      </c>
      <c r="I47" t="s">
        <v>31</v>
      </c>
      <c r="J47" t="s">
        <v>19</v>
      </c>
      <c r="K47">
        <v>0.77</v>
      </c>
      <c r="L47" t="s">
        <v>32</v>
      </c>
      <c r="M47" t="s">
        <v>19</v>
      </c>
      <c r="N47">
        <v>1</v>
      </c>
      <c r="O47" t="s">
        <v>33</v>
      </c>
      <c r="P47" t="s">
        <v>19</v>
      </c>
      <c r="Q47">
        <v>1</v>
      </c>
      <c r="R47" t="s">
        <v>23</v>
      </c>
      <c r="S47">
        <v>4</v>
      </c>
    </row>
    <row r="48" spans="1:19">
      <c r="A48">
        <v>47</v>
      </c>
      <c r="B48" t="s">
        <v>106</v>
      </c>
      <c r="C48">
        <v>1111.6389999999999</v>
      </c>
      <c r="D48">
        <v>328.9</v>
      </c>
      <c r="E48">
        <v>-0.397797342130843</v>
      </c>
      <c r="F48" t="s">
        <v>18</v>
      </c>
      <c r="G48" t="s">
        <v>19</v>
      </c>
      <c r="H48">
        <v>0.996</v>
      </c>
      <c r="I48" t="s">
        <v>31</v>
      </c>
      <c r="J48" t="s">
        <v>19</v>
      </c>
      <c r="K48">
        <v>1</v>
      </c>
      <c r="L48" t="s">
        <v>107</v>
      </c>
      <c r="M48" t="s">
        <v>19</v>
      </c>
      <c r="N48">
        <v>0.82</v>
      </c>
      <c r="O48" t="s">
        <v>108</v>
      </c>
      <c r="P48" t="s">
        <v>19</v>
      </c>
      <c r="Q48">
        <v>0.97499999999999998</v>
      </c>
      <c r="R48" t="s">
        <v>23</v>
      </c>
      <c r="S48">
        <v>4</v>
      </c>
    </row>
    <row r="49" spans="1:19">
      <c r="A49">
        <v>48</v>
      </c>
      <c r="B49" t="s">
        <v>109</v>
      </c>
      <c r="C49">
        <v>146.11859999999999</v>
      </c>
      <c r="D49">
        <v>129.19999999999999</v>
      </c>
      <c r="E49">
        <v>-0.95545099687566903</v>
      </c>
      <c r="F49" t="s">
        <v>18</v>
      </c>
      <c r="G49" t="s">
        <v>19</v>
      </c>
      <c r="H49">
        <v>1</v>
      </c>
      <c r="I49" t="s">
        <v>110</v>
      </c>
      <c r="J49" t="s">
        <v>19</v>
      </c>
      <c r="K49">
        <v>0.69</v>
      </c>
      <c r="L49" t="s">
        <v>111</v>
      </c>
      <c r="M49" t="s">
        <v>19</v>
      </c>
      <c r="N49">
        <v>1</v>
      </c>
      <c r="O49" t="s">
        <v>112</v>
      </c>
      <c r="P49" t="s">
        <v>19</v>
      </c>
      <c r="Q49">
        <v>0.61499999999999999</v>
      </c>
      <c r="R49" t="s">
        <v>23</v>
      </c>
      <c r="S49">
        <v>4</v>
      </c>
    </row>
    <row r="50" spans="1:19">
      <c r="A50">
        <v>49</v>
      </c>
      <c r="B50" t="s">
        <v>113</v>
      </c>
      <c r="C50">
        <v>181.071</v>
      </c>
      <c r="D50">
        <v>131.9</v>
      </c>
      <c r="E50">
        <v>-0.86882482760768198</v>
      </c>
      <c r="F50" t="s">
        <v>18</v>
      </c>
      <c r="G50" t="s">
        <v>19</v>
      </c>
      <c r="H50">
        <v>1</v>
      </c>
      <c r="I50" t="s">
        <v>40</v>
      </c>
      <c r="J50" t="s">
        <v>19</v>
      </c>
      <c r="K50">
        <v>0.91</v>
      </c>
      <c r="L50" t="s">
        <v>41</v>
      </c>
      <c r="M50" t="s">
        <v>19</v>
      </c>
      <c r="N50">
        <v>1</v>
      </c>
      <c r="O50" t="s">
        <v>42</v>
      </c>
      <c r="P50" t="s">
        <v>19</v>
      </c>
      <c r="Q50">
        <v>0.96299999999999997</v>
      </c>
      <c r="R50" t="s">
        <v>23</v>
      </c>
      <c r="S50">
        <v>4</v>
      </c>
    </row>
    <row r="51" spans="1:19">
      <c r="A51">
        <v>50</v>
      </c>
      <c r="B51" t="s">
        <v>114</v>
      </c>
      <c r="C51">
        <v>130.08680000000001</v>
      </c>
      <c r="D51">
        <v>132.69999999999999</v>
      </c>
      <c r="E51">
        <v>-0.94155133391893697</v>
      </c>
      <c r="F51" t="s">
        <v>18</v>
      </c>
      <c r="G51" t="s">
        <v>19</v>
      </c>
      <c r="H51">
        <v>1</v>
      </c>
      <c r="I51" t="s">
        <v>31</v>
      </c>
      <c r="J51" t="s">
        <v>19</v>
      </c>
      <c r="K51">
        <v>1</v>
      </c>
      <c r="L51" t="s">
        <v>32</v>
      </c>
      <c r="M51" t="s">
        <v>19</v>
      </c>
      <c r="N51">
        <v>1</v>
      </c>
      <c r="O51" t="s">
        <v>33</v>
      </c>
      <c r="P51" t="s">
        <v>19</v>
      </c>
      <c r="Q51">
        <v>1</v>
      </c>
      <c r="R51" t="s">
        <v>23</v>
      </c>
      <c r="S51">
        <v>4</v>
      </c>
    </row>
    <row r="52" spans="1:19">
      <c r="A52">
        <v>51</v>
      </c>
      <c r="B52" t="s">
        <v>115</v>
      </c>
      <c r="C52">
        <v>538.38720000000001</v>
      </c>
      <c r="D52">
        <v>240.5</v>
      </c>
      <c r="E52">
        <v>-0.78606273907018898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1</v>
      </c>
      <c r="L52" t="s">
        <v>48</v>
      </c>
      <c r="M52" t="s">
        <v>19</v>
      </c>
      <c r="N52">
        <v>1</v>
      </c>
      <c r="O52" t="s">
        <v>86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52</v>
      </c>
      <c r="B53" t="s">
        <v>116</v>
      </c>
      <c r="C53">
        <v>182.04310000000001</v>
      </c>
      <c r="D53">
        <v>134.30000000000001</v>
      </c>
      <c r="E53">
        <v>-0.83983942748795903</v>
      </c>
      <c r="F53" t="s">
        <v>18</v>
      </c>
      <c r="G53" t="s">
        <v>19</v>
      </c>
      <c r="H53">
        <v>1</v>
      </c>
      <c r="I53" t="s">
        <v>31</v>
      </c>
      <c r="J53" t="s">
        <v>19</v>
      </c>
      <c r="K53">
        <v>0.81</v>
      </c>
      <c r="L53" t="s">
        <v>32</v>
      </c>
      <c r="M53" t="s">
        <v>19</v>
      </c>
      <c r="N53">
        <v>1</v>
      </c>
      <c r="O53" t="s">
        <v>33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117</v>
      </c>
      <c r="C54">
        <v>255.11019999999999</v>
      </c>
      <c r="D54">
        <v>157.5</v>
      </c>
      <c r="E54">
        <v>-0.82535621682080795</v>
      </c>
      <c r="F54" t="s">
        <v>18</v>
      </c>
      <c r="G54" t="s">
        <v>19</v>
      </c>
      <c r="H54">
        <v>1</v>
      </c>
      <c r="I54" t="s">
        <v>89</v>
      </c>
      <c r="J54" t="s">
        <v>19</v>
      </c>
      <c r="K54">
        <v>0.65</v>
      </c>
      <c r="L54" t="s">
        <v>101</v>
      </c>
      <c r="M54" t="s">
        <v>19</v>
      </c>
      <c r="N54">
        <v>0.64</v>
      </c>
      <c r="O54" t="s">
        <v>118</v>
      </c>
      <c r="P54" t="s">
        <v>19</v>
      </c>
      <c r="Q54">
        <v>0.83499999999999996</v>
      </c>
      <c r="R54" t="s">
        <v>23</v>
      </c>
      <c r="S54">
        <v>4</v>
      </c>
    </row>
    <row r="55" spans="1:19">
      <c r="A55">
        <v>54</v>
      </c>
      <c r="B55" t="s">
        <v>119</v>
      </c>
      <c r="C55">
        <v>789.68489999999997</v>
      </c>
      <c r="D55">
        <v>300.8</v>
      </c>
      <c r="E55">
        <v>-0.80317581007943795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1</v>
      </c>
      <c r="L55" t="s">
        <v>21</v>
      </c>
      <c r="M55" t="s">
        <v>19</v>
      </c>
      <c r="N55">
        <v>0.93</v>
      </c>
      <c r="O55" t="s">
        <v>22</v>
      </c>
      <c r="P55" t="s">
        <v>19</v>
      </c>
      <c r="Q55">
        <v>0.68600000000000005</v>
      </c>
      <c r="R55" t="s">
        <v>23</v>
      </c>
      <c r="S55">
        <v>4</v>
      </c>
    </row>
    <row r="56" spans="1:19">
      <c r="A56">
        <v>55</v>
      </c>
      <c r="B56" t="s">
        <v>120</v>
      </c>
      <c r="C56">
        <v>230.07820000000001</v>
      </c>
      <c r="D56">
        <v>149.6</v>
      </c>
      <c r="E56">
        <v>-0.82130574443885995</v>
      </c>
      <c r="F56" t="s">
        <v>18</v>
      </c>
      <c r="G56" t="s">
        <v>19</v>
      </c>
      <c r="H56">
        <v>1</v>
      </c>
      <c r="I56" t="s">
        <v>31</v>
      </c>
      <c r="J56" t="s">
        <v>19</v>
      </c>
      <c r="K56">
        <v>0.75</v>
      </c>
      <c r="L56" t="s">
        <v>32</v>
      </c>
      <c r="M56" t="s">
        <v>19</v>
      </c>
      <c r="N56">
        <v>0.99</v>
      </c>
      <c r="O56" t="s">
        <v>33</v>
      </c>
      <c r="P56" t="s">
        <v>19</v>
      </c>
      <c r="Q56">
        <v>0.996</v>
      </c>
      <c r="R56" t="s">
        <v>23</v>
      </c>
      <c r="S56">
        <v>4</v>
      </c>
    </row>
    <row r="57" spans="1:19">
      <c r="A57">
        <v>56</v>
      </c>
      <c r="B57" t="s">
        <v>121</v>
      </c>
      <c r="C57">
        <v>104.0712</v>
      </c>
      <c r="D57">
        <v>123.1</v>
      </c>
      <c r="E57">
        <v>-0.95499910200378202</v>
      </c>
      <c r="F57" t="s">
        <v>18</v>
      </c>
      <c r="G57" t="s">
        <v>19</v>
      </c>
      <c r="H57">
        <v>1</v>
      </c>
      <c r="I57" t="s">
        <v>31</v>
      </c>
      <c r="J57" t="s">
        <v>19</v>
      </c>
      <c r="K57">
        <v>0.99</v>
      </c>
      <c r="L57" t="s">
        <v>32</v>
      </c>
      <c r="M57" t="s">
        <v>19</v>
      </c>
      <c r="N57">
        <v>1</v>
      </c>
      <c r="O57" t="s">
        <v>33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122</v>
      </c>
      <c r="C58">
        <v>860.69550000000004</v>
      </c>
      <c r="D58">
        <v>307.5</v>
      </c>
      <c r="E58">
        <v>-0.73448878843225895</v>
      </c>
      <c r="F58" t="s">
        <v>18</v>
      </c>
      <c r="G58" t="s">
        <v>19</v>
      </c>
      <c r="H58">
        <v>1</v>
      </c>
      <c r="I58" t="s">
        <v>20</v>
      </c>
      <c r="J58" t="s">
        <v>19</v>
      </c>
      <c r="K58">
        <v>1</v>
      </c>
      <c r="L58" t="s">
        <v>21</v>
      </c>
      <c r="M58" t="s">
        <v>19</v>
      </c>
      <c r="N58">
        <v>1</v>
      </c>
      <c r="O58" t="s">
        <v>25</v>
      </c>
      <c r="P58" t="s">
        <v>19</v>
      </c>
      <c r="Q58">
        <v>0.746</v>
      </c>
      <c r="R58" t="s">
        <v>23</v>
      </c>
      <c r="S58">
        <v>4</v>
      </c>
    </row>
    <row r="59" spans="1:19">
      <c r="A59">
        <v>58</v>
      </c>
      <c r="B59" t="s">
        <v>123</v>
      </c>
      <c r="C59">
        <v>185.08959999999999</v>
      </c>
      <c r="D59">
        <v>137.69999999999999</v>
      </c>
      <c r="E59">
        <v>-0.88293785206894904</v>
      </c>
      <c r="F59" t="s">
        <v>18</v>
      </c>
      <c r="G59" t="s">
        <v>19</v>
      </c>
      <c r="H59">
        <v>1</v>
      </c>
      <c r="I59" t="s">
        <v>31</v>
      </c>
      <c r="J59" t="s">
        <v>19</v>
      </c>
      <c r="K59">
        <v>0.81</v>
      </c>
      <c r="L59" t="s">
        <v>32</v>
      </c>
      <c r="M59" t="s">
        <v>19</v>
      </c>
      <c r="N59">
        <v>1</v>
      </c>
      <c r="O59" t="s">
        <v>33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124</v>
      </c>
      <c r="C60">
        <v>817.65629999999999</v>
      </c>
      <c r="D60">
        <v>305.60000000000002</v>
      </c>
      <c r="E60">
        <v>-0.74334428975282696</v>
      </c>
      <c r="F60" t="s">
        <v>18</v>
      </c>
      <c r="G60" t="s">
        <v>19</v>
      </c>
      <c r="H60">
        <v>1</v>
      </c>
      <c r="I60" t="s">
        <v>20</v>
      </c>
      <c r="J60" t="s">
        <v>19</v>
      </c>
      <c r="K60">
        <v>1</v>
      </c>
      <c r="L60" t="s">
        <v>21</v>
      </c>
      <c r="M60" t="s">
        <v>19</v>
      </c>
      <c r="N60">
        <v>1</v>
      </c>
      <c r="O60" t="s">
        <v>22</v>
      </c>
      <c r="P60" t="s">
        <v>19</v>
      </c>
      <c r="Q60">
        <v>0.79800000000000004</v>
      </c>
      <c r="R60" t="s">
        <v>23</v>
      </c>
      <c r="S60">
        <v>4</v>
      </c>
    </row>
    <row r="61" spans="1:19">
      <c r="A61">
        <v>60</v>
      </c>
      <c r="B61" t="s">
        <v>125</v>
      </c>
      <c r="C61">
        <v>270.94839999999999</v>
      </c>
      <c r="D61">
        <v>155.1</v>
      </c>
      <c r="E61">
        <v>-0.64587204422895195</v>
      </c>
      <c r="F61" t="s">
        <v>18</v>
      </c>
      <c r="G61" t="s">
        <v>19</v>
      </c>
      <c r="H61">
        <v>1</v>
      </c>
      <c r="I61" t="s">
        <v>35</v>
      </c>
      <c r="J61" t="s">
        <v>19</v>
      </c>
      <c r="K61">
        <v>0.95</v>
      </c>
      <c r="L61" t="s">
        <v>36</v>
      </c>
      <c r="M61" t="s">
        <v>19</v>
      </c>
      <c r="N61">
        <v>0.98</v>
      </c>
      <c r="O61" t="s">
        <v>96</v>
      </c>
      <c r="P61" t="s">
        <v>19</v>
      </c>
      <c r="Q61">
        <v>0.95699999999999996</v>
      </c>
      <c r="R61" t="s">
        <v>23</v>
      </c>
      <c r="S61">
        <v>4</v>
      </c>
    </row>
    <row r="62" spans="1:19">
      <c r="A62">
        <v>61</v>
      </c>
      <c r="B62" t="s">
        <v>126</v>
      </c>
      <c r="C62">
        <v>254.01669999999999</v>
      </c>
      <c r="D62">
        <v>150.30000000000001</v>
      </c>
      <c r="E62">
        <v>-0.733077166343435</v>
      </c>
      <c r="F62" t="s">
        <v>18</v>
      </c>
      <c r="G62" t="s">
        <v>19</v>
      </c>
      <c r="H62">
        <v>1</v>
      </c>
      <c r="I62" t="s">
        <v>40</v>
      </c>
      <c r="J62" t="s">
        <v>19</v>
      </c>
      <c r="K62">
        <v>0.96</v>
      </c>
      <c r="L62" t="s">
        <v>41</v>
      </c>
      <c r="M62" t="s">
        <v>19</v>
      </c>
      <c r="N62">
        <v>1</v>
      </c>
      <c r="O62" t="s">
        <v>42</v>
      </c>
      <c r="P62" t="s">
        <v>19</v>
      </c>
      <c r="Q62">
        <v>1</v>
      </c>
      <c r="R62" t="s">
        <v>23</v>
      </c>
      <c r="S62">
        <v>4</v>
      </c>
    </row>
    <row r="63" spans="1:19">
      <c r="A63">
        <v>62</v>
      </c>
      <c r="B63" t="s">
        <v>127</v>
      </c>
      <c r="C63">
        <v>832.61069999999995</v>
      </c>
      <c r="D63">
        <v>296.5</v>
      </c>
      <c r="E63">
        <v>-0.68104692574627301</v>
      </c>
      <c r="F63" t="s">
        <v>18</v>
      </c>
      <c r="G63" t="s">
        <v>19</v>
      </c>
      <c r="H63">
        <v>1</v>
      </c>
      <c r="I63" t="s">
        <v>20</v>
      </c>
      <c r="J63" t="s">
        <v>19</v>
      </c>
      <c r="K63">
        <v>1</v>
      </c>
      <c r="L63" t="s">
        <v>48</v>
      </c>
      <c r="M63" t="s">
        <v>19</v>
      </c>
      <c r="N63">
        <v>1</v>
      </c>
      <c r="O63" t="s">
        <v>86</v>
      </c>
      <c r="P63" t="s">
        <v>19</v>
      </c>
      <c r="Q63">
        <v>0.94399999999999995</v>
      </c>
      <c r="R63" t="s">
        <v>23</v>
      </c>
      <c r="S63">
        <v>4</v>
      </c>
    </row>
    <row r="64" spans="1:19">
      <c r="A64">
        <v>63</v>
      </c>
      <c r="B64" t="s">
        <v>128</v>
      </c>
      <c r="C64">
        <v>1059.9598000000001</v>
      </c>
      <c r="D64">
        <v>260</v>
      </c>
      <c r="E64">
        <v>-0.77629985202543095</v>
      </c>
      <c r="F64" t="s">
        <v>18</v>
      </c>
      <c r="G64" t="s">
        <v>19</v>
      </c>
      <c r="H64">
        <v>0.97399999999999998</v>
      </c>
      <c r="I64" t="s">
        <v>27</v>
      </c>
      <c r="J64" t="s">
        <v>19</v>
      </c>
      <c r="K64">
        <v>0.93</v>
      </c>
      <c r="L64" t="s">
        <v>28</v>
      </c>
      <c r="M64" t="s">
        <v>19</v>
      </c>
      <c r="N64">
        <v>0.91</v>
      </c>
      <c r="O64" t="s">
        <v>29</v>
      </c>
      <c r="P64" t="s">
        <v>19</v>
      </c>
      <c r="Q64">
        <v>0.999</v>
      </c>
      <c r="R64" t="s">
        <v>23</v>
      </c>
      <c r="S64">
        <v>4</v>
      </c>
    </row>
    <row r="65" spans="1:19">
      <c r="A65">
        <v>64</v>
      </c>
      <c r="B65" t="s">
        <v>129</v>
      </c>
      <c r="C65">
        <v>281.00439999999998</v>
      </c>
      <c r="D65">
        <v>156.69999999999999</v>
      </c>
      <c r="E65">
        <v>-0.69064399813885302</v>
      </c>
      <c r="F65" t="s">
        <v>18</v>
      </c>
      <c r="G65" t="s">
        <v>19</v>
      </c>
      <c r="H65">
        <v>0.97199999999999998</v>
      </c>
      <c r="I65" t="s">
        <v>40</v>
      </c>
      <c r="J65" t="s">
        <v>19</v>
      </c>
      <c r="K65">
        <v>0.96</v>
      </c>
      <c r="L65" t="s">
        <v>41</v>
      </c>
      <c r="M65" t="s">
        <v>19</v>
      </c>
      <c r="N65">
        <v>1</v>
      </c>
      <c r="O65" t="s">
        <v>42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130</v>
      </c>
      <c r="C66">
        <v>628.60320000000002</v>
      </c>
      <c r="D66">
        <v>273.58999999999997</v>
      </c>
      <c r="E66">
        <v>-0.90133189121195301</v>
      </c>
      <c r="F66" t="s">
        <v>18</v>
      </c>
      <c r="G66" t="s">
        <v>19</v>
      </c>
      <c r="H66">
        <v>1</v>
      </c>
      <c r="I66" t="s">
        <v>20</v>
      </c>
      <c r="J66" t="s">
        <v>19</v>
      </c>
      <c r="K66">
        <v>0.98</v>
      </c>
      <c r="L66" t="s">
        <v>21</v>
      </c>
      <c r="M66" t="s">
        <v>19</v>
      </c>
      <c r="N66">
        <v>1</v>
      </c>
      <c r="O66" t="s">
        <v>131</v>
      </c>
      <c r="P66" t="s">
        <v>19</v>
      </c>
      <c r="Q66">
        <v>1</v>
      </c>
      <c r="R66" t="s">
        <v>23</v>
      </c>
      <c r="S66">
        <v>4</v>
      </c>
    </row>
    <row r="67" spans="1:19">
      <c r="A67">
        <v>66</v>
      </c>
      <c r="B67" t="s">
        <v>132</v>
      </c>
      <c r="C67">
        <v>448.00349999999997</v>
      </c>
      <c r="D67">
        <v>187.8</v>
      </c>
      <c r="E67">
        <v>-0.50328083268516399</v>
      </c>
      <c r="F67" t="s">
        <v>18</v>
      </c>
      <c r="G67" t="s">
        <v>19</v>
      </c>
      <c r="H67">
        <v>1</v>
      </c>
      <c r="I67" t="s">
        <v>72</v>
      </c>
      <c r="J67" t="s">
        <v>19</v>
      </c>
      <c r="K67">
        <v>0.96</v>
      </c>
      <c r="L67" t="s">
        <v>73</v>
      </c>
      <c r="M67" t="s">
        <v>19</v>
      </c>
      <c r="N67">
        <v>0.96</v>
      </c>
      <c r="O67" t="s">
        <v>74</v>
      </c>
      <c r="P67" t="s">
        <v>19</v>
      </c>
      <c r="Q67">
        <v>0.876</v>
      </c>
      <c r="R67" t="s">
        <v>23</v>
      </c>
      <c r="S67">
        <v>4</v>
      </c>
    </row>
    <row r="68" spans="1:19">
      <c r="A68">
        <v>67</v>
      </c>
      <c r="B68" t="s">
        <v>133</v>
      </c>
      <c r="C68">
        <v>317.20929999999998</v>
      </c>
      <c r="D68">
        <v>192.1</v>
      </c>
      <c r="E68">
        <v>-0.85511934759324504</v>
      </c>
      <c r="F68" t="s">
        <v>18</v>
      </c>
      <c r="G68" t="s">
        <v>19</v>
      </c>
      <c r="H68">
        <v>1</v>
      </c>
      <c r="I68" t="s">
        <v>20</v>
      </c>
      <c r="J68" t="s">
        <v>19</v>
      </c>
      <c r="K68">
        <v>1</v>
      </c>
      <c r="L68" t="s">
        <v>44</v>
      </c>
      <c r="M68" t="s">
        <v>19</v>
      </c>
      <c r="N68">
        <v>0.94</v>
      </c>
      <c r="O68" t="s">
        <v>134</v>
      </c>
      <c r="P68" t="s">
        <v>19</v>
      </c>
      <c r="Q68">
        <v>0.80400000000000005</v>
      </c>
      <c r="R68" t="s">
        <v>23</v>
      </c>
      <c r="S68">
        <v>4</v>
      </c>
    </row>
    <row r="69" spans="1:19">
      <c r="A69">
        <v>68</v>
      </c>
      <c r="B69" t="s">
        <v>135</v>
      </c>
      <c r="C69">
        <v>769.56259999999997</v>
      </c>
      <c r="D69">
        <v>288.3</v>
      </c>
      <c r="E69">
        <v>-0.703343402744395</v>
      </c>
      <c r="F69" t="s">
        <v>18</v>
      </c>
      <c r="G69" t="s">
        <v>19</v>
      </c>
      <c r="H69">
        <v>1</v>
      </c>
      <c r="I69" t="s">
        <v>20</v>
      </c>
      <c r="J69" t="s">
        <v>19</v>
      </c>
      <c r="K69">
        <v>0.99</v>
      </c>
      <c r="L69" t="s">
        <v>21</v>
      </c>
      <c r="M69" t="s">
        <v>19</v>
      </c>
      <c r="N69">
        <v>0.55000000000000004</v>
      </c>
      <c r="O69" t="s">
        <v>22</v>
      </c>
      <c r="P69" t="s">
        <v>19</v>
      </c>
      <c r="Q69">
        <v>0.76300000000000001</v>
      </c>
      <c r="R69" t="s">
        <v>23</v>
      </c>
      <c r="S69">
        <v>4</v>
      </c>
    </row>
    <row r="70" spans="1:19">
      <c r="A70">
        <v>69</v>
      </c>
      <c r="B70" t="s">
        <v>136</v>
      </c>
      <c r="C70">
        <v>822.44740000000002</v>
      </c>
      <c r="D70">
        <v>280</v>
      </c>
      <c r="E70">
        <v>-0.529094777857267</v>
      </c>
      <c r="F70" t="s">
        <v>18</v>
      </c>
      <c r="G70" t="s">
        <v>19</v>
      </c>
      <c r="H70">
        <v>1</v>
      </c>
      <c r="I70" t="s">
        <v>31</v>
      </c>
      <c r="J70" t="s">
        <v>19</v>
      </c>
      <c r="K70">
        <v>0.96</v>
      </c>
      <c r="L70" t="s">
        <v>32</v>
      </c>
      <c r="M70" t="s">
        <v>19</v>
      </c>
      <c r="N70">
        <v>0.97</v>
      </c>
      <c r="O70" t="s">
        <v>33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137</v>
      </c>
      <c r="C71">
        <v>518.32219999999995</v>
      </c>
      <c r="D71">
        <v>234.3</v>
      </c>
      <c r="E71">
        <v>-0.74346635331016797</v>
      </c>
      <c r="F71" t="s">
        <v>18</v>
      </c>
      <c r="G71" t="s">
        <v>19</v>
      </c>
      <c r="H71">
        <v>1</v>
      </c>
      <c r="I71" t="s">
        <v>20</v>
      </c>
      <c r="J71" t="s">
        <v>19</v>
      </c>
      <c r="K71">
        <v>1</v>
      </c>
      <c r="L71" t="s">
        <v>48</v>
      </c>
      <c r="M71" t="s">
        <v>19</v>
      </c>
      <c r="N71">
        <v>0.97</v>
      </c>
      <c r="O71" t="s">
        <v>86</v>
      </c>
      <c r="P71" t="s">
        <v>19</v>
      </c>
      <c r="Q71">
        <v>0.90100000000000002</v>
      </c>
      <c r="R71" t="s">
        <v>23</v>
      </c>
      <c r="S71">
        <v>4</v>
      </c>
    </row>
    <row r="72" spans="1:19">
      <c r="A72">
        <v>71</v>
      </c>
      <c r="B72" t="s">
        <v>138</v>
      </c>
      <c r="C72">
        <v>104.1075</v>
      </c>
      <c r="D72">
        <v>117.9</v>
      </c>
      <c r="E72">
        <v>-0.99125857116914096</v>
      </c>
      <c r="F72" t="s">
        <v>18</v>
      </c>
      <c r="G72" t="s">
        <v>19</v>
      </c>
      <c r="H72">
        <v>0.98799999999999999</v>
      </c>
      <c r="I72" t="s">
        <v>110</v>
      </c>
      <c r="J72" t="s">
        <v>19</v>
      </c>
      <c r="K72">
        <v>0.96</v>
      </c>
      <c r="L72" t="s">
        <v>111</v>
      </c>
      <c r="M72" t="s">
        <v>19</v>
      </c>
      <c r="N72">
        <v>1</v>
      </c>
      <c r="O72" t="s">
        <v>112</v>
      </c>
      <c r="P72" t="s">
        <v>19</v>
      </c>
      <c r="Q72">
        <v>0.65600000000000003</v>
      </c>
      <c r="R72" t="s">
        <v>23</v>
      </c>
      <c r="S72">
        <v>4</v>
      </c>
    </row>
    <row r="73" spans="1:19">
      <c r="A73">
        <v>72</v>
      </c>
      <c r="B73" t="s">
        <v>139</v>
      </c>
      <c r="C73">
        <v>258.0292</v>
      </c>
      <c r="D73">
        <v>149.5</v>
      </c>
      <c r="E73">
        <v>-0.741097001771436</v>
      </c>
      <c r="F73" t="s">
        <v>18</v>
      </c>
      <c r="G73" t="s">
        <v>19</v>
      </c>
      <c r="H73">
        <v>1</v>
      </c>
      <c r="I73" t="s">
        <v>40</v>
      </c>
      <c r="J73" t="s">
        <v>19</v>
      </c>
      <c r="K73">
        <v>0.85</v>
      </c>
      <c r="L73" t="s">
        <v>41</v>
      </c>
      <c r="M73" t="s">
        <v>19</v>
      </c>
      <c r="N73">
        <v>1</v>
      </c>
      <c r="O73" t="s">
        <v>42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140</v>
      </c>
      <c r="C74">
        <v>1821.9529</v>
      </c>
      <c r="D74">
        <v>352.2</v>
      </c>
      <c r="E74">
        <v>-0.91859499451493298</v>
      </c>
      <c r="F74" t="s">
        <v>18</v>
      </c>
      <c r="G74" t="s">
        <v>19</v>
      </c>
      <c r="H74">
        <v>1</v>
      </c>
      <c r="I74" t="s">
        <v>27</v>
      </c>
      <c r="J74" t="s">
        <v>19</v>
      </c>
      <c r="K74">
        <v>1</v>
      </c>
      <c r="L74" t="s">
        <v>28</v>
      </c>
      <c r="M74" t="s">
        <v>19</v>
      </c>
      <c r="N74">
        <v>1</v>
      </c>
      <c r="O74" t="s">
        <v>29</v>
      </c>
      <c r="P74" t="s">
        <v>19</v>
      </c>
      <c r="Q74">
        <v>1</v>
      </c>
      <c r="R74" t="s">
        <v>23</v>
      </c>
      <c r="S74">
        <v>4</v>
      </c>
    </row>
    <row r="75" spans="1:19">
      <c r="A75">
        <v>74</v>
      </c>
      <c r="B75" t="s">
        <v>141</v>
      </c>
      <c r="C75">
        <v>255.233</v>
      </c>
      <c r="D75">
        <v>169</v>
      </c>
      <c r="E75">
        <v>-0.94801910424527602</v>
      </c>
      <c r="F75" t="s">
        <v>18</v>
      </c>
      <c r="G75" t="s">
        <v>19</v>
      </c>
      <c r="H75">
        <v>1</v>
      </c>
      <c r="I75" t="s">
        <v>20</v>
      </c>
      <c r="J75" t="s">
        <v>19</v>
      </c>
      <c r="K75">
        <v>1</v>
      </c>
      <c r="L75" t="s">
        <v>44</v>
      </c>
      <c r="M75" t="s">
        <v>19</v>
      </c>
      <c r="N75">
        <v>1</v>
      </c>
      <c r="O75" t="s">
        <v>45</v>
      </c>
      <c r="P75" t="s">
        <v>19</v>
      </c>
      <c r="Q75">
        <v>0.999</v>
      </c>
      <c r="R75" t="s">
        <v>23</v>
      </c>
      <c r="S75">
        <v>4</v>
      </c>
    </row>
    <row r="76" spans="1:19">
      <c r="A76">
        <v>75</v>
      </c>
      <c r="B76" t="s">
        <v>142</v>
      </c>
      <c r="C76">
        <v>194.0453</v>
      </c>
      <c r="D76">
        <v>137.5</v>
      </c>
      <c r="E76">
        <v>-0.82863834805453995</v>
      </c>
      <c r="F76" t="s">
        <v>18</v>
      </c>
      <c r="G76" t="s">
        <v>19</v>
      </c>
      <c r="H76">
        <v>1</v>
      </c>
      <c r="I76" t="s">
        <v>35</v>
      </c>
      <c r="J76" t="s">
        <v>19</v>
      </c>
      <c r="K76">
        <v>0.69</v>
      </c>
      <c r="L76" t="s">
        <v>36</v>
      </c>
      <c r="M76" t="s">
        <v>19</v>
      </c>
      <c r="N76">
        <v>0.71</v>
      </c>
      <c r="O76" t="s">
        <v>143</v>
      </c>
      <c r="P76" t="s">
        <v>19</v>
      </c>
      <c r="Q76">
        <v>0.82399999999999995</v>
      </c>
      <c r="R76" t="s">
        <v>23</v>
      </c>
      <c r="S76">
        <v>4</v>
      </c>
    </row>
    <row r="77" spans="1:19">
      <c r="A77">
        <v>76</v>
      </c>
      <c r="B77" t="s">
        <v>144</v>
      </c>
      <c r="C77">
        <v>2471.1945999999998</v>
      </c>
      <c r="D77">
        <v>267.39999999999998</v>
      </c>
      <c r="E77">
        <v>-0.43538292896164399</v>
      </c>
      <c r="F77" t="s">
        <v>56</v>
      </c>
      <c r="G77" t="s">
        <v>19</v>
      </c>
      <c r="H77">
        <v>0.98399999999999999</v>
      </c>
      <c r="I77" t="s">
        <v>57</v>
      </c>
      <c r="J77" t="s">
        <v>19</v>
      </c>
      <c r="K77">
        <v>0.97</v>
      </c>
      <c r="L77" t="s">
        <v>58</v>
      </c>
      <c r="M77" t="s">
        <v>19</v>
      </c>
      <c r="N77">
        <v>1</v>
      </c>
      <c r="O77" t="s">
        <v>59</v>
      </c>
      <c r="P77" t="s">
        <v>19</v>
      </c>
      <c r="Q77">
        <v>0.999</v>
      </c>
      <c r="R77" t="s">
        <v>23</v>
      </c>
      <c r="S77">
        <v>4</v>
      </c>
    </row>
    <row r="78" spans="1:19">
      <c r="A78">
        <v>77</v>
      </c>
      <c r="B78" t="s">
        <v>145</v>
      </c>
      <c r="C78">
        <v>341.10840000000002</v>
      </c>
      <c r="D78">
        <v>190.9</v>
      </c>
      <c r="E78">
        <v>-0.72753476164342601</v>
      </c>
      <c r="F78" t="s">
        <v>18</v>
      </c>
      <c r="G78" t="s">
        <v>19</v>
      </c>
      <c r="H78">
        <v>1</v>
      </c>
      <c r="I78" t="s">
        <v>40</v>
      </c>
      <c r="J78" t="s">
        <v>19</v>
      </c>
      <c r="K78">
        <v>0.68</v>
      </c>
      <c r="L78" t="s">
        <v>41</v>
      </c>
      <c r="M78" t="s">
        <v>19</v>
      </c>
      <c r="N78">
        <v>1</v>
      </c>
      <c r="O78" t="s">
        <v>42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146</v>
      </c>
      <c r="C79">
        <v>733.476</v>
      </c>
      <c r="D79">
        <v>272.89999999999998</v>
      </c>
      <c r="E79">
        <v>-0.65703596519801999</v>
      </c>
      <c r="F79" t="s">
        <v>18</v>
      </c>
      <c r="G79" t="s">
        <v>19</v>
      </c>
      <c r="H79">
        <v>1</v>
      </c>
      <c r="I79" t="s">
        <v>20</v>
      </c>
      <c r="J79" t="s">
        <v>19</v>
      </c>
      <c r="K79">
        <v>1</v>
      </c>
      <c r="L79" t="s">
        <v>48</v>
      </c>
      <c r="M79" t="s">
        <v>19</v>
      </c>
      <c r="N79">
        <v>1</v>
      </c>
      <c r="O79" t="s">
        <v>147</v>
      </c>
      <c r="P79" t="s">
        <v>19</v>
      </c>
      <c r="Q79">
        <v>0.82599999999999996</v>
      </c>
      <c r="R79" t="s">
        <v>23</v>
      </c>
      <c r="S79">
        <v>4</v>
      </c>
    </row>
    <row r="80" spans="1:19">
      <c r="A80">
        <v>79</v>
      </c>
      <c r="B80" t="s">
        <v>148</v>
      </c>
      <c r="C80">
        <v>365.34050000000002</v>
      </c>
      <c r="D80">
        <v>197.3</v>
      </c>
      <c r="E80">
        <v>-0.93257836390483795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0.98</v>
      </c>
      <c r="L80" t="s">
        <v>44</v>
      </c>
      <c r="M80" t="s">
        <v>19</v>
      </c>
      <c r="N80">
        <v>0.98</v>
      </c>
      <c r="O80" t="s">
        <v>45</v>
      </c>
      <c r="P80" t="s">
        <v>19</v>
      </c>
      <c r="Q80">
        <v>0.97399999999999998</v>
      </c>
      <c r="R80" t="s">
        <v>23</v>
      </c>
      <c r="S80">
        <v>4</v>
      </c>
    </row>
    <row r="81" spans="1:19">
      <c r="A81">
        <v>80</v>
      </c>
      <c r="B81" t="s">
        <v>149</v>
      </c>
      <c r="C81">
        <v>856.50800000000004</v>
      </c>
      <c r="D81">
        <v>291</v>
      </c>
      <c r="E81">
        <v>-0.55166434959005495</v>
      </c>
      <c r="F81" t="s">
        <v>18</v>
      </c>
      <c r="G81" t="s">
        <v>19</v>
      </c>
      <c r="H81">
        <v>1</v>
      </c>
      <c r="I81" t="s">
        <v>20</v>
      </c>
      <c r="J81" t="s">
        <v>19</v>
      </c>
      <c r="K81">
        <v>1</v>
      </c>
      <c r="L81" t="s">
        <v>48</v>
      </c>
      <c r="M81" t="s">
        <v>19</v>
      </c>
      <c r="N81">
        <v>1</v>
      </c>
      <c r="O81" t="s">
        <v>54</v>
      </c>
      <c r="P81" t="s">
        <v>19</v>
      </c>
      <c r="Q81">
        <v>0.99</v>
      </c>
      <c r="R81" t="s">
        <v>23</v>
      </c>
      <c r="S81">
        <v>4</v>
      </c>
    </row>
    <row r="82" spans="1:19">
      <c r="A82">
        <v>81</v>
      </c>
      <c r="B82" t="s">
        <v>150</v>
      </c>
      <c r="C82">
        <v>140.0429</v>
      </c>
      <c r="D82">
        <v>134.4</v>
      </c>
      <c r="E82">
        <v>-0.88653483136548095</v>
      </c>
      <c r="F82" t="s">
        <v>18</v>
      </c>
      <c r="G82" t="s">
        <v>19</v>
      </c>
      <c r="H82">
        <v>1</v>
      </c>
      <c r="I82" t="s">
        <v>31</v>
      </c>
      <c r="J82" t="s">
        <v>19</v>
      </c>
      <c r="K82">
        <v>0.85</v>
      </c>
      <c r="L82" t="s">
        <v>32</v>
      </c>
      <c r="M82" t="s">
        <v>19</v>
      </c>
      <c r="N82">
        <v>1</v>
      </c>
      <c r="O82" t="s">
        <v>33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151</v>
      </c>
      <c r="C83">
        <v>980.80229999999995</v>
      </c>
      <c r="D83">
        <v>330.7</v>
      </c>
      <c r="E83">
        <v>-0.70718331049545202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0.96</v>
      </c>
      <c r="L83" t="s">
        <v>48</v>
      </c>
      <c r="M83" t="s">
        <v>19</v>
      </c>
      <c r="N83">
        <v>0.97</v>
      </c>
      <c r="O83" t="s">
        <v>86</v>
      </c>
      <c r="P83" t="s">
        <v>19</v>
      </c>
      <c r="Q83">
        <v>0.998</v>
      </c>
      <c r="R83" t="s">
        <v>23</v>
      </c>
      <c r="S83">
        <v>4</v>
      </c>
    </row>
    <row r="84" spans="1:19">
      <c r="A84">
        <v>83</v>
      </c>
      <c r="B84" t="s">
        <v>152</v>
      </c>
      <c r="C84">
        <v>171.00710000000001</v>
      </c>
      <c r="D84">
        <v>126.5</v>
      </c>
      <c r="E84">
        <v>-0.81616169445794595</v>
      </c>
      <c r="F84" t="s">
        <v>18</v>
      </c>
      <c r="G84" t="s">
        <v>19</v>
      </c>
      <c r="H84">
        <v>1</v>
      </c>
      <c r="I84" t="s">
        <v>20</v>
      </c>
      <c r="J84" t="s">
        <v>19</v>
      </c>
      <c r="K84">
        <v>0.88</v>
      </c>
      <c r="L84" t="s">
        <v>48</v>
      </c>
      <c r="M84" t="s">
        <v>19</v>
      </c>
      <c r="N84">
        <v>0.81</v>
      </c>
      <c r="O84" t="s">
        <v>147</v>
      </c>
      <c r="P84" t="s">
        <v>19</v>
      </c>
      <c r="Q84">
        <v>0.97399999999999998</v>
      </c>
      <c r="R84" t="s">
        <v>23</v>
      </c>
      <c r="S84">
        <v>4</v>
      </c>
    </row>
    <row r="85" spans="1:19">
      <c r="A85">
        <v>84</v>
      </c>
      <c r="B85" t="s">
        <v>153</v>
      </c>
      <c r="C85">
        <v>184.9845</v>
      </c>
      <c r="D85">
        <v>127</v>
      </c>
      <c r="E85">
        <v>-0.77795520167555299</v>
      </c>
      <c r="F85" t="s">
        <v>18</v>
      </c>
      <c r="G85" t="s">
        <v>19</v>
      </c>
      <c r="H85">
        <v>1</v>
      </c>
      <c r="I85" t="s">
        <v>40</v>
      </c>
      <c r="J85" t="s">
        <v>19</v>
      </c>
      <c r="K85">
        <v>0.88</v>
      </c>
      <c r="L85" t="s">
        <v>41</v>
      </c>
      <c r="M85" t="s">
        <v>19</v>
      </c>
      <c r="N85">
        <v>1</v>
      </c>
      <c r="O85" t="s">
        <v>42</v>
      </c>
      <c r="P85" t="s">
        <v>19</v>
      </c>
      <c r="Q85">
        <v>0.997</v>
      </c>
      <c r="R85" t="s">
        <v>23</v>
      </c>
      <c r="S85">
        <v>4</v>
      </c>
    </row>
    <row r="86" spans="1:19">
      <c r="A86">
        <v>85</v>
      </c>
      <c r="B86" t="s">
        <v>154</v>
      </c>
      <c r="C86">
        <v>217.06809999999999</v>
      </c>
      <c r="D86">
        <v>145.4</v>
      </c>
      <c r="E86">
        <v>-0.82573219655066099</v>
      </c>
      <c r="F86" t="s">
        <v>18</v>
      </c>
      <c r="G86" t="s">
        <v>19</v>
      </c>
      <c r="H86">
        <v>1</v>
      </c>
      <c r="I86" t="s">
        <v>40</v>
      </c>
      <c r="J86" t="s">
        <v>19</v>
      </c>
      <c r="K86">
        <v>0.83</v>
      </c>
      <c r="L86" t="s">
        <v>41</v>
      </c>
      <c r="M86" t="s">
        <v>19</v>
      </c>
      <c r="N86">
        <v>1</v>
      </c>
      <c r="O86" t="s">
        <v>42</v>
      </c>
      <c r="P86" t="s">
        <v>19</v>
      </c>
      <c r="Q86">
        <v>0.91800000000000004</v>
      </c>
      <c r="R86" t="s">
        <v>23</v>
      </c>
      <c r="S86">
        <v>4</v>
      </c>
    </row>
    <row r="87" spans="1:19">
      <c r="A87">
        <v>86</v>
      </c>
      <c r="B87" t="s">
        <v>155</v>
      </c>
      <c r="C87">
        <v>485.24590000000001</v>
      </c>
      <c r="D87">
        <v>205.4</v>
      </c>
      <c r="E87">
        <v>-0.70409775952435905</v>
      </c>
      <c r="F87" t="s">
        <v>18</v>
      </c>
      <c r="G87" t="s">
        <v>19</v>
      </c>
      <c r="H87">
        <v>1</v>
      </c>
      <c r="I87" t="s">
        <v>40</v>
      </c>
      <c r="J87" t="s">
        <v>19</v>
      </c>
      <c r="K87">
        <v>0.69</v>
      </c>
      <c r="L87" t="s">
        <v>41</v>
      </c>
      <c r="M87" t="s">
        <v>19</v>
      </c>
      <c r="N87">
        <v>1</v>
      </c>
      <c r="O87" t="s">
        <v>42</v>
      </c>
      <c r="P87" t="s">
        <v>19</v>
      </c>
      <c r="Q87">
        <v>1</v>
      </c>
      <c r="R87" t="s">
        <v>23</v>
      </c>
      <c r="S87">
        <v>4</v>
      </c>
    </row>
    <row r="88" spans="1:19">
      <c r="A88">
        <v>87</v>
      </c>
      <c r="B88" t="s">
        <v>126</v>
      </c>
      <c r="C88">
        <v>230.01920000000001</v>
      </c>
      <c r="D88">
        <v>138.9</v>
      </c>
      <c r="E88">
        <v>-0.76237162100204603</v>
      </c>
      <c r="F88" t="s">
        <v>18</v>
      </c>
      <c r="G88" t="s">
        <v>19</v>
      </c>
      <c r="H88">
        <v>1</v>
      </c>
      <c r="I88" t="s">
        <v>40</v>
      </c>
      <c r="J88" t="s">
        <v>19</v>
      </c>
      <c r="K88">
        <v>0.92</v>
      </c>
      <c r="L88" t="s">
        <v>41</v>
      </c>
      <c r="M88" t="s">
        <v>19</v>
      </c>
      <c r="N88">
        <v>1</v>
      </c>
      <c r="O88" t="s">
        <v>42</v>
      </c>
      <c r="P88" t="s">
        <v>19</v>
      </c>
      <c r="Q88">
        <v>0.996</v>
      </c>
      <c r="R88" t="s">
        <v>23</v>
      </c>
      <c r="S88">
        <v>4</v>
      </c>
    </row>
    <row r="89" spans="1:19">
      <c r="A89">
        <v>88</v>
      </c>
      <c r="B89" t="s">
        <v>156</v>
      </c>
      <c r="C89">
        <v>915.03589999999997</v>
      </c>
      <c r="D89">
        <v>353.8</v>
      </c>
      <c r="E89">
        <v>-1.4214910572832201E-2</v>
      </c>
      <c r="F89" t="s">
        <v>18</v>
      </c>
      <c r="G89" t="s">
        <v>19</v>
      </c>
      <c r="H89">
        <v>0.97399999999999998</v>
      </c>
      <c r="I89" t="s">
        <v>110</v>
      </c>
      <c r="J89" t="s">
        <v>19</v>
      </c>
      <c r="K89">
        <v>0.86</v>
      </c>
      <c r="L89" t="s">
        <v>111</v>
      </c>
      <c r="M89" t="s">
        <v>19</v>
      </c>
      <c r="N89">
        <v>1</v>
      </c>
      <c r="O89" t="s">
        <v>112</v>
      </c>
      <c r="P89" t="s">
        <v>19</v>
      </c>
      <c r="Q89">
        <v>0.96399999999999997</v>
      </c>
      <c r="R89" t="s">
        <v>23</v>
      </c>
      <c r="S89">
        <v>4</v>
      </c>
    </row>
    <row r="90" spans="1:19">
      <c r="A90">
        <v>89</v>
      </c>
      <c r="B90" t="s">
        <v>157</v>
      </c>
      <c r="C90">
        <v>574.61279999999999</v>
      </c>
      <c r="D90">
        <v>184.2</v>
      </c>
      <c r="E90">
        <v>-0.97121497589989803</v>
      </c>
      <c r="F90" t="s">
        <v>18</v>
      </c>
      <c r="G90" t="s">
        <v>19</v>
      </c>
      <c r="H90">
        <v>1</v>
      </c>
      <c r="I90" t="s">
        <v>35</v>
      </c>
      <c r="J90" t="s">
        <v>19</v>
      </c>
      <c r="K90">
        <v>1</v>
      </c>
      <c r="L90" t="s">
        <v>36</v>
      </c>
      <c r="M90" t="s">
        <v>19</v>
      </c>
      <c r="N90">
        <v>1</v>
      </c>
      <c r="O90" t="s">
        <v>64</v>
      </c>
      <c r="P90" t="s">
        <v>19</v>
      </c>
      <c r="Q90">
        <v>0.998</v>
      </c>
      <c r="R90" t="s">
        <v>23</v>
      </c>
      <c r="S90">
        <v>4</v>
      </c>
    </row>
    <row r="91" spans="1:19">
      <c r="A91">
        <v>90</v>
      </c>
      <c r="B91" t="s">
        <v>158</v>
      </c>
      <c r="C91">
        <v>744.55539999999996</v>
      </c>
      <c r="D91">
        <v>273.39999999999998</v>
      </c>
      <c r="E91">
        <v>-0.72406523987478999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0.81</v>
      </c>
      <c r="L91" t="s">
        <v>48</v>
      </c>
      <c r="M91" t="s">
        <v>19</v>
      </c>
      <c r="N91">
        <v>0.97</v>
      </c>
      <c r="O91" t="s">
        <v>49</v>
      </c>
      <c r="P91" t="s">
        <v>19</v>
      </c>
      <c r="Q91">
        <v>0.98499999999999999</v>
      </c>
      <c r="R91" t="s">
        <v>23</v>
      </c>
      <c r="S91">
        <v>4</v>
      </c>
    </row>
    <row r="92" spans="1:19">
      <c r="A92">
        <v>91</v>
      </c>
      <c r="B92" t="s">
        <v>159</v>
      </c>
      <c r="C92">
        <v>487.1</v>
      </c>
      <c r="D92">
        <v>205.9</v>
      </c>
      <c r="E92">
        <v>-0.55612756061276503</v>
      </c>
      <c r="F92" t="s">
        <v>18</v>
      </c>
      <c r="G92" t="s">
        <v>19</v>
      </c>
      <c r="H92">
        <v>1</v>
      </c>
      <c r="I92" t="s">
        <v>72</v>
      </c>
      <c r="J92" t="s">
        <v>19</v>
      </c>
      <c r="K92">
        <v>0.97</v>
      </c>
      <c r="L92" t="s">
        <v>78</v>
      </c>
      <c r="M92" t="s">
        <v>19</v>
      </c>
      <c r="N92">
        <v>0.92</v>
      </c>
      <c r="O92" t="s">
        <v>79</v>
      </c>
      <c r="P92" t="s">
        <v>19</v>
      </c>
      <c r="Q92">
        <v>0.99299999999999999</v>
      </c>
      <c r="R92" t="s">
        <v>23</v>
      </c>
      <c r="S92">
        <v>4</v>
      </c>
    </row>
    <row r="93" spans="1:19">
      <c r="A93">
        <v>92</v>
      </c>
      <c r="B93" t="s">
        <v>160</v>
      </c>
      <c r="C93">
        <v>714.50739999999996</v>
      </c>
      <c r="D93">
        <v>267</v>
      </c>
      <c r="E93">
        <v>-0.70961539191489498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1</v>
      </c>
      <c r="L93" t="s">
        <v>48</v>
      </c>
      <c r="M93" t="s">
        <v>19</v>
      </c>
      <c r="N93">
        <v>1</v>
      </c>
      <c r="O93" t="s">
        <v>49</v>
      </c>
      <c r="P93" t="s">
        <v>19</v>
      </c>
      <c r="Q93">
        <v>0.98199999999999998</v>
      </c>
      <c r="R93" t="s">
        <v>23</v>
      </c>
      <c r="S93">
        <v>4</v>
      </c>
    </row>
    <row r="94" spans="1:19">
      <c r="A94">
        <v>93</v>
      </c>
      <c r="B94" t="s">
        <v>161</v>
      </c>
      <c r="C94">
        <v>547.32929999999999</v>
      </c>
      <c r="D94">
        <v>360.4</v>
      </c>
      <c r="E94">
        <v>-0.71817842016184796</v>
      </c>
      <c r="F94" t="s">
        <v>18</v>
      </c>
      <c r="G94" t="s">
        <v>19</v>
      </c>
      <c r="H94">
        <v>1</v>
      </c>
      <c r="I94" t="s">
        <v>31</v>
      </c>
      <c r="J94" t="s">
        <v>19</v>
      </c>
      <c r="K94">
        <v>1</v>
      </c>
      <c r="L94" t="s">
        <v>32</v>
      </c>
      <c r="M94" t="s">
        <v>19</v>
      </c>
      <c r="N94">
        <v>0.83</v>
      </c>
      <c r="O94" t="s">
        <v>33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94</v>
      </c>
      <c r="B95" t="s">
        <v>71</v>
      </c>
      <c r="C95">
        <v>444.029</v>
      </c>
      <c r="D95">
        <v>192.1</v>
      </c>
      <c r="E95">
        <v>-0.53321856828432601</v>
      </c>
      <c r="F95" t="s">
        <v>18</v>
      </c>
      <c r="G95" t="s">
        <v>19</v>
      </c>
      <c r="H95">
        <v>1</v>
      </c>
      <c r="I95" t="s">
        <v>72</v>
      </c>
      <c r="J95" t="s">
        <v>19</v>
      </c>
      <c r="K95">
        <v>0.93</v>
      </c>
      <c r="L95" t="s">
        <v>73</v>
      </c>
      <c r="M95" t="s">
        <v>19</v>
      </c>
      <c r="N95">
        <v>0.91</v>
      </c>
      <c r="O95" t="s">
        <v>74</v>
      </c>
      <c r="P95" t="s">
        <v>19</v>
      </c>
      <c r="Q95">
        <v>0.83199999999999996</v>
      </c>
      <c r="R95" t="s">
        <v>23</v>
      </c>
      <c r="S95">
        <v>4</v>
      </c>
    </row>
    <row r="96" spans="1:19">
      <c r="A96">
        <v>95</v>
      </c>
      <c r="B96" t="s">
        <v>162</v>
      </c>
      <c r="C96">
        <v>2211.3847000000001</v>
      </c>
      <c r="D96">
        <v>256.10000000000002</v>
      </c>
      <c r="E96">
        <v>-0.91557417119156503</v>
      </c>
      <c r="F96" t="s">
        <v>56</v>
      </c>
      <c r="G96" t="s">
        <v>19</v>
      </c>
      <c r="H96">
        <v>0.998</v>
      </c>
      <c r="I96" t="s">
        <v>57</v>
      </c>
      <c r="J96" t="s">
        <v>19</v>
      </c>
      <c r="K96">
        <v>0.92</v>
      </c>
      <c r="L96" t="s">
        <v>58</v>
      </c>
      <c r="M96" t="s">
        <v>19</v>
      </c>
      <c r="N96">
        <v>0.95</v>
      </c>
      <c r="O96" t="s">
        <v>59</v>
      </c>
      <c r="P96" t="s">
        <v>19</v>
      </c>
      <c r="Q96">
        <v>0.996</v>
      </c>
      <c r="R96" t="s">
        <v>23</v>
      </c>
      <c r="S96">
        <v>4</v>
      </c>
    </row>
    <row r="97" spans="1:19">
      <c r="A97">
        <v>96</v>
      </c>
      <c r="B97" t="s">
        <v>163</v>
      </c>
      <c r="C97">
        <v>748.5856</v>
      </c>
      <c r="D97">
        <v>286.10000000000002</v>
      </c>
      <c r="E97">
        <v>-0.74976531233380705</v>
      </c>
      <c r="F97" t="s">
        <v>18</v>
      </c>
      <c r="G97" t="s">
        <v>19</v>
      </c>
      <c r="H97">
        <v>1</v>
      </c>
      <c r="I97" t="s">
        <v>20</v>
      </c>
      <c r="J97" t="s">
        <v>19</v>
      </c>
      <c r="K97">
        <v>1</v>
      </c>
      <c r="L97" t="s">
        <v>48</v>
      </c>
      <c r="M97" t="s">
        <v>19</v>
      </c>
      <c r="N97">
        <v>0.67</v>
      </c>
      <c r="O97" t="s">
        <v>49</v>
      </c>
      <c r="P97" t="s">
        <v>19</v>
      </c>
      <c r="Q97">
        <v>0.627</v>
      </c>
      <c r="R97" t="s">
        <v>23</v>
      </c>
      <c r="S97">
        <v>4</v>
      </c>
    </row>
    <row r="98" spans="1:19">
      <c r="A98">
        <v>97</v>
      </c>
      <c r="B98" t="s">
        <v>164</v>
      </c>
      <c r="C98">
        <v>183.03139999999999</v>
      </c>
      <c r="D98">
        <v>137.69999999999999</v>
      </c>
      <c r="E98">
        <v>-0.82703593922710195</v>
      </c>
      <c r="F98" t="s">
        <v>18</v>
      </c>
      <c r="G98" t="s">
        <v>19</v>
      </c>
      <c r="H98">
        <v>1</v>
      </c>
      <c r="I98" t="s">
        <v>35</v>
      </c>
      <c r="J98" t="s">
        <v>19</v>
      </c>
      <c r="K98">
        <v>0.61</v>
      </c>
      <c r="L98" t="s">
        <v>165</v>
      </c>
      <c r="M98" t="s">
        <v>19</v>
      </c>
      <c r="N98">
        <v>0.73</v>
      </c>
      <c r="O98" t="s">
        <v>166</v>
      </c>
      <c r="P98" t="s">
        <v>19</v>
      </c>
      <c r="Q98">
        <v>0.96799999999999997</v>
      </c>
      <c r="R98" t="s">
        <v>23</v>
      </c>
      <c r="S98">
        <v>4</v>
      </c>
    </row>
    <row r="99" spans="1:19">
      <c r="A99">
        <v>98</v>
      </c>
      <c r="B99" t="s">
        <v>167</v>
      </c>
      <c r="C99">
        <v>274.12990000000002</v>
      </c>
      <c r="D99">
        <v>165.5</v>
      </c>
      <c r="E99">
        <v>-0.82381973430102595</v>
      </c>
      <c r="F99" t="s">
        <v>18</v>
      </c>
      <c r="G99" t="s">
        <v>19</v>
      </c>
      <c r="H99">
        <v>1</v>
      </c>
      <c r="I99" t="s">
        <v>20</v>
      </c>
      <c r="J99" t="s">
        <v>19</v>
      </c>
      <c r="K99">
        <v>0.59</v>
      </c>
      <c r="L99" t="s">
        <v>44</v>
      </c>
      <c r="M99" t="s">
        <v>19</v>
      </c>
      <c r="N99">
        <v>0.86</v>
      </c>
      <c r="O99" t="s">
        <v>168</v>
      </c>
      <c r="P99" t="s">
        <v>19</v>
      </c>
      <c r="Q99">
        <v>0.82099999999999995</v>
      </c>
      <c r="R99" t="s">
        <v>23</v>
      </c>
      <c r="S99">
        <v>4</v>
      </c>
    </row>
    <row r="100" spans="1:19">
      <c r="A100">
        <v>99</v>
      </c>
      <c r="B100" t="s">
        <v>169</v>
      </c>
      <c r="C100">
        <v>552.40290000000005</v>
      </c>
      <c r="D100">
        <v>247</v>
      </c>
      <c r="E100">
        <v>-0.78611348234949197</v>
      </c>
      <c r="F100" t="s">
        <v>18</v>
      </c>
      <c r="G100" t="s">
        <v>19</v>
      </c>
      <c r="H100">
        <v>1</v>
      </c>
      <c r="I100" t="s">
        <v>20</v>
      </c>
      <c r="J100" t="s">
        <v>19</v>
      </c>
      <c r="K100">
        <v>1</v>
      </c>
      <c r="L100" t="s">
        <v>48</v>
      </c>
      <c r="M100" t="s">
        <v>19</v>
      </c>
      <c r="N100">
        <v>1</v>
      </c>
      <c r="O100" t="s">
        <v>86</v>
      </c>
      <c r="P100" t="s">
        <v>19</v>
      </c>
      <c r="Q100">
        <v>0.996</v>
      </c>
      <c r="R100" t="s">
        <v>23</v>
      </c>
      <c r="S100">
        <v>4</v>
      </c>
    </row>
    <row r="101" spans="1:19">
      <c r="A101">
        <v>100</v>
      </c>
      <c r="B101" t="s">
        <v>170</v>
      </c>
      <c r="C101">
        <v>767.428</v>
      </c>
      <c r="D101">
        <v>270.60000000000002</v>
      </c>
      <c r="E101">
        <v>-0.57112679446913694</v>
      </c>
      <c r="F101" t="s">
        <v>18</v>
      </c>
      <c r="G101" t="s">
        <v>19</v>
      </c>
      <c r="H101">
        <v>1</v>
      </c>
      <c r="I101" t="s">
        <v>31</v>
      </c>
      <c r="J101" t="s">
        <v>19</v>
      </c>
      <c r="K101">
        <v>0.92</v>
      </c>
      <c r="L101" t="s">
        <v>32</v>
      </c>
      <c r="M101" t="s">
        <v>19</v>
      </c>
      <c r="N101">
        <v>0.93</v>
      </c>
      <c r="O101" t="s">
        <v>33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101</v>
      </c>
      <c r="B102" t="s">
        <v>171</v>
      </c>
      <c r="C102">
        <v>568.56679999999994</v>
      </c>
      <c r="D102">
        <v>263.99</v>
      </c>
      <c r="E102">
        <v>-0.93196564879770005</v>
      </c>
      <c r="F102" t="s">
        <v>18</v>
      </c>
      <c r="G102" t="s">
        <v>19</v>
      </c>
      <c r="H102">
        <v>1</v>
      </c>
      <c r="I102" t="s">
        <v>20</v>
      </c>
      <c r="J102" t="s">
        <v>19</v>
      </c>
      <c r="K102">
        <v>1</v>
      </c>
      <c r="L102" t="s">
        <v>21</v>
      </c>
      <c r="M102" t="s">
        <v>19</v>
      </c>
      <c r="N102">
        <v>1</v>
      </c>
      <c r="O102" t="s">
        <v>131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172</v>
      </c>
      <c r="C103">
        <v>132.1019</v>
      </c>
      <c r="D103">
        <v>133.30000000000001</v>
      </c>
      <c r="E103">
        <v>-0.95440137014844595</v>
      </c>
      <c r="F103" t="s">
        <v>18</v>
      </c>
      <c r="G103" t="s">
        <v>19</v>
      </c>
      <c r="H103">
        <v>1</v>
      </c>
      <c r="I103" t="s">
        <v>31</v>
      </c>
      <c r="J103" t="s">
        <v>19</v>
      </c>
      <c r="K103">
        <v>1</v>
      </c>
      <c r="L103" t="s">
        <v>32</v>
      </c>
      <c r="M103" t="s">
        <v>19</v>
      </c>
      <c r="N103">
        <v>1</v>
      </c>
      <c r="O103" t="s">
        <v>33</v>
      </c>
      <c r="P103" t="s">
        <v>19</v>
      </c>
      <c r="Q103">
        <v>1</v>
      </c>
      <c r="R103" t="s">
        <v>23</v>
      </c>
      <c r="S103">
        <v>4</v>
      </c>
    </row>
    <row r="104" spans="1:19">
      <c r="A104">
        <v>103</v>
      </c>
      <c r="B104" t="s">
        <v>173</v>
      </c>
      <c r="C104">
        <v>606.07399999999996</v>
      </c>
      <c r="D104">
        <v>223.9</v>
      </c>
      <c r="E104">
        <v>-0.39728691268896899</v>
      </c>
      <c r="F104" t="s">
        <v>18</v>
      </c>
      <c r="G104" t="s">
        <v>19</v>
      </c>
      <c r="H104">
        <v>1</v>
      </c>
      <c r="I104" t="s">
        <v>72</v>
      </c>
      <c r="J104" t="s">
        <v>19</v>
      </c>
      <c r="K104">
        <v>1</v>
      </c>
      <c r="L104" t="s">
        <v>78</v>
      </c>
      <c r="M104" t="s">
        <v>19</v>
      </c>
      <c r="N104">
        <v>0.84</v>
      </c>
      <c r="O104" t="s">
        <v>174</v>
      </c>
      <c r="P104" t="s">
        <v>19</v>
      </c>
      <c r="Q104">
        <v>1</v>
      </c>
      <c r="R104" t="s">
        <v>23</v>
      </c>
      <c r="S104">
        <v>4</v>
      </c>
    </row>
    <row r="105" spans="1:19">
      <c r="A105">
        <v>104</v>
      </c>
      <c r="B105" t="s">
        <v>175</v>
      </c>
      <c r="C105">
        <v>1620.7157999999999</v>
      </c>
      <c r="D105">
        <v>379.3</v>
      </c>
      <c r="E105">
        <v>-0.90618666454611196</v>
      </c>
      <c r="F105" t="s">
        <v>18</v>
      </c>
      <c r="G105" t="s">
        <v>19</v>
      </c>
      <c r="H105">
        <v>1</v>
      </c>
      <c r="I105" t="s">
        <v>31</v>
      </c>
      <c r="J105" t="s">
        <v>19</v>
      </c>
      <c r="K105">
        <v>1</v>
      </c>
      <c r="L105" t="s">
        <v>107</v>
      </c>
      <c r="M105" t="s">
        <v>19</v>
      </c>
      <c r="N105">
        <v>0.89</v>
      </c>
      <c r="O105" t="s">
        <v>108</v>
      </c>
      <c r="P105" t="s">
        <v>19</v>
      </c>
      <c r="Q105">
        <v>0.94399999999999995</v>
      </c>
      <c r="R105" t="s">
        <v>23</v>
      </c>
      <c r="S105">
        <v>4</v>
      </c>
    </row>
    <row r="106" spans="1:19">
      <c r="A106">
        <v>105</v>
      </c>
      <c r="B106" t="s">
        <v>176</v>
      </c>
      <c r="C106">
        <v>169.03620000000001</v>
      </c>
      <c r="D106">
        <v>130.5</v>
      </c>
      <c r="E106">
        <v>-0.84746230663364497</v>
      </c>
      <c r="F106" t="s">
        <v>18</v>
      </c>
      <c r="G106" t="s">
        <v>19</v>
      </c>
      <c r="H106">
        <v>1</v>
      </c>
      <c r="I106" t="s">
        <v>89</v>
      </c>
      <c r="J106" t="s">
        <v>19</v>
      </c>
      <c r="K106">
        <v>0.73</v>
      </c>
      <c r="L106" t="s">
        <v>177</v>
      </c>
      <c r="M106" t="s">
        <v>19</v>
      </c>
      <c r="N106">
        <v>0.76</v>
      </c>
      <c r="O106" t="s">
        <v>178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179</v>
      </c>
      <c r="C107">
        <v>132.03120000000001</v>
      </c>
      <c r="D107">
        <v>120.1</v>
      </c>
      <c r="E107">
        <v>-0.88378031036907601</v>
      </c>
      <c r="F107" t="s">
        <v>18</v>
      </c>
      <c r="G107" t="s">
        <v>19</v>
      </c>
      <c r="H107">
        <v>1</v>
      </c>
      <c r="I107" t="s">
        <v>31</v>
      </c>
      <c r="J107" t="s">
        <v>19</v>
      </c>
      <c r="K107">
        <v>0.86</v>
      </c>
      <c r="L107" t="s">
        <v>32</v>
      </c>
      <c r="M107" t="s">
        <v>19</v>
      </c>
      <c r="N107">
        <v>1</v>
      </c>
      <c r="O107" t="s">
        <v>33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180</v>
      </c>
      <c r="C108">
        <v>349.51929999999999</v>
      </c>
      <c r="D108">
        <v>354.4</v>
      </c>
      <c r="E108">
        <v>-0.12904355511403801</v>
      </c>
      <c r="F108" t="s">
        <v>18</v>
      </c>
      <c r="G108" t="s">
        <v>19</v>
      </c>
      <c r="H108">
        <v>0.996</v>
      </c>
      <c r="I108" t="s">
        <v>31</v>
      </c>
      <c r="J108" t="s">
        <v>19</v>
      </c>
      <c r="K108">
        <v>0.96</v>
      </c>
      <c r="L108" t="s">
        <v>32</v>
      </c>
      <c r="M108" t="s">
        <v>19</v>
      </c>
      <c r="N108">
        <v>0.97</v>
      </c>
      <c r="O108" t="s">
        <v>33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181</v>
      </c>
      <c r="C109">
        <v>308.10180000000003</v>
      </c>
      <c r="D109">
        <v>163.69999999999999</v>
      </c>
      <c r="E109">
        <v>-0.75778834418889596</v>
      </c>
      <c r="F109" t="s">
        <v>18</v>
      </c>
      <c r="G109" t="s">
        <v>19</v>
      </c>
      <c r="H109">
        <v>1</v>
      </c>
      <c r="I109" t="s">
        <v>40</v>
      </c>
      <c r="J109" t="s">
        <v>19</v>
      </c>
      <c r="K109">
        <v>0.75</v>
      </c>
      <c r="L109" t="s">
        <v>41</v>
      </c>
      <c r="M109" t="s">
        <v>19</v>
      </c>
      <c r="N109">
        <v>1</v>
      </c>
      <c r="O109" t="s">
        <v>42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182</v>
      </c>
      <c r="C110">
        <v>1050.7066</v>
      </c>
      <c r="D110">
        <v>336.2</v>
      </c>
      <c r="E110">
        <v>-0.53343153023547496</v>
      </c>
      <c r="F110" t="s">
        <v>18</v>
      </c>
      <c r="G110" t="s">
        <v>19</v>
      </c>
      <c r="H110">
        <v>1</v>
      </c>
      <c r="I110" t="s">
        <v>31</v>
      </c>
      <c r="J110" t="s">
        <v>19</v>
      </c>
      <c r="K110">
        <v>1</v>
      </c>
      <c r="L110" t="s">
        <v>107</v>
      </c>
      <c r="M110" t="s">
        <v>19</v>
      </c>
      <c r="N110">
        <v>0.99</v>
      </c>
      <c r="O110" t="s">
        <v>108</v>
      </c>
      <c r="P110" t="s">
        <v>19</v>
      </c>
      <c r="Q110">
        <v>1</v>
      </c>
      <c r="R110" t="s">
        <v>23</v>
      </c>
      <c r="S110">
        <v>4</v>
      </c>
    </row>
    <row r="111" spans="1:19">
      <c r="A111">
        <v>110</v>
      </c>
      <c r="B111" t="s">
        <v>183</v>
      </c>
      <c r="C111">
        <v>552.40290000000005</v>
      </c>
      <c r="D111">
        <v>247.5</v>
      </c>
      <c r="E111">
        <v>-0.78611348234949197</v>
      </c>
      <c r="F111" t="s">
        <v>18</v>
      </c>
      <c r="G111" t="s">
        <v>19</v>
      </c>
      <c r="H111">
        <v>1</v>
      </c>
      <c r="I111" t="s">
        <v>20</v>
      </c>
      <c r="J111" t="s">
        <v>19</v>
      </c>
      <c r="K111">
        <v>1</v>
      </c>
      <c r="L111" t="s">
        <v>48</v>
      </c>
      <c r="M111" t="s">
        <v>19</v>
      </c>
      <c r="N111">
        <v>1</v>
      </c>
      <c r="O111" t="s">
        <v>86</v>
      </c>
      <c r="P111" t="s">
        <v>19</v>
      </c>
      <c r="Q111">
        <v>0.996</v>
      </c>
      <c r="R111" t="s">
        <v>23</v>
      </c>
      <c r="S111">
        <v>4</v>
      </c>
    </row>
    <row r="112" spans="1:19">
      <c r="A112">
        <v>111</v>
      </c>
      <c r="B112" t="s">
        <v>184</v>
      </c>
      <c r="C112">
        <v>180.06610000000001</v>
      </c>
      <c r="D112">
        <v>145.9</v>
      </c>
      <c r="E112">
        <v>-0.86504685063036402</v>
      </c>
      <c r="F112" t="s">
        <v>18</v>
      </c>
      <c r="G112" t="s">
        <v>19</v>
      </c>
      <c r="H112">
        <v>1</v>
      </c>
      <c r="I112" t="s">
        <v>35</v>
      </c>
      <c r="J112" t="s">
        <v>19</v>
      </c>
      <c r="K112">
        <v>0.69</v>
      </c>
      <c r="L112" t="s">
        <v>36</v>
      </c>
      <c r="M112" t="s">
        <v>19</v>
      </c>
      <c r="N112">
        <v>0.96</v>
      </c>
      <c r="O112" t="s">
        <v>143</v>
      </c>
      <c r="P112" t="s">
        <v>19</v>
      </c>
      <c r="Q112">
        <v>0.96299999999999997</v>
      </c>
      <c r="R112" t="s">
        <v>23</v>
      </c>
      <c r="S112">
        <v>4</v>
      </c>
    </row>
    <row r="113" spans="1:19">
      <c r="A113">
        <v>112</v>
      </c>
      <c r="B113" t="s">
        <v>185</v>
      </c>
      <c r="C113">
        <v>338.87049999999999</v>
      </c>
      <c r="D113">
        <v>166.3</v>
      </c>
      <c r="E113">
        <v>-0.492133493181313</v>
      </c>
      <c r="F113" t="s">
        <v>18</v>
      </c>
      <c r="G113" t="s">
        <v>19</v>
      </c>
      <c r="H113">
        <v>0.998</v>
      </c>
      <c r="I113" t="s">
        <v>35</v>
      </c>
      <c r="J113" t="s">
        <v>19</v>
      </c>
      <c r="K113">
        <v>0.99</v>
      </c>
      <c r="L113" t="s">
        <v>36</v>
      </c>
      <c r="M113" t="s">
        <v>19</v>
      </c>
      <c r="N113">
        <v>1</v>
      </c>
      <c r="O113" t="s">
        <v>96</v>
      </c>
      <c r="P113" t="s">
        <v>19</v>
      </c>
      <c r="Q113">
        <v>0.99399999999999999</v>
      </c>
      <c r="R113" t="s">
        <v>23</v>
      </c>
      <c r="S113">
        <v>4</v>
      </c>
    </row>
    <row r="114" spans="1:19">
      <c r="A114">
        <v>113</v>
      </c>
      <c r="B114" t="s">
        <v>186</v>
      </c>
      <c r="C114">
        <v>109.029</v>
      </c>
      <c r="D114">
        <v>118.7</v>
      </c>
      <c r="E114">
        <v>-0.90726346090339405</v>
      </c>
      <c r="F114" t="s">
        <v>18</v>
      </c>
      <c r="G114" t="s">
        <v>19</v>
      </c>
      <c r="H114">
        <v>1</v>
      </c>
      <c r="I114" t="s">
        <v>35</v>
      </c>
      <c r="J114" t="s">
        <v>19</v>
      </c>
      <c r="K114">
        <v>0.8</v>
      </c>
      <c r="L114" t="s">
        <v>165</v>
      </c>
      <c r="M114" t="s">
        <v>19</v>
      </c>
      <c r="N114">
        <v>0.94</v>
      </c>
      <c r="O114" t="s">
        <v>166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187</v>
      </c>
      <c r="C115">
        <v>772.42489999999998</v>
      </c>
      <c r="D115">
        <v>263.3</v>
      </c>
      <c r="E115">
        <v>-0.56244749618872403</v>
      </c>
      <c r="F115" t="s">
        <v>18</v>
      </c>
      <c r="G115" t="s">
        <v>19</v>
      </c>
      <c r="H115">
        <v>1</v>
      </c>
      <c r="I115" t="s">
        <v>40</v>
      </c>
      <c r="J115" t="s">
        <v>19</v>
      </c>
      <c r="K115">
        <v>0.65</v>
      </c>
      <c r="L115" t="s">
        <v>41</v>
      </c>
      <c r="M115" t="s">
        <v>19</v>
      </c>
      <c r="N115">
        <v>1</v>
      </c>
      <c r="O115" t="s">
        <v>42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188</v>
      </c>
      <c r="C116">
        <v>1212.1237000000001</v>
      </c>
      <c r="D116">
        <v>203.8</v>
      </c>
      <c r="E116">
        <v>-0.77030095758959805</v>
      </c>
      <c r="F116" t="s">
        <v>56</v>
      </c>
      <c r="G116" t="s">
        <v>19</v>
      </c>
      <c r="H116">
        <v>0.98</v>
      </c>
      <c r="I116" t="s">
        <v>57</v>
      </c>
      <c r="J116" t="s">
        <v>19</v>
      </c>
      <c r="K116">
        <v>0.99</v>
      </c>
      <c r="L116" t="s">
        <v>58</v>
      </c>
      <c r="M116" t="s">
        <v>19</v>
      </c>
      <c r="N116">
        <v>1</v>
      </c>
      <c r="O116" t="s">
        <v>59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189</v>
      </c>
      <c r="C117">
        <v>344.27820000000003</v>
      </c>
      <c r="D117">
        <v>199.5</v>
      </c>
      <c r="E117">
        <v>-0.89379551537291502</v>
      </c>
      <c r="F117" t="s">
        <v>18</v>
      </c>
      <c r="G117" t="s">
        <v>19</v>
      </c>
      <c r="H117">
        <v>1</v>
      </c>
      <c r="I117" t="s">
        <v>20</v>
      </c>
      <c r="J117" t="s">
        <v>19</v>
      </c>
      <c r="K117">
        <v>1</v>
      </c>
      <c r="L117" t="s">
        <v>44</v>
      </c>
      <c r="M117" t="s">
        <v>19</v>
      </c>
      <c r="N117">
        <v>0.98</v>
      </c>
      <c r="O117" t="s">
        <v>168</v>
      </c>
      <c r="P117" t="s">
        <v>19</v>
      </c>
      <c r="Q117">
        <v>0.58599999999999997</v>
      </c>
      <c r="R117" t="s">
        <v>23</v>
      </c>
      <c r="S117">
        <v>4</v>
      </c>
    </row>
    <row r="118" spans="1:19">
      <c r="A118">
        <v>117</v>
      </c>
      <c r="B118" t="s">
        <v>190</v>
      </c>
      <c r="C118">
        <v>146.0455</v>
      </c>
      <c r="D118">
        <v>124.5</v>
      </c>
      <c r="E118">
        <v>-0.882432616820921</v>
      </c>
      <c r="F118" t="s">
        <v>18</v>
      </c>
      <c r="G118" t="s">
        <v>19</v>
      </c>
      <c r="H118">
        <v>1</v>
      </c>
      <c r="I118" t="s">
        <v>31</v>
      </c>
      <c r="J118" t="s">
        <v>19</v>
      </c>
      <c r="K118">
        <v>0.95</v>
      </c>
      <c r="L118" t="s">
        <v>32</v>
      </c>
      <c r="M118" t="s">
        <v>19</v>
      </c>
      <c r="N118">
        <v>1</v>
      </c>
      <c r="O118" t="s">
        <v>33</v>
      </c>
      <c r="P118" t="s">
        <v>19</v>
      </c>
      <c r="Q118">
        <v>1</v>
      </c>
      <c r="R118" t="s">
        <v>23</v>
      </c>
      <c r="S118">
        <v>4</v>
      </c>
    </row>
    <row r="119" spans="1:19">
      <c r="A119">
        <v>118</v>
      </c>
      <c r="B119" t="s">
        <v>191</v>
      </c>
      <c r="C119">
        <v>437.25099999999998</v>
      </c>
      <c r="D119">
        <v>202.7</v>
      </c>
      <c r="E119">
        <v>-0.76278655718630295</v>
      </c>
      <c r="F119" t="s">
        <v>18</v>
      </c>
      <c r="G119" t="s">
        <v>19</v>
      </c>
      <c r="H119">
        <v>1</v>
      </c>
      <c r="I119" t="s">
        <v>31</v>
      </c>
      <c r="J119" t="s">
        <v>19</v>
      </c>
      <c r="K119">
        <v>0.74</v>
      </c>
      <c r="L119" t="s">
        <v>32</v>
      </c>
      <c r="M119" t="s">
        <v>19</v>
      </c>
      <c r="N119">
        <v>1</v>
      </c>
      <c r="O119" t="s">
        <v>33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192</v>
      </c>
      <c r="C120">
        <v>301.07119999999998</v>
      </c>
      <c r="D120">
        <v>177.9</v>
      </c>
      <c r="E120">
        <v>-0.73503837410538597</v>
      </c>
      <c r="F120" t="s">
        <v>18</v>
      </c>
      <c r="G120" t="s">
        <v>19</v>
      </c>
      <c r="H120">
        <v>1</v>
      </c>
      <c r="I120" t="s">
        <v>193</v>
      </c>
      <c r="J120" t="s">
        <v>19</v>
      </c>
      <c r="K120">
        <v>0.64</v>
      </c>
      <c r="L120" t="s">
        <v>194</v>
      </c>
      <c r="M120" t="s">
        <v>19</v>
      </c>
      <c r="N120">
        <v>1</v>
      </c>
      <c r="O120" t="s">
        <v>195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120</v>
      </c>
      <c r="B121" t="s">
        <v>196</v>
      </c>
      <c r="C121">
        <v>151.02770000000001</v>
      </c>
      <c r="D121">
        <v>122.2</v>
      </c>
      <c r="E121">
        <v>-0.85906973185373703</v>
      </c>
      <c r="F121" t="s">
        <v>18</v>
      </c>
      <c r="G121" t="s">
        <v>19</v>
      </c>
      <c r="H121">
        <v>1</v>
      </c>
      <c r="I121" t="s">
        <v>89</v>
      </c>
      <c r="J121" t="s">
        <v>19</v>
      </c>
      <c r="K121">
        <v>0.69</v>
      </c>
      <c r="L121" t="s">
        <v>177</v>
      </c>
      <c r="M121" t="s">
        <v>19</v>
      </c>
      <c r="N121">
        <v>0.65</v>
      </c>
      <c r="O121" t="s">
        <v>178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197</v>
      </c>
      <c r="C122">
        <v>341.10759999999999</v>
      </c>
      <c r="D122">
        <v>178</v>
      </c>
      <c r="E122">
        <v>-0.72673565488491898</v>
      </c>
      <c r="F122" t="s">
        <v>18</v>
      </c>
      <c r="G122" t="s">
        <v>19</v>
      </c>
      <c r="H122">
        <v>1</v>
      </c>
      <c r="I122" t="s">
        <v>40</v>
      </c>
      <c r="J122" t="s">
        <v>19</v>
      </c>
      <c r="K122">
        <v>0.99</v>
      </c>
      <c r="L122" t="s">
        <v>41</v>
      </c>
      <c r="M122" t="s">
        <v>19</v>
      </c>
      <c r="N122">
        <v>1</v>
      </c>
      <c r="O122" t="s">
        <v>42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122</v>
      </c>
      <c r="B123" t="s">
        <v>198</v>
      </c>
      <c r="C123">
        <v>109.0304</v>
      </c>
      <c r="D123">
        <v>115.1</v>
      </c>
      <c r="E123">
        <v>-0.90866189773071004</v>
      </c>
      <c r="F123" t="s">
        <v>18</v>
      </c>
      <c r="G123" t="s">
        <v>19</v>
      </c>
      <c r="H123">
        <v>1</v>
      </c>
      <c r="I123" t="s">
        <v>35</v>
      </c>
      <c r="J123" t="s">
        <v>19</v>
      </c>
      <c r="K123">
        <v>0.76</v>
      </c>
      <c r="L123" t="s">
        <v>165</v>
      </c>
      <c r="M123" t="s">
        <v>19</v>
      </c>
      <c r="N123">
        <v>0.97</v>
      </c>
      <c r="O123" t="s">
        <v>166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199</v>
      </c>
      <c r="C124">
        <v>626.31110000000001</v>
      </c>
      <c r="D124">
        <v>255.6</v>
      </c>
      <c r="E124">
        <v>-0.61179113986384004</v>
      </c>
      <c r="F124" t="s">
        <v>18</v>
      </c>
      <c r="G124" t="s">
        <v>19</v>
      </c>
      <c r="H124">
        <v>1</v>
      </c>
      <c r="I124" t="s">
        <v>31</v>
      </c>
      <c r="J124" t="s">
        <v>19</v>
      </c>
      <c r="K124">
        <v>0.96</v>
      </c>
      <c r="L124" t="s">
        <v>32</v>
      </c>
      <c r="M124" t="s">
        <v>19</v>
      </c>
      <c r="N124">
        <v>0.97</v>
      </c>
      <c r="O124" t="s">
        <v>33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200</v>
      </c>
      <c r="C125">
        <v>429.20350000000002</v>
      </c>
      <c r="D125">
        <v>208.5</v>
      </c>
      <c r="E125">
        <v>-0.72427200874864195</v>
      </c>
      <c r="F125" t="s">
        <v>18</v>
      </c>
      <c r="G125" t="s">
        <v>19</v>
      </c>
      <c r="H125">
        <v>1</v>
      </c>
      <c r="I125" t="s">
        <v>31</v>
      </c>
      <c r="J125" t="s">
        <v>19</v>
      </c>
      <c r="K125">
        <v>0.69</v>
      </c>
      <c r="L125" t="s">
        <v>32</v>
      </c>
      <c r="M125" t="s">
        <v>19</v>
      </c>
      <c r="N125">
        <v>1</v>
      </c>
      <c r="O125" t="s">
        <v>33</v>
      </c>
      <c r="P125" t="s">
        <v>19</v>
      </c>
      <c r="Q125">
        <v>1</v>
      </c>
      <c r="R125" t="s">
        <v>23</v>
      </c>
      <c r="S125">
        <v>4</v>
      </c>
    </row>
    <row r="126" spans="1:19">
      <c r="A126">
        <v>125</v>
      </c>
      <c r="B126" t="s">
        <v>201</v>
      </c>
      <c r="C126">
        <v>312.11649999999997</v>
      </c>
      <c r="D126">
        <v>163.5</v>
      </c>
      <c r="E126">
        <v>-0.76800572320257698</v>
      </c>
      <c r="F126" t="s">
        <v>18</v>
      </c>
      <c r="G126" t="s">
        <v>19</v>
      </c>
      <c r="H126">
        <v>1</v>
      </c>
      <c r="I126" t="s">
        <v>31</v>
      </c>
      <c r="J126" t="s">
        <v>19</v>
      </c>
      <c r="K126">
        <v>0.74</v>
      </c>
      <c r="L126" t="s">
        <v>32</v>
      </c>
      <c r="M126" t="s">
        <v>19</v>
      </c>
      <c r="N126">
        <v>1</v>
      </c>
      <c r="O126" t="s">
        <v>33</v>
      </c>
      <c r="P126" t="s">
        <v>19</v>
      </c>
      <c r="Q126">
        <v>1</v>
      </c>
      <c r="R126" t="s">
        <v>23</v>
      </c>
      <c r="S126">
        <v>4</v>
      </c>
    </row>
    <row r="127" spans="1:19">
      <c r="A127">
        <v>126</v>
      </c>
      <c r="B127" t="s">
        <v>80</v>
      </c>
      <c r="C127">
        <v>448.00360000000001</v>
      </c>
      <c r="D127">
        <v>185.7</v>
      </c>
      <c r="E127">
        <v>-0.50338072102999798</v>
      </c>
      <c r="F127" t="s">
        <v>18</v>
      </c>
      <c r="G127" t="s">
        <v>19</v>
      </c>
      <c r="H127">
        <v>1</v>
      </c>
      <c r="I127" t="s">
        <v>72</v>
      </c>
      <c r="J127" t="s">
        <v>19</v>
      </c>
      <c r="K127">
        <v>0.95</v>
      </c>
      <c r="L127" t="s">
        <v>73</v>
      </c>
      <c r="M127" t="s">
        <v>19</v>
      </c>
      <c r="N127">
        <v>0.97</v>
      </c>
      <c r="O127" t="s">
        <v>81</v>
      </c>
      <c r="P127" t="s">
        <v>19</v>
      </c>
      <c r="Q127">
        <v>0.84899999999999998</v>
      </c>
      <c r="R127" t="s">
        <v>23</v>
      </c>
      <c r="S127">
        <v>4</v>
      </c>
    </row>
    <row r="128" spans="1:19">
      <c r="A128">
        <v>127</v>
      </c>
      <c r="B128" t="s">
        <v>202</v>
      </c>
      <c r="C128">
        <v>484.97550000000001</v>
      </c>
      <c r="D128">
        <v>186.9</v>
      </c>
      <c r="E128">
        <v>-0.43399967516307902</v>
      </c>
      <c r="F128" t="s">
        <v>18</v>
      </c>
      <c r="G128" t="s">
        <v>19</v>
      </c>
      <c r="H128">
        <v>1</v>
      </c>
      <c r="I128" t="s">
        <v>72</v>
      </c>
      <c r="J128" t="s">
        <v>19</v>
      </c>
      <c r="K128">
        <v>0.92</v>
      </c>
      <c r="L128" t="s">
        <v>78</v>
      </c>
      <c r="M128" t="s">
        <v>19</v>
      </c>
      <c r="N128">
        <v>0.73</v>
      </c>
      <c r="O128" t="s">
        <v>79</v>
      </c>
      <c r="P128" t="s">
        <v>19</v>
      </c>
      <c r="Q128">
        <v>0.82599999999999996</v>
      </c>
      <c r="R128" t="s">
        <v>23</v>
      </c>
      <c r="S128">
        <v>4</v>
      </c>
    </row>
    <row r="129" spans="1:19">
      <c r="A129">
        <v>128</v>
      </c>
      <c r="B129" t="s">
        <v>203</v>
      </c>
      <c r="C129">
        <v>365.10610000000003</v>
      </c>
      <c r="D129">
        <v>173.9</v>
      </c>
      <c r="E129">
        <v>-0.69844008367448396</v>
      </c>
      <c r="F129" t="s">
        <v>18</v>
      </c>
      <c r="G129" t="s">
        <v>19</v>
      </c>
      <c r="H129">
        <v>1</v>
      </c>
      <c r="I129" t="s">
        <v>40</v>
      </c>
      <c r="J129" t="s">
        <v>19</v>
      </c>
      <c r="K129">
        <v>1</v>
      </c>
      <c r="L129" t="s">
        <v>41</v>
      </c>
      <c r="M129" t="s">
        <v>19</v>
      </c>
      <c r="N129">
        <v>1</v>
      </c>
      <c r="O129" t="s">
        <v>42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129</v>
      </c>
      <c r="B130" t="s">
        <v>204</v>
      </c>
      <c r="C130">
        <v>269.24860000000001</v>
      </c>
      <c r="D130">
        <v>174.8</v>
      </c>
      <c r="E130">
        <v>-0.94796995917960203</v>
      </c>
      <c r="F130" t="s">
        <v>18</v>
      </c>
      <c r="G130" t="s">
        <v>19</v>
      </c>
      <c r="H130">
        <v>1</v>
      </c>
      <c r="I130" t="s">
        <v>20</v>
      </c>
      <c r="J130" t="s">
        <v>19</v>
      </c>
      <c r="K130">
        <v>0.99</v>
      </c>
      <c r="L130" t="s">
        <v>44</v>
      </c>
      <c r="M130" t="s">
        <v>19</v>
      </c>
      <c r="N130">
        <v>0.96</v>
      </c>
      <c r="O130" t="s">
        <v>45</v>
      </c>
      <c r="P130" t="s">
        <v>19</v>
      </c>
      <c r="Q130">
        <v>0.98599999999999999</v>
      </c>
      <c r="R130" t="s">
        <v>23</v>
      </c>
      <c r="S130">
        <v>4</v>
      </c>
    </row>
    <row r="131" spans="1:19">
      <c r="A131">
        <v>130</v>
      </c>
      <c r="B131" t="s">
        <v>205</v>
      </c>
      <c r="C131">
        <v>478.27780000000001</v>
      </c>
      <c r="D131">
        <v>214.2</v>
      </c>
      <c r="E131">
        <v>-0.74377800494608004</v>
      </c>
      <c r="F131" t="s">
        <v>18</v>
      </c>
      <c r="G131" t="s">
        <v>19</v>
      </c>
      <c r="H131">
        <v>1</v>
      </c>
      <c r="I131" t="s">
        <v>72</v>
      </c>
      <c r="J131" t="s">
        <v>19</v>
      </c>
      <c r="K131">
        <v>0.62</v>
      </c>
      <c r="L131" t="s">
        <v>73</v>
      </c>
      <c r="M131" t="s">
        <v>19</v>
      </c>
      <c r="N131">
        <v>0.76</v>
      </c>
      <c r="O131" t="s">
        <v>74</v>
      </c>
      <c r="P131" t="s">
        <v>19</v>
      </c>
      <c r="Q131">
        <v>0.65800000000000003</v>
      </c>
      <c r="R131" t="s">
        <v>23</v>
      </c>
      <c r="S131">
        <v>4</v>
      </c>
    </row>
    <row r="132" spans="1:19">
      <c r="A132">
        <v>131</v>
      </c>
      <c r="B132" t="s">
        <v>206</v>
      </c>
      <c r="C132">
        <v>777.54200000000003</v>
      </c>
      <c r="D132">
        <v>265.5</v>
      </c>
      <c r="E132">
        <v>-0.67383398836773301</v>
      </c>
      <c r="F132" t="s">
        <v>18</v>
      </c>
      <c r="G132" t="s">
        <v>19</v>
      </c>
      <c r="H132">
        <v>1</v>
      </c>
      <c r="I132" t="s">
        <v>20</v>
      </c>
      <c r="J132" t="s">
        <v>19</v>
      </c>
      <c r="K132">
        <v>0.76</v>
      </c>
      <c r="L132" t="s">
        <v>48</v>
      </c>
      <c r="M132" t="s">
        <v>19</v>
      </c>
      <c r="N132">
        <v>1</v>
      </c>
      <c r="O132" t="s">
        <v>54</v>
      </c>
      <c r="P132" t="s">
        <v>19</v>
      </c>
      <c r="Q132">
        <v>0.59</v>
      </c>
      <c r="R132" t="s">
        <v>23</v>
      </c>
      <c r="S132">
        <v>4</v>
      </c>
    </row>
    <row r="133" spans="1:19">
      <c r="A133">
        <v>132</v>
      </c>
      <c r="B133" t="s">
        <v>207</v>
      </c>
      <c r="C133">
        <v>167.03219999999999</v>
      </c>
      <c r="D133">
        <v>133</v>
      </c>
      <c r="E133">
        <v>-0.84569987667782698</v>
      </c>
      <c r="F133" t="s">
        <v>18</v>
      </c>
      <c r="G133" t="s">
        <v>19</v>
      </c>
      <c r="H133">
        <v>1</v>
      </c>
      <c r="I133" t="s">
        <v>20</v>
      </c>
      <c r="J133" t="s">
        <v>19</v>
      </c>
      <c r="K133">
        <v>0.96</v>
      </c>
      <c r="L133" t="s">
        <v>44</v>
      </c>
      <c r="M133" t="s">
        <v>19</v>
      </c>
      <c r="N133">
        <v>1</v>
      </c>
      <c r="O133" t="s">
        <v>45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208</v>
      </c>
      <c r="C134">
        <v>215.01609999999999</v>
      </c>
      <c r="D134">
        <v>143</v>
      </c>
      <c r="E134">
        <v>-0.77602336108697001</v>
      </c>
      <c r="F134" t="s">
        <v>18</v>
      </c>
      <c r="G134" t="s">
        <v>19</v>
      </c>
      <c r="H134">
        <v>1</v>
      </c>
      <c r="I134" t="s">
        <v>31</v>
      </c>
      <c r="J134" t="s">
        <v>19</v>
      </c>
      <c r="K134">
        <v>0.98</v>
      </c>
      <c r="L134" t="s">
        <v>32</v>
      </c>
      <c r="M134" t="s">
        <v>19</v>
      </c>
      <c r="N134">
        <v>1</v>
      </c>
      <c r="O134" t="s">
        <v>209</v>
      </c>
      <c r="P134" t="s">
        <v>19</v>
      </c>
      <c r="Q134">
        <v>0.81899999999999995</v>
      </c>
      <c r="R134" t="s">
        <v>23</v>
      </c>
      <c r="S134">
        <v>4</v>
      </c>
    </row>
    <row r="135" spans="1:19">
      <c r="A135">
        <v>134</v>
      </c>
      <c r="B135" t="s">
        <v>210</v>
      </c>
      <c r="C135">
        <v>205.09639999999999</v>
      </c>
      <c r="D135">
        <v>151.30000000000001</v>
      </c>
      <c r="E135">
        <v>-0.86739922115057799</v>
      </c>
      <c r="F135" t="s">
        <v>18</v>
      </c>
      <c r="G135" t="s">
        <v>19</v>
      </c>
      <c r="H135">
        <v>1</v>
      </c>
      <c r="I135" t="s">
        <v>89</v>
      </c>
      <c r="J135" t="s">
        <v>19</v>
      </c>
      <c r="K135">
        <v>0.96</v>
      </c>
      <c r="L135" t="s">
        <v>101</v>
      </c>
      <c r="M135" t="s">
        <v>19</v>
      </c>
      <c r="N135">
        <v>0.96</v>
      </c>
      <c r="O135" t="s">
        <v>211</v>
      </c>
      <c r="P135" t="s">
        <v>19</v>
      </c>
      <c r="Q135">
        <v>0.85399999999999998</v>
      </c>
      <c r="R135" t="s">
        <v>23</v>
      </c>
      <c r="S135">
        <v>4</v>
      </c>
    </row>
    <row r="136" spans="1:19">
      <c r="A136">
        <v>135</v>
      </c>
      <c r="B136" t="s">
        <v>212</v>
      </c>
      <c r="C136">
        <v>585.05110000000002</v>
      </c>
      <c r="D136">
        <v>218.5</v>
      </c>
      <c r="E136">
        <v>-0.39786007201144002</v>
      </c>
      <c r="F136" t="s">
        <v>18</v>
      </c>
      <c r="G136" t="s">
        <v>19</v>
      </c>
      <c r="H136">
        <v>1</v>
      </c>
      <c r="I136" t="s">
        <v>72</v>
      </c>
      <c r="J136" t="s">
        <v>19</v>
      </c>
      <c r="K136">
        <v>1</v>
      </c>
      <c r="L136" t="s">
        <v>78</v>
      </c>
      <c r="M136" t="s">
        <v>19</v>
      </c>
      <c r="N136">
        <v>0.81</v>
      </c>
      <c r="O136" t="s">
        <v>174</v>
      </c>
      <c r="P136" t="s">
        <v>19</v>
      </c>
      <c r="Q136">
        <v>0.999</v>
      </c>
      <c r="R136" t="s">
        <v>23</v>
      </c>
      <c r="S136">
        <v>4</v>
      </c>
    </row>
    <row r="137" spans="1:19">
      <c r="A137">
        <v>136</v>
      </c>
      <c r="B137" t="s">
        <v>213</v>
      </c>
      <c r="C137">
        <v>523.8904</v>
      </c>
      <c r="D137">
        <v>188.2</v>
      </c>
      <c r="E137">
        <v>-0.30544916891892598</v>
      </c>
      <c r="F137" t="s">
        <v>18</v>
      </c>
      <c r="G137" t="s">
        <v>19</v>
      </c>
      <c r="H137">
        <v>0.996</v>
      </c>
      <c r="I137" t="s">
        <v>31</v>
      </c>
      <c r="J137" t="s">
        <v>19</v>
      </c>
      <c r="K137">
        <v>0.84</v>
      </c>
      <c r="L137" t="s">
        <v>32</v>
      </c>
      <c r="M137" t="s">
        <v>19</v>
      </c>
      <c r="N137">
        <v>0.99</v>
      </c>
      <c r="O137" t="s">
        <v>33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137</v>
      </c>
      <c r="B138" t="s">
        <v>214</v>
      </c>
      <c r="C138">
        <v>426.99090000000001</v>
      </c>
      <c r="D138">
        <v>178.1</v>
      </c>
      <c r="E138">
        <v>-0.51414249152298896</v>
      </c>
      <c r="F138" t="s">
        <v>18</v>
      </c>
      <c r="G138" t="s">
        <v>19</v>
      </c>
      <c r="H138">
        <v>1</v>
      </c>
      <c r="I138" t="s">
        <v>72</v>
      </c>
      <c r="J138" t="s">
        <v>19</v>
      </c>
      <c r="K138">
        <v>0.94</v>
      </c>
      <c r="L138" t="s">
        <v>78</v>
      </c>
      <c r="M138" t="s">
        <v>19</v>
      </c>
      <c r="N138">
        <v>0.92</v>
      </c>
      <c r="O138" t="s">
        <v>79</v>
      </c>
      <c r="P138" t="s">
        <v>19</v>
      </c>
      <c r="Q138">
        <v>0.996</v>
      </c>
      <c r="R138" t="s">
        <v>23</v>
      </c>
      <c r="S138">
        <v>4</v>
      </c>
    </row>
    <row r="139" spans="1:19">
      <c r="A139">
        <v>138</v>
      </c>
      <c r="B139" t="s">
        <v>103</v>
      </c>
      <c r="C139">
        <v>433.87580000000003</v>
      </c>
      <c r="D139">
        <v>171.4</v>
      </c>
      <c r="E139">
        <v>-0.39135514322089199</v>
      </c>
      <c r="F139" t="s">
        <v>18</v>
      </c>
      <c r="G139" t="s">
        <v>19</v>
      </c>
      <c r="H139">
        <v>0.92200000000000004</v>
      </c>
      <c r="I139" t="s">
        <v>31</v>
      </c>
      <c r="J139" t="s">
        <v>19</v>
      </c>
      <c r="K139">
        <v>0.59</v>
      </c>
      <c r="L139" t="s">
        <v>32</v>
      </c>
      <c r="M139" t="s">
        <v>19</v>
      </c>
      <c r="N139">
        <v>1</v>
      </c>
      <c r="O139" t="s">
        <v>33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139</v>
      </c>
      <c r="B140" t="s">
        <v>215</v>
      </c>
      <c r="C140">
        <v>752.52059999999994</v>
      </c>
      <c r="D140">
        <v>276.7</v>
      </c>
      <c r="E140">
        <v>-0.68037168053535901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1</v>
      </c>
      <c r="L140" t="s">
        <v>48</v>
      </c>
      <c r="M140" t="s">
        <v>19</v>
      </c>
      <c r="N140">
        <v>1</v>
      </c>
      <c r="O140" t="s">
        <v>49</v>
      </c>
      <c r="P140" t="s">
        <v>19</v>
      </c>
      <c r="Q140">
        <v>0.80800000000000005</v>
      </c>
      <c r="R140" t="s">
        <v>23</v>
      </c>
      <c r="S140">
        <v>4</v>
      </c>
    </row>
    <row r="141" spans="1:19">
      <c r="A141">
        <v>140</v>
      </c>
      <c r="B141" t="s">
        <v>216</v>
      </c>
      <c r="C141">
        <v>1121.9975999999999</v>
      </c>
      <c r="D141">
        <v>270.69</v>
      </c>
      <c r="E141">
        <v>-0.74483142743019903</v>
      </c>
      <c r="F141" t="s">
        <v>18</v>
      </c>
      <c r="G141" t="s">
        <v>19</v>
      </c>
      <c r="H141">
        <v>0.95799999999999996</v>
      </c>
      <c r="I141" t="s">
        <v>27</v>
      </c>
      <c r="J141" t="s">
        <v>19</v>
      </c>
      <c r="K141">
        <v>0.98</v>
      </c>
      <c r="L141" t="s">
        <v>28</v>
      </c>
      <c r="M141" t="s">
        <v>19</v>
      </c>
      <c r="N141">
        <v>0.92</v>
      </c>
      <c r="O141" t="s">
        <v>29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141</v>
      </c>
      <c r="B142" t="s">
        <v>217</v>
      </c>
      <c r="C142">
        <v>173.0385</v>
      </c>
      <c r="D142">
        <v>155.1</v>
      </c>
      <c r="E142">
        <v>-0.845293530891155</v>
      </c>
      <c r="F142" t="s">
        <v>18</v>
      </c>
      <c r="G142" t="s">
        <v>19</v>
      </c>
      <c r="H142">
        <v>1</v>
      </c>
      <c r="I142" t="s">
        <v>35</v>
      </c>
      <c r="J142" t="s">
        <v>19</v>
      </c>
      <c r="K142">
        <v>0.69</v>
      </c>
      <c r="L142" t="s">
        <v>36</v>
      </c>
      <c r="M142" t="s">
        <v>19</v>
      </c>
      <c r="N142">
        <v>0.98</v>
      </c>
      <c r="O142" t="s">
        <v>98</v>
      </c>
      <c r="P142" t="s">
        <v>19</v>
      </c>
      <c r="Q142">
        <v>0.61399999999999999</v>
      </c>
      <c r="R142" t="s">
        <v>23</v>
      </c>
      <c r="S142">
        <v>4</v>
      </c>
    </row>
    <row r="143" spans="1:19">
      <c r="A143">
        <v>142</v>
      </c>
      <c r="B143" t="s">
        <v>218</v>
      </c>
      <c r="C143">
        <v>118.0868</v>
      </c>
      <c r="D143">
        <v>120.8</v>
      </c>
      <c r="E143">
        <v>-0.95494995693812301</v>
      </c>
      <c r="F143" t="s">
        <v>18</v>
      </c>
      <c r="G143" t="s">
        <v>19</v>
      </c>
      <c r="H143">
        <v>1</v>
      </c>
      <c r="I143" t="s">
        <v>31</v>
      </c>
      <c r="J143" t="s">
        <v>19</v>
      </c>
      <c r="K143">
        <v>0.99</v>
      </c>
      <c r="L143" t="s">
        <v>32</v>
      </c>
      <c r="M143" t="s">
        <v>19</v>
      </c>
      <c r="N143">
        <v>1</v>
      </c>
      <c r="O143" t="s">
        <v>33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219</v>
      </c>
      <c r="C144">
        <v>173.07409999999999</v>
      </c>
      <c r="D144">
        <v>135.80000000000001</v>
      </c>
      <c r="E144">
        <v>-0.88085378164285499</v>
      </c>
      <c r="F144" t="s">
        <v>18</v>
      </c>
      <c r="G144" t="s">
        <v>19</v>
      </c>
      <c r="H144">
        <v>1</v>
      </c>
      <c r="I144" t="s">
        <v>89</v>
      </c>
      <c r="J144" t="s">
        <v>19</v>
      </c>
      <c r="K144">
        <v>0.76</v>
      </c>
      <c r="L144" t="s">
        <v>101</v>
      </c>
      <c r="M144" t="s">
        <v>19</v>
      </c>
      <c r="N144">
        <v>0.78</v>
      </c>
      <c r="O144" t="s">
        <v>118</v>
      </c>
      <c r="P144" t="s">
        <v>19</v>
      </c>
      <c r="Q144">
        <v>0.873</v>
      </c>
      <c r="R144" t="s">
        <v>23</v>
      </c>
      <c r="S144">
        <v>4</v>
      </c>
    </row>
    <row r="145" spans="1:19">
      <c r="A145">
        <v>144</v>
      </c>
      <c r="B145" t="s">
        <v>220</v>
      </c>
      <c r="C145">
        <v>260.1035</v>
      </c>
      <c r="D145">
        <v>164.4</v>
      </c>
      <c r="E145">
        <v>-0.81308093812737103</v>
      </c>
      <c r="F145" t="s">
        <v>18</v>
      </c>
      <c r="G145" t="s">
        <v>19</v>
      </c>
      <c r="H145">
        <v>1</v>
      </c>
      <c r="I145" t="s">
        <v>31</v>
      </c>
      <c r="J145" t="s">
        <v>19</v>
      </c>
      <c r="K145">
        <v>0.71</v>
      </c>
      <c r="L145" t="s">
        <v>32</v>
      </c>
      <c r="M145" t="s">
        <v>19</v>
      </c>
      <c r="N145">
        <v>1</v>
      </c>
      <c r="O145" t="s">
        <v>33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221</v>
      </c>
      <c r="C146">
        <v>239.01769999999999</v>
      </c>
      <c r="D146">
        <v>143.30000000000001</v>
      </c>
      <c r="E146">
        <v>-0.75082432856549997</v>
      </c>
      <c r="F146" t="s">
        <v>18</v>
      </c>
      <c r="G146" t="s">
        <v>19</v>
      </c>
      <c r="H146">
        <v>1</v>
      </c>
      <c r="I146" t="s">
        <v>31</v>
      </c>
      <c r="J146" t="s">
        <v>19</v>
      </c>
      <c r="K146">
        <v>0.94</v>
      </c>
      <c r="L146" t="s">
        <v>32</v>
      </c>
      <c r="M146" t="s">
        <v>19</v>
      </c>
      <c r="N146">
        <v>1</v>
      </c>
      <c r="O146" t="s">
        <v>33</v>
      </c>
      <c r="P146" t="s">
        <v>19</v>
      </c>
      <c r="Q146">
        <v>0.99</v>
      </c>
      <c r="R146" t="s">
        <v>23</v>
      </c>
      <c r="S146">
        <v>4</v>
      </c>
    </row>
    <row r="147" spans="1:19">
      <c r="A147">
        <v>146</v>
      </c>
      <c r="B147" t="s">
        <v>222</v>
      </c>
      <c r="C147">
        <v>828.57740000000001</v>
      </c>
      <c r="D147">
        <v>293.60000000000002</v>
      </c>
      <c r="E147">
        <v>-0.65225031459829097</v>
      </c>
      <c r="F147" t="s">
        <v>18</v>
      </c>
      <c r="G147" t="s">
        <v>19</v>
      </c>
      <c r="H147">
        <v>1</v>
      </c>
      <c r="I147" t="s">
        <v>20</v>
      </c>
      <c r="J147" t="s">
        <v>19</v>
      </c>
      <c r="K147">
        <v>1</v>
      </c>
      <c r="L147" t="s">
        <v>48</v>
      </c>
      <c r="M147" t="s">
        <v>19</v>
      </c>
      <c r="N147">
        <v>1</v>
      </c>
      <c r="O147" t="s">
        <v>86</v>
      </c>
      <c r="P147" t="s">
        <v>19</v>
      </c>
      <c r="Q147">
        <v>0.92700000000000005</v>
      </c>
      <c r="R147" t="s">
        <v>23</v>
      </c>
      <c r="S147">
        <v>4</v>
      </c>
    </row>
    <row r="148" spans="1:19">
      <c r="A148">
        <v>147</v>
      </c>
      <c r="B148" t="s">
        <v>223</v>
      </c>
      <c r="C148">
        <v>365.10449999999997</v>
      </c>
      <c r="D148">
        <v>178.4</v>
      </c>
      <c r="E148">
        <v>-0.69684187015747101</v>
      </c>
      <c r="F148" t="s">
        <v>18</v>
      </c>
      <c r="G148" t="s">
        <v>19</v>
      </c>
      <c r="H148">
        <v>1</v>
      </c>
      <c r="I148" t="s">
        <v>40</v>
      </c>
      <c r="J148" t="s">
        <v>19</v>
      </c>
      <c r="K148">
        <v>0.91</v>
      </c>
      <c r="L148" t="s">
        <v>41</v>
      </c>
      <c r="M148" t="s">
        <v>19</v>
      </c>
      <c r="N148">
        <v>1</v>
      </c>
      <c r="O148" t="s">
        <v>42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224</v>
      </c>
      <c r="C149">
        <v>190.0497</v>
      </c>
      <c r="D149">
        <v>136.6</v>
      </c>
      <c r="E149">
        <v>-0.83749964289916101</v>
      </c>
      <c r="F149" t="s">
        <v>18</v>
      </c>
      <c r="G149" t="s">
        <v>19</v>
      </c>
      <c r="H149">
        <v>1</v>
      </c>
      <c r="I149" t="s">
        <v>89</v>
      </c>
      <c r="J149" t="s">
        <v>19</v>
      </c>
      <c r="K149">
        <v>0.9</v>
      </c>
      <c r="L149" t="s">
        <v>225</v>
      </c>
      <c r="M149" t="s">
        <v>19</v>
      </c>
      <c r="N149">
        <v>0.68</v>
      </c>
      <c r="O149" t="s">
        <v>226</v>
      </c>
      <c r="P149" t="s">
        <v>19</v>
      </c>
      <c r="Q149">
        <v>0.996</v>
      </c>
      <c r="R149" t="s">
        <v>23</v>
      </c>
      <c r="S149">
        <v>4</v>
      </c>
    </row>
    <row r="150" spans="1:19">
      <c r="A150">
        <v>149</v>
      </c>
      <c r="B150" t="s">
        <v>227</v>
      </c>
      <c r="C150">
        <v>528.2405</v>
      </c>
      <c r="D150">
        <v>212.2</v>
      </c>
      <c r="E150">
        <v>-0.65069205641930195</v>
      </c>
      <c r="F150" t="s">
        <v>18</v>
      </c>
      <c r="G150" t="s">
        <v>19</v>
      </c>
      <c r="H150">
        <v>1</v>
      </c>
      <c r="I150" t="s">
        <v>40</v>
      </c>
      <c r="J150" t="s">
        <v>19</v>
      </c>
      <c r="K150">
        <v>0.83</v>
      </c>
      <c r="L150" t="s">
        <v>41</v>
      </c>
      <c r="M150" t="s">
        <v>19</v>
      </c>
      <c r="N150">
        <v>1</v>
      </c>
      <c r="O150" t="s">
        <v>42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150</v>
      </c>
      <c r="B151" t="s">
        <v>228</v>
      </c>
      <c r="C151">
        <v>1551.8906999999999</v>
      </c>
      <c r="D151">
        <v>237.7</v>
      </c>
      <c r="E151">
        <v>-0.15793346197597199</v>
      </c>
      <c r="F151" t="s">
        <v>56</v>
      </c>
      <c r="G151" t="s">
        <v>19</v>
      </c>
      <c r="H151">
        <v>1</v>
      </c>
      <c r="I151" t="s">
        <v>57</v>
      </c>
      <c r="J151" t="s">
        <v>19</v>
      </c>
      <c r="K151">
        <v>1</v>
      </c>
      <c r="L151" t="s">
        <v>58</v>
      </c>
      <c r="M151" t="s">
        <v>19</v>
      </c>
      <c r="N151">
        <v>1</v>
      </c>
      <c r="O151" t="s">
        <v>59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151</v>
      </c>
      <c r="B152" t="s">
        <v>229</v>
      </c>
      <c r="C152">
        <v>959.96619999999996</v>
      </c>
      <c r="D152">
        <v>247.2</v>
      </c>
      <c r="E152">
        <v>-0.89434789791960201</v>
      </c>
      <c r="F152" t="s">
        <v>18</v>
      </c>
      <c r="G152" t="s">
        <v>19</v>
      </c>
      <c r="H152">
        <v>0.998</v>
      </c>
      <c r="I152" t="s">
        <v>27</v>
      </c>
      <c r="J152" t="s">
        <v>19</v>
      </c>
      <c r="K152">
        <v>0.99</v>
      </c>
      <c r="L152" t="s">
        <v>28</v>
      </c>
      <c r="M152" t="s">
        <v>19</v>
      </c>
      <c r="N152">
        <v>0.99</v>
      </c>
      <c r="O152" t="s">
        <v>29</v>
      </c>
      <c r="P152" t="s">
        <v>19</v>
      </c>
      <c r="Q152">
        <v>0.999</v>
      </c>
      <c r="R152" t="s">
        <v>23</v>
      </c>
      <c r="S152">
        <v>4</v>
      </c>
    </row>
    <row r="153" spans="1:19">
      <c r="A153">
        <v>152</v>
      </c>
      <c r="B153" t="s">
        <v>197</v>
      </c>
      <c r="C153">
        <v>365.10599999999999</v>
      </c>
      <c r="D153">
        <v>177.1</v>
      </c>
      <c r="E153">
        <v>-0.69834019532964897</v>
      </c>
      <c r="F153" t="s">
        <v>18</v>
      </c>
      <c r="G153" t="s">
        <v>19</v>
      </c>
      <c r="H153">
        <v>1</v>
      </c>
      <c r="I153" t="s">
        <v>40</v>
      </c>
      <c r="J153" t="s">
        <v>19</v>
      </c>
      <c r="K153">
        <v>0.99</v>
      </c>
      <c r="L153" t="s">
        <v>41</v>
      </c>
      <c r="M153" t="s">
        <v>19</v>
      </c>
      <c r="N153">
        <v>1</v>
      </c>
      <c r="O153" t="s">
        <v>42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153</v>
      </c>
      <c r="B154" t="s">
        <v>230</v>
      </c>
      <c r="C154">
        <v>341.10840000000002</v>
      </c>
      <c r="D154">
        <v>177.7</v>
      </c>
      <c r="E154">
        <v>-0.72753476164342601</v>
      </c>
      <c r="F154" t="s">
        <v>18</v>
      </c>
      <c r="G154" t="s">
        <v>19</v>
      </c>
      <c r="H154">
        <v>1</v>
      </c>
      <c r="I154" t="s">
        <v>40</v>
      </c>
      <c r="J154" t="s">
        <v>19</v>
      </c>
      <c r="K154">
        <v>0.97</v>
      </c>
      <c r="L154" t="s">
        <v>41</v>
      </c>
      <c r="M154" t="s">
        <v>19</v>
      </c>
      <c r="N154">
        <v>1</v>
      </c>
      <c r="O154" t="s">
        <v>42</v>
      </c>
      <c r="P154" t="s">
        <v>19</v>
      </c>
      <c r="Q154">
        <v>1</v>
      </c>
      <c r="R154" t="s">
        <v>23</v>
      </c>
      <c r="S154">
        <v>4</v>
      </c>
    </row>
    <row r="155" spans="1:19">
      <c r="A155">
        <v>154</v>
      </c>
      <c r="B155" t="s">
        <v>123</v>
      </c>
      <c r="C155">
        <v>163.10759999999999</v>
      </c>
      <c r="D155">
        <v>135</v>
      </c>
      <c r="E155">
        <v>-0.92548189633626499</v>
      </c>
      <c r="F155" t="s">
        <v>18</v>
      </c>
      <c r="G155" t="s">
        <v>19</v>
      </c>
      <c r="H155">
        <v>1</v>
      </c>
      <c r="I155" t="s">
        <v>31</v>
      </c>
      <c r="J155" t="s">
        <v>19</v>
      </c>
      <c r="K155">
        <v>0.79</v>
      </c>
      <c r="L155" t="s">
        <v>32</v>
      </c>
      <c r="M155" t="s">
        <v>19</v>
      </c>
      <c r="N155">
        <v>1</v>
      </c>
      <c r="O155" t="s">
        <v>33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155</v>
      </c>
      <c r="B156" t="s">
        <v>231</v>
      </c>
      <c r="C156">
        <v>312.08479999999997</v>
      </c>
      <c r="D156">
        <v>188.4</v>
      </c>
      <c r="E156">
        <v>-0.736341117898348</v>
      </c>
      <c r="F156" t="s">
        <v>18</v>
      </c>
      <c r="G156" t="s">
        <v>19</v>
      </c>
      <c r="H156">
        <v>1</v>
      </c>
      <c r="I156" t="s">
        <v>20</v>
      </c>
      <c r="J156" t="s">
        <v>19</v>
      </c>
      <c r="K156">
        <v>0.75</v>
      </c>
      <c r="L156" t="s">
        <v>48</v>
      </c>
      <c r="M156" t="s">
        <v>19</v>
      </c>
      <c r="N156">
        <v>0.71</v>
      </c>
      <c r="O156" t="s">
        <v>86</v>
      </c>
      <c r="P156" t="s">
        <v>19</v>
      </c>
      <c r="Q156">
        <v>0.74099999999999999</v>
      </c>
      <c r="R156" t="s">
        <v>23</v>
      </c>
      <c r="S156">
        <v>4</v>
      </c>
    </row>
    <row r="157" spans="1:19">
      <c r="A157">
        <v>156</v>
      </c>
      <c r="B157" t="s">
        <v>232</v>
      </c>
      <c r="C157">
        <v>906.48509999999999</v>
      </c>
      <c r="D157">
        <v>313</v>
      </c>
      <c r="E157">
        <v>-0.47296232271560301</v>
      </c>
      <c r="F157" t="s">
        <v>18</v>
      </c>
      <c r="G157" t="s">
        <v>19</v>
      </c>
      <c r="H157">
        <v>1</v>
      </c>
      <c r="I157" t="s">
        <v>40</v>
      </c>
      <c r="J157" t="s">
        <v>19</v>
      </c>
      <c r="K157">
        <v>0.97</v>
      </c>
      <c r="L157" t="s">
        <v>41</v>
      </c>
      <c r="M157" t="s">
        <v>19</v>
      </c>
      <c r="N157">
        <v>1</v>
      </c>
      <c r="O157" t="s">
        <v>42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157</v>
      </c>
      <c r="B158" t="s">
        <v>233</v>
      </c>
      <c r="C158">
        <v>187.05590000000001</v>
      </c>
      <c r="D158">
        <v>136.80000000000001</v>
      </c>
      <c r="E158">
        <v>-0.84704237603207799</v>
      </c>
      <c r="F158" t="s">
        <v>18</v>
      </c>
      <c r="G158" t="s">
        <v>19</v>
      </c>
      <c r="H158">
        <v>1</v>
      </c>
      <c r="I158" t="s">
        <v>40</v>
      </c>
      <c r="J158" t="s">
        <v>19</v>
      </c>
      <c r="K158">
        <v>0.69</v>
      </c>
      <c r="L158" t="s">
        <v>41</v>
      </c>
      <c r="M158" t="s">
        <v>19</v>
      </c>
      <c r="N158">
        <v>1</v>
      </c>
      <c r="O158" t="s">
        <v>42</v>
      </c>
      <c r="P158" t="s">
        <v>19</v>
      </c>
      <c r="Q158">
        <v>0.97799999999999998</v>
      </c>
      <c r="R158" t="s">
        <v>23</v>
      </c>
      <c r="S158">
        <v>4</v>
      </c>
    </row>
    <row r="159" spans="1:19">
      <c r="A159">
        <v>158</v>
      </c>
      <c r="B159" t="s">
        <v>234</v>
      </c>
      <c r="C159">
        <v>205.06639999999999</v>
      </c>
      <c r="D159">
        <v>143.4</v>
      </c>
      <c r="E159">
        <v>-0.83743271770811101</v>
      </c>
      <c r="F159" t="s">
        <v>18</v>
      </c>
      <c r="G159" t="s">
        <v>19</v>
      </c>
      <c r="H159">
        <v>1</v>
      </c>
      <c r="I159" t="s">
        <v>40</v>
      </c>
      <c r="J159" t="s">
        <v>19</v>
      </c>
      <c r="K159">
        <v>0.88</v>
      </c>
      <c r="L159" t="s">
        <v>41</v>
      </c>
      <c r="M159" t="s">
        <v>19</v>
      </c>
      <c r="N159">
        <v>1</v>
      </c>
      <c r="O159" t="s">
        <v>42</v>
      </c>
      <c r="P159" t="s">
        <v>19</v>
      </c>
      <c r="Q159">
        <v>0.99099999999999999</v>
      </c>
      <c r="R159" t="s">
        <v>23</v>
      </c>
      <c r="S159">
        <v>4</v>
      </c>
    </row>
    <row r="160" spans="1:19">
      <c r="A160">
        <v>159</v>
      </c>
      <c r="B160" t="s">
        <v>235</v>
      </c>
      <c r="C160">
        <v>345.01220000000001</v>
      </c>
      <c r="D160">
        <v>164.1</v>
      </c>
      <c r="E160">
        <v>-0.62697596626492202</v>
      </c>
      <c r="F160" t="s">
        <v>18</v>
      </c>
      <c r="G160" t="s">
        <v>19</v>
      </c>
      <c r="H160">
        <v>1</v>
      </c>
      <c r="I160" t="s">
        <v>72</v>
      </c>
      <c r="J160" t="s">
        <v>19</v>
      </c>
      <c r="K160">
        <v>0.99</v>
      </c>
      <c r="L160" t="s">
        <v>78</v>
      </c>
      <c r="M160" t="s">
        <v>19</v>
      </c>
      <c r="N160">
        <v>0.89</v>
      </c>
      <c r="O160" t="s">
        <v>79</v>
      </c>
      <c r="P160" t="s">
        <v>19</v>
      </c>
      <c r="Q160">
        <v>0.90400000000000003</v>
      </c>
      <c r="R160" t="s">
        <v>23</v>
      </c>
      <c r="S160">
        <v>4</v>
      </c>
    </row>
    <row r="161" spans="1:19">
      <c r="A161">
        <v>160</v>
      </c>
      <c r="B161" t="s">
        <v>199</v>
      </c>
      <c r="C161">
        <v>624.29549999999995</v>
      </c>
      <c r="D161">
        <v>245.2</v>
      </c>
      <c r="E161">
        <v>-0.59844166191021497</v>
      </c>
      <c r="F161" t="s">
        <v>18</v>
      </c>
      <c r="G161" t="s">
        <v>19</v>
      </c>
      <c r="H161">
        <v>0.97599999999999998</v>
      </c>
      <c r="I161" t="s">
        <v>31</v>
      </c>
      <c r="J161" t="s">
        <v>19</v>
      </c>
      <c r="K161">
        <v>0.97</v>
      </c>
      <c r="L161" t="s">
        <v>32</v>
      </c>
      <c r="M161" t="s">
        <v>19</v>
      </c>
      <c r="N161">
        <v>0.96</v>
      </c>
      <c r="O161" t="s">
        <v>33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236</v>
      </c>
      <c r="C162">
        <v>282.03550000000001</v>
      </c>
      <c r="D162">
        <v>160.30000000000001</v>
      </c>
      <c r="E162">
        <v>-0.720592721455944</v>
      </c>
      <c r="F162" t="s">
        <v>18</v>
      </c>
      <c r="G162" t="s">
        <v>19</v>
      </c>
      <c r="H162">
        <v>1</v>
      </c>
      <c r="I162" t="s">
        <v>40</v>
      </c>
      <c r="J162" t="s">
        <v>19</v>
      </c>
      <c r="K162">
        <v>0.72</v>
      </c>
      <c r="L162" t="s">
        <v>41</v>
      </c>
      <c r="M162" t="s">
        <v>19</v>
      </c>
      <c r="N162">
        <v>1</v>
      </c>
      <c r="O162" t="s">
        <v>42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237</v>
      </c>
      <c r="C163">
        <v>343.22109999999998</v>
      </c>
      <c r="D163">
        <v>185.9</v>
      </c>
      <c r="E163">
        <v>-0.83787582240569203</v>
      </c>
      <c r="F163" t="s">
        <v>18</v>
      </c>
      <c r="G163" t="s">
        <v>19</v>
      </c>
      <c r="H163">
        <v>1</v>
      </c>
      <c r="I163" t="s">
        <v>20</v>
      </c>
      <c r="J163" t="s">
        <v>19</v>
      </c>
      <c r="K163">
        <v>1</v>
      </c>
      <c r="L163" t="s">
        <v>44</v>
      </c>
      <c r="M163" t="s">
        <v>19</v>
      </c>
      <c r="N163">
        <v>0.99</v>
      </c>
      <c r="O163" t="s">
        <v>45</v>
      </c>
      <c r="P163" t="s">
        <v>19</v>
      </c>
      <c r="Q163">
        <v>0.69499999999999995</v>
      </c>
      <c r="R163" t="s">
        <v>23</v>
      </c>
      <c r="S163">
        <v>4</v>
      </c>
    </row>
    <row r="164" spans="1:19">
      <c r="A164">
        <v>163</v>
      </c>
      <c r="B164" t="s">
        <v>238</v>
      </c>
      <c r="C164">
        <v>177.1028</v>
      </c>
      <c r="D164">
        <v>150.9</v>
      </c>
      <c r="E164">
        <v>-0.90505552892975105</v>
      </c>
      <c r="F164" t="s">
        <v>18</v>
      </c>
      <c r="G164" t="s">
        <v>19</v>
      </c>
      <c r="H164">
        <v>1</v>
      </c>
      <c r="I164" t="s">
        <v>89</v>
      </c>
      <c r="J164" t="s">
        <v>19</v>
      </c>
      <c r="K164">
        <v>0.7</v>
      </c>
      <c r="L164" t="s">
        <v>101</v>
      </c>
      <c r="M164" t="s">
        <v>19</v>
      </c>
      <c r="N164">
        <v>0.93</v>
      </c>
      <c r="O164" t="s">
        <v>102</v>
      </c>
      <c r="P164" t="s">
        <v>19</v>
      </c>
      <c r="Q164">
        <v>0.91500000000000004</v>
      </c>
      <c r="R164" t="s">
        <v>23</v>
      </c>
      <c r="S164">
        <v>4</v>
      </c>
    </row>
    <row r="165" spans="1:19">
      <c r="A165">
        <v>164</v>
      </c>
      <c r="B165" t="s">
        <v>239</v>
      </c>
      <c r="C165">
        <v>529.98540000000003</v>
      </c>
      <c r="D165">
        <v>204.2</v>
      </c>
      <c r="E165">
        <v>-0.39364378497714397</v>
      </c>
      <c r="F165" t="s">
        <v>18</v>
      </c>
      <c r="G165" t="s">
        <v>19</v>
      </c>
      <c r="H165">
        <v>0.97799999999999998</v>
      </c>
      <c r="I165" t="s">
        <v>72</v>
      </c>
      <c r="J165" t="s">
        <v>19</v>
      </c>
      <c r="K165">
        <v>0.99</v>
      </c>
      <c r="L165" t="s">
        <v>73</v>
      </c>
      <c r="M165" t="s">
        <v>19</v>
      </c>
      <c r="N165">
        <v>0.94</v>
      </c>
      <c r="O165" t="s">
        <v>74</v>
      </c>
      <c r="P165" t="s">
        <v>19</v>
      </c>
      <c r="Q165">
        <v>0.75900000000000001</v>
      </c>
      <c r="R165" t="s">
        <v>23</v>
      </c>
      <c r="S165">
        <v>4</v>
      </c>
    </row>
    <row r="166" spans="1:19">
      <c r="A166">
        <v>165</v>
      </c>
      <c r="B166" t="s">
        <v>240</v>
      </c>
      <c r="C166">
        <v>1046.6155000000001</v>
      </c>
      <c r="D166">
        <v>332.1</v>
      </c>
      <c r="E166">
        <v>-0.44689945578829798</v>
      </c>
      <c r="F166" t="s">
        <v>18</v>
      </c>
      <c r="G166" t="s">
        <v>19</v>
      </c>
      <c r="H166">
        <v>1</v>
      </c>
      <c r="I166" t="s">
        <v>31</v>
      </c>
      <c r="J166" t="s">
        <v>19</v>
      </c>
      <c r="K166">
        <v>1</v>
      </c>
      <c r="L166" t="s">
        <v>107</v>
      </c>
      <c r="M166" t="s">
        <v>19</v>
      </c>
      <c r="N166">
        <v>0.99</v>
      </c>
      <c r="O166" t="s">
        <v>108</v>
      </c>
      <c r="P166" t="s">
        <v>19</v>
      </c>
      <c r="Q166">
        <v>0.999</v>
      </c>
      <c r="R166" t="s">
        <v>23</v>
      </c>
      <c r="S166">
        <v>4</v>
      </c>
    </row>
    <row r="167" spans="1:19">
      <c r="A167">
        <v>166</v>
      </c>
      <c r="B167" t="s">
        <v>241</v>
      </c>
      <c r="C167">
        <v>865.71379999999999</v>
      </c>
      <c r="D167">
        <v>309.10000000000002</v>
      </c>
      <c r="E167">
        <v>-0.74718559594077805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1</v>
      </c>
      <c r="L167" t="s">
        <v>21</v>
      </c>
      <c r="M167" t="s">
        <v>19</v>
      </c>
      <c r="N167">
        <v>0.96</v>
      </c>
      <c r="O167" t="s">
        <v>22</v>
      </c>
      <c r="P167" t="s">
        <v>19</v>
      </c>
      <c r="Q167">
        <v>0.70399999999999996</v>
      </c>
      <c r="R167" t="s">
        <v>23</v>
      </c>
      <c r="S167">
        <v>4</v>
      </c>
    </row>
    <row r="168" spans="1:19">
      <c r="A168">
        <v>167</v>
      </c>
      <c r="B168" t="s">
        <v>160</v>
      </c>
      <c r="C168">
        <v>712.49469999999997</v>
      </c>
      <c r="D168">
        <v>272.2</v>
      </c>
      <c r="E168">
        <v>-0.69916267596079296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0.99</v>
      </c>
      <c r="L168" t="s">
        <v>48</v>
      </c>
      <c r="M168" t="s">
        <v>19</v>
      </c>
      <c r="N168">
        <v>1</v>
      </c>
      <c r="O168" t="s">
        <v>49</v>
      </c>
      <c r="P168" t="s">
        <v>19</v>
      </c>
      <c r="Q168">
        <v>0.86</v>
      </c>
      <c r="R168" t="s">
        <v>23</v>
      </c>
      <c r="S168">
        <v>4</v>
      </c>
    </row>
    <row r="169" spans="1:19">
      <c r="A169">
        <v>168</v>
      </c>
      <c r="B169" t="s">
        <v>242</v>
      </c>
      <c r="C169">
        <v>378.2029</v>
      </c>
      <c r="D169">
        <v>185.2</v>
      </c>
      <c r="E169">
        <v>-0.78061682651127695</v>
      </c>
      <c r="F169" t="s">
        <v>18</v>
      </c>
      <c r="G169" t="s">
        <v>19</v>
      </c>
      <c r="H169">
        <v>1</v>
      </c>
      <c r="I169" t="s">
        <v>31</v>
      </c>
      <c r="J169" t="s">
        <v>19</v>
      </c>
      <c r="K169">
        <v>0.85</v>
      </c>
      <c r="L169" t="s">
        <v>32</v>
      </c>
      <c r="M169" t="s">
        <v>19</v>
      </c>
      <c r="N169">
        <v>1</v>
      </c>
      <c r="O169" t="s">
        <v>33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243</v>
      </c>
      <c r="C170">
        <v>182.0582</v>
      </c>
      <c r="D170">
        <v>139.30000000000001</v>
      </c>
      <c r="E170">
        <v>-0.85492256755398399</v>
      </c>
      <c r="F170" t="s">
        <v>18</v>
      </c>
      <c r="G170" t="s">
        <v>19</v>
      </c>
      <c r="H170">
        <v>1</v>
      </c>
      <c r="I170" t="s">
        <v>31</v>
      </c>
      <c r="J170" t="s">
        <v>19</v>
      </c>
      <c r="K170">
        <v>0.76</v>
      </c>
      <c r="L170" t="s">
        <v>32</v>
      </c>
      <c r="M170" t="s">
        <v>19</v>
      </c>
      <c r="N170">
        <v>1</v>
      </c>
      <c r="O170" t="s">
        <v>33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170</v>
      </c>
      <c r="B171" t="s">
        <v>244</v>
      </c>
      <c r="C171">
        <v>297.28429999999997</v>
      </c>
      <c r="D171">
        <v>183</v>
      </c>
      <c r="E171">
        <v>-0.95236664456467701</v>
      </c>
      <c r="F171" t="s">
        <v>18</v>
      </c>
      <c r="G171" t="s">
        <v>19</v>
      </c>
      <c r="H171">
        <v>1</v>
      </c>
      <c r="I171" t="s">
        <v>20</v>
      </c>
      <c r="J171" t="s">
        <v>19</v>
      </c>
      <c r="K171">
        <v>1</v>
      </c>
      <c r="L171" t="s">
        <v>44</v>
      </c>
      <c r="M171" t="s">
        <v>19</v>
      </c>
      <c r="N171">
        <v>0.8</v>
      </c>
      <c r="O171" t="s">
        <v>45</v>
      </c>
      <c r="P171" t="s">
        <v>19</v>
      </c>
      <c r="Q171">
        <v>0.93100000000000005</v>
      </c>
      <c r="R171" t="s">
        <v>23</v>
      </c>
      <c r="S171">
        <v>4</v>
      </c>
    </row>
    <row r="172" spans="1:19">
      <c r="A172">
        <v>171</v>
      </c>
      <c r="B172" t="s">
        <v>160</v>
      </c>
      <c r="C172">
        <v>736.48929999999996</v>
      </c>
      <c r="D172">
        <v>272.8</v>
      </c>
      <c r="E172">
        <v>-0.666971459302658</v>
      </c>
      <c r="F172" t="s">
        <v>18</v>
      </c>
      <c r="G172" t="s">
        <v>19</v>
      </c>
      <c r="H172">
        <v>1</v>
      </c>
      <c r="I172" t="s">
        <v>20</v>
      </c>
      <c r="J172" t="s">
        <v>19</v>
      </c>
      <c r="K172">
        <v>1</v>
      </c>
      <c r="L172" t="s">
        <v>48</v>
      </c>
      <c r="M172" t="s">
        <v>19</v>
      </c>
      <c r="N172">
        <v>1</v>
      </c>
      <c r="O172" t="s">
        <v>49</v>
      </c>
      <c r="P172" t="s">
        <v>19</v>
      </c>
      <c r="Q172">
        <v>0.79600000000000004</v>
      </c>
      <c r="R172" t="s">
        <v>23</v>
      </c>
      <c r="S172">
        <v>4</v>
      </c>
    </row>
    <row r="173" spans="1:19">
      <c r="A173">
        <v>172</v>
      </c>
      <c r="B173" t="s">
        <v>245</v>
      </c>
      <c r="C173">
        <v>810.50250000000005</v>
      </c>
      <c r="D173">
        <v>284.7</v>
      </c>
      <c r="E173">
        <v>-0.59753187886576598</v>
      </c>
      <c r="F173" t="s">
        <v>18</v>
      </c>
      <c r="G173" t="s">
        <v>19</v>
      </c>
      <c r="H173">
        <v>1</v>
      </c>
      <c r="I173" t="s">
        <v>20</v>
      </c>
      <c r="J173" t="s">
        <v>19</v>
      </c>
      <c r="K173">
        <v>0.9</v>
      </c>
      <c r="L173" t="s">
        <v>48</v>
      </c>
      <c r="M173" t="s">
        <v>19</v>
      </c>
      <c r="N173">
        <v>1</v>
      </c>
      <c r="O173" t="s">
        <v>49</v>
      </c>
      <c r="P173" t="s">
        <v>19</v>
      </c>
      <c r="Q173">
        <v>0.80700000000000005</v>
      </c>
      <c r="R173" t="s">
        <v>23</v>
      </c>
      <c r="S173">
        <v>4</v>
      </c>
    </row>
    <row r="174" spans="1:19">
      <c r="A174">
        <v>173</v>
      </c>
      <c r="B174" t="s">
        <v>246</v>
      </c>
      <c r="C174">
        <v>1759.9150999999999</v>
      </c>
      <c r="D174">
        <v>336.39</v>
      </c>
      <c r="E174">
        <v>-0.95006341910993797</v>
      </c>
      <c r="F174" t="s">
        <v>18</v>
      </c>
      <c r="G174" t="s">
        <v>19</v>
      </c>
      <c r="H174">
        <v>0.97399999999999998</v>
      </c>
      <c r="I174" t="s">
        <v>27</v>
      </c>
      <c r="J174" t="s">
        <v>19</v>
      </c>
      <c r="K174">
        <v>0.89</v>
      </c>
      <c r="L174" t="s">
        <v>28</v>
      </c>
      <c r="M174" t="s">
        <v>19</v>
      </c>
      <c r="N174">
        <v>1</v>
      </c>
      <c r="O174" t="s">
        <v>29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174</v>
      </c>
      <c r="B175" t="s">
        <v>247</v>
      </c>
      <c r="C175">
        <v>848.57569999999998</v>
      </c>
      <c r="D175">
        <v>294.60000000000002</v>
      </c>
      <c r="E175">
        <v>-0.62822117437122005</v>
      </c>
      <c r="F175" t="s">
        <v>18</v>
      </c>
      <c r="G175" t="s">
        <v>19</v>
      </c>
      <c r="H175">
        <v>1</v>
      </c>
      <c r="I175" t="s">
        <v>20</v>
      </c>
      <c r="J175" t="s">
        <v>19</v>
      </c>
      <c r="K175">
        <v>0.99</v>
      </c>
      <c r="L175" t="s">
        <v>48</v>
      </c>
      <c r="M175" t="s">
        <v>19</v>
      </c>
      <c r="N175">
        <v>1</v>
      </c>
      <c r="O175" t="s">
        <v>86</v>
      </c>
      <c r="P175" t="s">
        <v>19</v>
      </c>
      <c r="Q175">
        <v>0.88700000000000001</v>
      </c>
      <c r="R175" t="s">
        <v>23</v>
      </c>
      <c r="S175">
        <v>4</v>
      </c>
    </row>
    <row r="176" spans="1:19">
      <c r="A176">
        <v>175</v>
      </c>
      <c r="B176" t="s">
        <v>248</v>
      </c>
      <c r="C176">
        <v>179.05520000000001</v>
      </c>
      <c r="D176">
        <v>131.5</v>
      </c>
      <c r="E176">
        <v>-0.85527557296453005</v>
      </c>
      <c r="F176" t="s">
        <v>18</v>
      </c>
      <c r="G176" t="s">
        <v>19</v>
      </c>
      <c r="H176">
        <v>1</v>
      </c>
      <c r="I176" t="s">
        <v>40</v>
      </c>
      <c r="J176" t="s">
        <v>19</v>
      </c>
      <c r="K176">
        <v>0.71</v>
      </c>
      <c r="L176" t="s">
        <v>41</v>
      </c>
      <c r="M176" t="s">
        <v>19</v>
      </c>
      <c r="N176">
        <v>1</v>
      </c>
      <c r="O176" t="s">
        <v>249</v>
      </c>
      <c r="P176" t="s">
        <v>19</v>
      </c>
      <c r="Q176">
        <v>0.69699999999999995</v>
      </c>
      <c r="R176" t="s">
        <v>23</v>
      </c>
      <c r="S176">
        <v>4</v>
      </c>
    </row>
    <row r="177" spans="1:19">
      <c r="A177">
        <v>176</v>
      </c>
      <c r="B177" t="s">
        <v>250</v>
      </c>
      <c r="C177">
        <v>167.03200000000001</v>
      </c>
      <c r="D177">
        <v>132.4</v>
      </c>
      <c r="E177">
        <v>-0.84550009998824305</v>
      </c>
      <c r="F177" t="s">
        <v>18</v>
      </c>
      <c r="G177" t="s">
        <v>19</v>
      </c>
      <c r="H177">
        <v>1</v>
      </c>
      <c r="I177" t="s">
        <v>20</v>
      </c>
      <c r="J177" t="s">
        <v>19</v>
      </c>
      <c r="K177">
        <v>0.89</v>
      </c>
      <c r="L177" t="s">
        <v>44</v>
      </c>
      <c r="M177" t="s">
        <v>19</v>
      </c>
      <c r="N177">
        <v>1</v>
      </c>
      <c r="O177" t="s">
        <v>45</v>
      </c>
      <c r="P177" t="s">
        <v>19</v>
      </c>
      <c r="Q177">
        <v>0.999</v>
      </c>
      <c r="R177" t="s">
        <v>23</v>
      </c>
      <c r="S177">
        <v>4</v>
      </c>
    </row>
    <row r="178" spans="1:19">
      <c r="A178">
        <v>177</v>
      </c>
      <c r="B178" t="s">
        <v>251</v>
      </c>
      <c r="C178">
        <v>175.05770000000001</v>
      </c>
      <c r="D178">
        <v>136</v>
      </c>
      <c r="E178">
        <v>-0.86223898925780396</v>
      </c>
      <c r="F178" t="s">
        <v>18</v>
      </c>
      <c r="G178" t="s">
        <v>19</v>
      </c>
      <c r="H178">
        <v>1</v>
      </c>
      <c r="I178" t="s">
        <v>40</v>
      </c>
      <c r="J178" t="s">
        <v>19</v>
      </c>
      <c r="K178">
        <v>0.9</v>
      </c>
      <c r="L178" t="s">
        <v>41</v>
      </c>
      <c r="M178" t="s">
        <v>19</v>
      </c>
      <c r="N178">
        <v>1</v>
      </c>
      <c r="O178" t="s">
        <v>42</v>
      </c>
      <c r="P178" t="s">
        <v>19</v>
      </c>
      <c r="Q178">
        <v>0.97799999999999998</v>
      </c>
      <c r="R178" t="s">
        <v>23</v>
      </c>
      <c r="S178">
        <v>4</v>
      </c>
    </row>
    <row r="179" spans="1:19">
      <c r="A179">
        <v>178</v>
      </c>
      <c r="B179" t="s">
        <v>252</v>
      </c>
      <c r="C179">
        <v>1062.55</v>
      </c>
      <c r="D179">
        <v>325.60000000000002</v>
      </c>
      <c r="E179">
        <v>-0.36360775924663402</v>
      </c>
      <c r="F179" t="s">
        <v>18</v>
      </c>
      <c r="G179" t="s">
        <v>19</v>
      </c>
      <c r="H179">
        <v>0.998</v>
      </c>
      <c r="I179" t="s">
        <v>31</v>
      </c>
      <c r="J179" t="s">
        <v>19</v>
      </c>
      <c r="K179">
        <v>1</v>
      </c>
      <c r="L179" t="s">
        <v>32</v>
      </c>
      <c r="M179" t="s">
        <v>19</v>
      </c>
      <c r="N179">
        <v>0.77</v>
      </c>
      <c r="O179" t="s">
        <v>33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179</v>
      </c>
      <c r="B180" t="s">
        <v>253</v>
      </c>
      <c r="C180">
        <v>622.44479999999999</v>
      </c>
      <c r="D180">
        <v>260.60000000000002</v>
      </c>
      <c r="E180">
        <v>-0.74980806454539095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0.99</v>
      </c>
      <c r="L180" t="s">
        <v>48</v>
      </c>
      <c r="M180" t="s">
        <v>19</v>
      </c>
      <c r="N180">
        <v>1</v>
      </c>
      <c r="O180" t="s">
        <v>86</v>
      </c>
      <c r="P180" t="s">
        <v>19</v>
      </c>
      <c r="Q180">
        <v>0.85699999999999998</v>
      </c>
      <c r="R180" t="s">
        <v>23</v>
      </c>
      <c r="S180">
        <v>4</v>
      </c>
    </row>
    <row r="181" spans="1:19">
      <c r="A181">
        <v>180</v>
      </c>
      <c r="B181" t="s">
        <v>254</v>
      </c>
      <c r="C181">
        <v>752.60159999999996</v>
      </c>
      <c r="D181">
        <v>285.60000000000002</v>
      </c>
      <c r="E181">
        <v>-0.76128123983005502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1</v>
      </c>
      <c r="L181" t="s">
        <v>21</v>
      </c>
      <c r="M181" t="s">
        <v>19</v>
      </c>
      <c r="N181">
        <v>0.74</v>
      </c>
      <c r="O181" t="s">
        <v>25</v>
      </c>
      <c r="P181" t="s">
        <v>19</v>
      </c>
      <c r="Q181">
        <v>0.82499999999999996</v>
      </c>
      <c r="R181" t="s">
        <v>23</v>
      </c>
      <c r="S181">
        <v>4</v>
      </c>
    </row>
    <row r="182" spans="1:19">
      <c r="A182">
        <v>181</v>
      </c>
      <c r="B182" t="s">
        <v>255</v>
      </c>
      <c r="C182">
        <v>859.51289999999995</v>
      </c>
      <c r="D182">
        <v>280</v>
      </c>
      <c r="E182">
        <v>-0.55320922273074302</v>
      </c>
      <c r="F182" t="s">
        <v>18</v>
      </c>
      <c r="G182" t="s">
        <v>19</v>
      </c>
      <c r="H182">
        <v>1</v>
      </c>
      <c r="I182" t="s">
        <v>40</v>
      </c>
      <c r="J182" t="s">
        <v>19</v>
      </c>
      <c r="K182">
        <v>0.66</v>
      </c>
      <c r="L182" t="s">
        <v>41</v>
      </c>
      <c r="M182" t="s">
        <v>19</v>
      </c>
      <c r="N182">
        <v>1</v>
      </c>
      <c r="O182" t="s">
        <v>42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182</v>
      </c>
      <c r="B183" t="s">
        <v>256</v>
      </c>
      <c r="C183">
        <v>522.35590000000002</v>
      </c>
      <c r="D183">
        <v>233.2</v>
      </c>
      <c r="E183">
        <v>-0.77266251783760298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1</v>
      </c>
      <c r="L183" t="s">
        <v>48</v>
      </c>
      <c r="M183" t="s">
        <v>19</v>
      </c>
      <c r="N183">
        <v>0.97</v>
      </c>
      <c r="O183" t="s">
        <v>86</v>
      </c>
      <c r="P183" t="s">
        <v>19</v>
      </c>
      <c r="Q183">
        <v>0.95799999999999996</v>
      </c>
      <c r="R183" t="s">
        <v>23</v>
      </c>
      <c r="S183">
        <v>4</v>
      </c>
    </row>
    <row r="184" spans="1:19">
      <c r="A184">
        <v>183</v>
      </c>
      <c r="B184" t="s">
        <v>257</v>
      </c>
      <c r="C184">
        <v>385.01710000000003</v>
      </c>
      <c r="D184">
        <v>171</v>
      </c>
      <c r="E184">
        <v>-0.58720841842989602</v>
      </c>
      <c r="F184" t="s">
        <v>18</v>
      </c>
      <c r="G184" t="s">
        <v>19</v>
      </c>
      <c r="H184">
        <v>1</v>
      </c>
      <c r="I184" t="s">
        <v>72</v>
      </c>
      <c r="J184" t="s">
        <v>19</v>
      </c>
      <c r="K184">
        <v>0.96</v>
      </c>
      <c r="L184" t="s">
        <v>73</v>
      </c>
      <c r="M184" t="s">
        <v>19</v>
      </c>
      <c r="N184">
        <v>0.97</v>
      </c>
      <c r="O184" t="s">
        <v>74</v>
      </c>
      <c r="P184" t="s">
        <v>19</v>
      </c>
      <c r="Q184">
        <v>0.93200000000000005</v>
      </c>
      <c r="R184" t="s">
        <v>23</v>
      </c>
      <c r="S184">
        <v>4</v>
      </c>
    </row>
    <row r="185" spans="1:19">
      <c r="A185">
        <v>184</v>
      </c>
      <c r="B185" t="s">
        <v>258</v>
      </c>
      <c r="C185">
        <v>846.52369999999996</v>
      </c>
      <c r="D185">
        <v>291.60000000000002</v>
      </c>
      <c r="E185">
        <v>-0.57851233890744402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0.99</v>
      </c>
      <c r="L185" t="s">
        <v>48</v>
      </c>
      <c r="M185" t="s">
        <v>19</v>
      </c>
      <c r="N185">
        <v>1</v>
      </c>
      <c r="O185" t="s">
        <v>54</v>
      </c>
      <c r="P185" t="s">
        <v>19</v>
      </c>
      <c r="Q185">
        <v>0.86699999999999999</v>
      </c>
      <c r="R185" t="s">
        <v>23</v>
      </c>
      <c r="S185">
        <v>4</v>
      </c>
    </row>
    <row r="186" spans="1:19">
      <c r="A186">
        <v>185</v>
      </c>
      <c r="B186" t="s">
        <v>259</v>
      </c>
      <c r="C186">
        <v>255.23310000000001</v>
      </c>
      <c r="D186">
        <v>168.7</v>
      </c>
      <c r="E186">
        <v>-0.94811899259008203</v>
      </c>
      <c r="F186" t="s">
        <v>18</v>
      </c>
      <c r="G186" t="s">
        <v>19</v>
      </c>
      <c r="H186">
        <v>1</v>
      </c>
      <c r="I186" t="s">
        <v>20</v>
      </c>
      <c r="J186" t="s">
        <v>19</v>
      </c>
      <c r="K186">
        <v>1</v>
      </c>
      <c r="L186" t="s">
        <v>44</v>
      </c>
      <c r="M186" t="s">
        <v>19</v>
      </c>
      <c r="N186">
        <v>1</v>
      </c>
      <c r="O186" t="s">
        <v>45</v>
      </c>
      <c r="P186" t="s">
        <v>19</v>
      </c>
      <c r="Q186">
        <v>0.999</v>
      </c>
      <c r="R186" t="s">
        <v>23</v>
      </c>
      <c r="S186">
        <v>4</v>
      </c>
    </row>
    <row r="187" spans="1:19">
      <c r="A187">
        <v>186</v>
      </c>
      <c r="B187" t="s">
        <v>260</v>
      </c>
      <c r="C187">
        <v>346.04160000000002</v>
      </c>
      <c r="D187">
        <v>173.8</v>
      </c>
      <c r="E187">
        <v>-0.65522658772022202</v>
      </c>
      <c r="F187" t="s">
        <v>18</v>
      </c>
      <c r="G187" t="s">
        <v>19</v>
      </c>
      <c r="H187">
        <v>1</v>
      </c>
      <c r="I187" t="s">
        <v>40</v>
      </c>
      <c r="J187" t="s">
        <v>19</v>
      </c>
      <c r="K187">
        <v>0.61</v>
      </c>
      <c r="L187" t="s">
        <v>41</v>
      </c>
      <c r="M187" t="s">
        <v>19</v>
      </c>
      <c r="N187">
        <v>1</v>
      </c>
      <c r="O187" t="s">
        <v>42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261</v>
      </c>
      <c r="C188">
        <v>370.0489</v>
      </c>
      <c r="D188">
        <v>177.1</v>
      </c>
      <c r="E188">
        <v>-0.63572119085284795</v>
      </c>
      <c r="F188" t="s">
        <v>18</v>
      </c>
      <c r="G188" t="s">
        <v>19</v>
      </c>
      <c r="H188">
        <v>1</v>
      </c>
      <c r="I188" t="s">
        <v>72</v>
      </c>
      <c r="J188" t="s">
        <v>19</v>
      </c>
      <c r="K188">
        <v>0.94</v>
      </c>
      <c r="L188" t="s">
        <v>73</v>
      </c>
      <c r="M188" t="s">
        <v>19</v>
      </c>
      <c r="N188">
        <v>1</v>
      </c>
      <c r="O188" t="s">
        <v>74</v>
      </c>
      <c r="P188" t="s">
        <v>19</v>
      </c>
      <c r="Q188">
        <v>0.79400000000000004</v>
      </c>
      <c r="R188" t="s">
        <v>23</v>
      </c>
      <c r="S188">
        <v>4</v>
      </c>
    </row>
    <row r="189" spans="1:19">
      <c r="A189">
        <v>188</v>
      </c>
      <c r="B189" t="s">
        <v>262</v>
      </c>
      <c r="C189">
        <v>324.05779999999999</v>
      </c>
      <c r="D189">
        <v>167.1</v>
      </c>
      <c r="E189">
        <v>-0.69597264178099705</v>
      </c>
      <c r="F189" t="s">
        <v>18</v>
      </c>
      <c r="G189" t="s">
        <v>19</v>
      </c>
      <c r="H189">
        <v>1</v>
      </c>
      <c r="I189" t="s">
        <v>72</v>
      </c>
      <c r="J189" t="s">
        <v>19</v>
      </c>
      <c r="K189">
        <v>0.69</v>
      </c>
      <c r="L189" t="s">
        <v>78</v>
      </c>
      <c r="M189" t="s">
        <v>19</v>
      </c>
      <c r="N189">
        <v>0.8</v>
      </c>
      <c r="O189" t="s">
        <v>79</v>
      </c>
      <c r="P189" t="s">
        <v>19</v>
      </c>
      <c r="Q189">
        <v>0.77700000000000002</v>
      </c>
      <c r="R189" t="s">
        <v>23</v>
      </c>
      <c r="S189">
        <v>4</v>
      </c>
    </row>
    <row r="190" spans="1:19">
      <c r="A190">
        <v>189</v>
      </c>
      <c r="B190" t="s">
        <v>155</v>
      </c>
      <c r="C190">
        <v>507.2278</v>
      </c>
      <c r="D190">
        <v>196.3</v>
      </c>
      <c r="E190">
        <v>-0.66145382691223598</v>
      </c>
      <c r="F190" t="s">
        <v>18</v>
      </c>
      <c r="G190" t="s">
        <v>19</v>
      </c>
      <c r="H190">
        <v>1</v>
      </c>
      <c r="I190" t="s">
        <v>40</v>
      </c>
      <c r="J190" t="s">
        <v>19</v>
      </c>
      <c r="K190">
        <v>0.79</v>
      </c>
      <c r="L190" t="s">
        <v>41</v>
      </c>
      <c r="M190" t="s">
        <v>19</v>
      </c>
      <c r="N190">
        <v>1</v>
      </c>
      <c r="O190" t="s">
        <v>42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190</v>
      </c>
      <c r="B191" t="s">
        <v>263</v>
      </c>
      <c r="C191">
        <v>827.26679999999999</v>
      </c>
      <c r="D191">
        <v>256.39999999999998</v>
      </c>
      <c r="E191">
        <v>-0.34311366754241102</v>
      </c>
      <c r="F191" t="s">
        <v>18</v>
      </c>
      <c r="G191" t="s">
        <v>19</v>
      </c>
      <c r="H191">
        <v>1</v>
      </c>
      <c r="I191" t="s">
        <v>40</v>
      </c>
      <c r="J191" t="s">
        <v>19</v>
      </c>
      <c r="K191">
        <v>0.92</v>
      </c>
      <c r="L191" t="s">
        <v>41</v>
      </c>
      <c r="M191" t="s">
        <v>19</v>
      </c>
      <c r="N191">
        <v>1</v>
      </c>
      <c r="O191" t="s">
        <v>42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191</v>
      </c>
      <c r="B192" t="s">
        <v>264</v>
      </c>
      <c r="C192">
        <v>405.22859999999997</v>
      </c>
      <c r="D192">
        <v>198.7</v>
      </c>
      <c r="E192">
        <v>-0.77614122933380303</v>
      </c>
      <c r="F192" t="s">
        <v>18</v>
      </c>
      <c r="G192" t="s">
        <v>19</v>
      </c>
      <c r="H192">
        <v>1</v>
      </c>
      <c r="I192" t="s">
        <v>20</v>
      </c>
      <c r="J192" t="s">
        <v>19</v>
      </c>
      <c r="K192">
        <v>0.9</v>
      </c>
      <c r="L192" t="s">
        <v>265</v>
      </c>
      <c r="M192" t="s">
        <v>19</v>
      </c>
      <c r="N192">
        <v>0.87</v>
      </c>
      <c r="O192" t="s">
        <v>266</v>
      </c>
      <c r="P192" t="s">
        <v>19</v>
      </c>
      <c r="Q192">
        <v>0.78300000000000003</v>
      </c>
      <c r="R192" t="s">
        <v>23</v>
      </c>
      <c r="S192">
        <v>4</v>
      </c>
    </row>
    <row r="193" spans="1:19">
      <c r="A193">
        <v>192</v>
      </c>
      <c r="B193" t="s">
        <v>267</v>
      </c>
      <c r="C193">
        <v>129.01920000000001</v>
      </c>
      <c r="D193">
        <v>119.1</v>
      </c>
      <c r="E193">
        <v>-0.87514336474689003</v>
      </c>
      <c r="F193" t="s">
        <v>18</v>
      </c>
      <c r="G193" t="s">
        <v>19</v>
      </c>
      <c r="H193">
        <v>1</v>
      </c>
      <c r="I193" t="s">
        <v>20</v>
      </c>
      <c r="J193" t="s">
        <v>19</v>
      </c>
      <c r="K193">
        <v>0.87</v>
      </c>
      <c r="L193" t="s">
        <v>44</v>
      </c>
      <c r="M193" t="s">
        <v>19</v>
      </c>
      <c r="N193">
        <v>1</v>
      </c>
      <c r="O193" t="s">
        <v>45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193</v>
      </c>
      <c r="B194" t="s">
        <v>132</v>
      </c>
      <c r="C194">
        <v>426.02159999999998</v>
      </c>
      <c r="D194">
        <v>184.8</v>
      </c>
      <c r="E194">
        <v>-0.54592476529728595</v>
      </c>
      <c r="F194" t="s">
        <v>18</v>
      </c>
      <c r="G194" t="s">
        <v>19</v>
      </c>
      <c r="H194">
        <v>1</v>
      </c>
      <c r="I194" t="s">
        <v>72</v>
      </c>
      <c r="J194" t="s">
        <v>19</v>
      </c>
      <c r="K194">
        <v>0.91</v>
      </c>
      <c r="L194" t="s">
        <v>73</v>
      </c>
      <c r="M194" t="s">
        <v>19</v>
      </c>
      <c r="N194">
        <v>0.85</v>
      </c>
      <c r="O194" t="s">
        <v>74</v>
      </c>
      <c r="P194" t="s">
        <v>19</v>
      </c>
      <c r="Q194">
        <v>0.72099999999999997</v>
      </c>
      <c r="R194" t="s">
        <v>23</v>
      </c>
      <c r="S194">
        <v>4</v>
      </c>
    </row>
    <row r="195" spans="1:19">
      <c r="A195">
        <v>194</v>
      </c>
      <c r="B195" t="s">
        <v>268</v>
      </c>
      <c r="C195">
        <v>426.35829999999999</v>
      </c>
      <c r="D195">
        <v>217.3</v>
      </c>
      <c r="E195">
        <v>-0.88224882226643297</v>
      </c>
      <c r="F195" t="s">
        <v>18</v>
      </c>
      <c r="G195" t="s">
        <v>19</v>
      </c>
      <c r="H195">
        <v>1</v>
      </c>
      <c r="I195" t="s">
        <v>20</v>
      </c>
      <c r="J195" t="s">
        <v>19</v>
      </c>
      <c r="K195">
        <v>0.99</v>
      </c>
      <c r="L195" t="s">
        <v>44</v>
      </c>
      <c r="M195" t="s">
        <v>19</v>
      </c>
      <c r="N195">
        <v>0.95</v>
      </c>
      <c r="O195" t="s">
        <v>168</v>
      </c>
      <c r="P195" t="s">
        <v>19</v>
      </c>
      <c r="Q195">
        <v>0.97399999999999998</v>
      </c>
      <c r="R195" t="s">
        <v>23</v>
      </c>
      <c r="S195">
        <v>4</v>
      </c>
    </row>
    <row r="196" spans="1:19">
      <c r="A196">
        <v>195</v>
      </c>
      <c r="B196" t="s">
        <v>269</v>
      </c>
      <c r="C196">
        <v>853.67740000000003</v>
      </c>
      <c r="D196">
        <v>309.10000000000002</v>
      </c>
      <c r="E196">
        <v>-0.72422486144989795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1</v>
      </c>
      <c r="L196" t="s">
        <v>21</v>
      </c>
      <c r="M196" t="s">
        <v>19</v>
      </c>
      <c r="N196">
        <v>0.96</v>
      </c>
      <c r="O196" t="s">
        <v>22</v>
      </c>
      <c r="P196" t="s">
        <v>19</v>
      </c>
      <c r="Q196">
        <v>0.76400000000000001</v>
      </c>
      <c r="R196" t="s">
        <v>23</v>
      </c>
      <c r="S196">
        <v>4</v>
      </c>
    </row>
    <row r="197" spans="1:19">
      <c r="A197">
        <v>196</v>
      </c>
      <c r="B197" t="s">
        <v>182</v>
      </c>
      <c r="C197">
        <v>1072.6885</v>
      </c>
      <c r="D197">
        <v>338</v>
      </c>
      <c r="E197">
        <v>-0.49078759762323898</v>
      </c>
      <c r="F197" t="s">
        <v>18</v>
      </c>
      <c r="G197" t="s">
        <v>19</v>
      </c>
      <c r="H197">
        <v>1</v>
      </c>
      <c r="I197" t="s">
        <v>31</v>
      </c>
      <c r="J197" t="s">
        <v>19</v>
      </c>
      <c r="K197">
        <v>1</v>
      </c>
      <c r="L197" t="s">
        <v>107</v>
      </c>
      <c r="M197" t="s">
        <v>19</v>
      </c>
      <c r="N197">
        <v>0.96</v>
      </c>
      <c r="O197" t="s">
        <v>108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197</v>
      </c>
      <c r="B198" t="s">
        <v>270</v>
      </c>
      <c r="C198">
        <v>100.0403</v>
      </c>
      <c r="D198">
        <v>135.6</v>
      </c>
      <c r="E198">
        <v>-0.92859981113110701</v>
      </c>
      <c r="F198" t="s">
        <v>18</v>
      </c>
      <c r="G198" t="s">
        <v>19</v>
      </c>
      <c r="H198">
        <v>1</v>
      </c>
      <c r="I198" t="s">
        <v>31</v>
      </c>
      <c r="J198" t="s">
        <v>19</v>
      </c>
      <c r="K198">
        <v>1</v>
      </c>
      <c r="L198" t="s">
        <v>32</v>
      </c>
      <c r="M198" t="s">
        <v>19</v>
      </c>
      <c r="N198">
        <v>1</v>
      </c>
      <c r="O198" t="s">
        <v>33</v>
      </c>
      <c r="P198" t="s">
        <v>19</v>
      </c>
      <c r="Q198">
        <v>1</v>
      </c>
      <c r="R198" t="s">
        <v>23</v>
      </c>
      <c r="S198">
        <v>4</v>
      </c>
    </row>
    <row r="199" spans="1:19">
      <c r="A199">
        <v>198</v>
      </c>
      <c r="B199" t="s">
        <v>271</v>
      </c>
      <c r="C199">
        <v>850.45650000000001</v>
      </c>
      <c r="D199">
        <v>282.60000000000002</v>
      </c>
      <c r="E199">
        <v>-0.50692116352331595</v>
      </c>
      <c r="F199" t="s">
        <v>18</v>
      </c>
      <c r="G199" t="s">
        <v>19</v>
      </c>
      <c r="H199">
        <v>1</v>
      </c>
      <c r="I199" t="s">
        <v>40</v>
      </c>
      <c r="J199" t="s">
        <v>19</v>
      </c>
      <c r="K199">
        <v>0.86</v>
      </c>
      <c r="L199" t="s">
        <v>41</v>
      </c>
      <c r="M199" t="s">
        <v>19</v>
      </c>
      <c r="N199">
        <v>1</v>
      </c>
      <c r="O199" t="s">
        <v>42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199</v>
      </c>
      <c r="B200" t="s">
        <v>127</v>
      </c>
      <c r="C200">
        <v>808.58320000000003</v>
      </c>
      <c r="D200">
        <v>289.8</v>
      </c>
      <c r="E200">
        <v>-0.68037487696256005</v>
      </c>
      <c r="F200" t="s">
        <v>18</v>
      </c>
      <c r="G200" t="s">
        <v>19</v>
      </c>
      <c r="H200">
        <v>1</v>
      </c>
      <c r="I200" t="s">
        <v>20</v>
      </c>
      <c r="J200" t="s">
        <v>19</v>
      </c>
      <c r="K200">
        <v>1</v>
      </c>
      <c r="L200" t="s">
        <v>48</v>
      </c>
      <c r="M200" t="s">
        <v>19</v>
      </c>
      <c r="N200">
        <v>1</v>
      </c>
      <c r="O200" t="s">
        <v>86</v>
      </c>
      <c r="P200" t="s">
        <v>19</v>
      </c>
      <c r="Q200">
        <v>0.92100000000000004</v>
      </c>
      <c r="R200" t="s">
        <v>23</v>
      </c>
      <c r="S200">
        <v>4</v>
      </c>
    </row>
    <row r="201" spans="1:19">
      <c r="A201">
        <v>200</v>
      </c>
      <c r="B201" t="s">
        <v>272</v>
      </c>
      <c r="C201">
        <v>122.0271</v>
      </c>
      <c r="D201">
        <v>121.3</v>
      </c>
      <c r="E201">
        <v>-0.89085040741458998</v>
      </c>
      <c r="F201" t="s">
        <v>18</v>
      </c>
      <c r="G201" t="s">
        <v>19</v>
      </c>
      <c r="H201">
        <v>1</v>
      </c>
      <c r="I201" t="s">
        <v>89</v>
      </c>
      <c r="J201" t="s">
        <v>19</v>
      </c>
      <c r="K201">
        <v>0.67</v>
      </c>
      <c r="L201" t="s">
        <v>273</v>
      </c>
      <c r="M201" t="s">
        <v>19</v>
      </c>
      <c r="N201">
        <v>0.64</v>
      </c>
      <c r="O201" t="s">
        <v>274</v>
      </c>
      <c r="P201" t="s">
        <v>19</v>
      </c>
      <c r="Q201">
        <v>0.98499999999999999</v>
      </c>
      <c r="R201" t="s">
        <v>23</v>
      </c>
      <c r="S201">
        <v>4</v>
      </c>
    </row>
    <row r="202" spans="1:19">
      <c r="A202">
        <v>201</v>
      </c>
      <c r="B202" t="s">
        <v>275</v>
      </c>
      <c r="C202">
        <v>527.15880000000004</v>
      </c>
      <c r="D202">
        <v>204.2</v>
      </c>
      <c r="E202">
        <v>-0.57019983062934898</v>
      </c>
      <c r="F202" t="s">
        <v>18</v>
      </c>
      <c r="G202" t="s">
        <v>19</v>
      </c>
      <c r="H202">
        <v>1</v>
      </c>
      <c r="I202" t="s">
        <v>40</v>
      </c>
      <c r="J202" t="s">
        <v>19</v>
      </c>
      <c r="K202">
        <v>0.9</v>
      </c>
      <c r="L202" t="s">
        <v>41</v>
      </c>
      <c r="M202" t="s">
        <v>19</v>
      </c>
      <c r="N202">
        <v>1</v>
      </c>
      <c r="O202" t="s">
        <v>42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276</v>
      </c>
      <c r="C203">
        <v>445.07229999999998</v>
      </c>
      <c r="D203">
        <v>191.2</v>
      </c>
      <c r="E203">
        <v>-0.57535366966800405</v>
      </c>
      <c r="F203" t="s">
        <v>18</v>
      </c>
      <c r="G203" t="s">
        <v>19</v>
      </c>
      <c r="H203">
        <v>0.996</v>
      </c>
      <c r="I203" t="s">
        <v>40</v>
      </c>
      <c r="J203" t="s">
        <v>19</v>
      </c>
      <c r="K203">
        <v>0.78</v>
      </c>
      <c r="L203" t="s">
        <v>41</v>
      </c>
      <c r="M203" t="s">
        <v>19</v>
      </c>
      <c r="N203">
        <v>1</v>
      </c>
      <c r="O203" t="s">
        <v>42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203</v>
      </c>
      <c r="B204" t="s">
        <v>277</v>
      </c>
      <c r="C204">
        <v>790.63250000000005</v>
      </c>
      <c r="D204">
        <v>297.60000000000002</v>
      </c>
      <c r="E204">
        <v>-0.74971776548170499</v>
      </c>
      <c r="F204" t="s">
        <v>18</v>
      </c>
      <c r="G204" t="s">
        <v>19</v>
      </c>
      <c r="H204">
        <v>1</v>
      </c>
      <c r="I204" t="s">
        <v>20</v>
      </c>
      <c r="J204" t="s">
        <v>19</v>
      </c>
      <c r="K204">
        <v>1</v>
      </c>
      <c r="L204" t="s">
        <v>48</v>
      </c>
      <c r="M204" t="s">
        <v>19</v>
      </c>
      <c r="N204">
        <v>0.67</v>
      </c>
      <c r="O204" t="s">
        <v>86</v>
      </c>
      <c r="P204" t="s">
        <v>19</v>
      </c>
      <c r="Q204">
        <v>0.98799999999999999</v>
      </c>
      <c r="R204" t="s">
        <v>23</v>
      </c>
      <c r="S204">
        <v>4</v>
      </c>
    </row>
    <row r="205" spans="1:19">
      <c r="A205">
        <v>204</v>
      </c>
      <c r="B205" t="s">
        <v>80</v>
      </c>
      <c r="C205">
        <v>448.00360000000001</v>
      </c>
      <c r="D205">
        <v>177.4</v>
      </c>
      <c r="E205">
        <v>-0.50338072102999798</v>
      </c>
      <c r="F205" t="s">
        <v>18</v>
      </c>
      <c r="G205" t="s">
        <v>19</v>
      </c>
      <c r="H205">
        <v>1</v>
      </c>
      <c r="I205" t="s">
        <v>72</v>
      </c>
      <c r="J205" t="s">
        <v>19</v>
      </c>
      <c r="K205">
        <v>0.92</v>
      </c>
      <c r="L205" t="s">
        <v>73</v>
      </c>
      <c r="M205" t="s">
        <v>19</v>
      </c>
      <c r="N205">
        <v>0.74</v>
      </c>
      <c r="O205" t="s">
        <v>81</v>
      </c>
      <c r="P205" t="s">
        <v>19</v>
      </c>
      <c r="Q205">
        <v>0.70299999999999996</v>
      </c>
      <c r="R205" t="s">
        <v>23</v>
      </c>
      <c r="S205">
        <v>4</v>
      </c>
    </row>
    <row r="206" spans="1:19">
      <c r="A206">
        <v>205</v>
      </c>
      <c r="B206" t="s">
        <v>219</v>
      </c>
      <c r="C206">
        <v>197.0692</v>
      </c>
      <c r="D206">
        <v>143.69999999999999</v>
      </c>
      <c r="E206">
        <v>-0.84916200670889497</v>
      </c>
      <c r="F206" t="s">
        <v>18</v>
      </c>
      <c r="G206" t="s">
        <v>19</v>
      </c>
      <c r="H206">
        <v>1</v>
      </c>
      <c r="I206" t="s">
        <v>89</v>
      </c>
      <c r="J206" t="s">
        <v>19</v>
      </c>
      <c r="K206">
        <v>0.64</v>
      </c>
      <c r="L206" t="s">
        <v>101</v>
      </c>
      <c r="M206" t="s">
        <v>19</v>
      </c>
      <c r="N206">
        <v>0.96</v>
      </c>
      <c r="O206" t="s">
        <v>118</v>
      </c>
      <c r="P206" t="s">
        <v>19</v>
      </c>
      <c r="Q206">
        <v>0.57099999999999995</v>
      </c>
      <c r="R206" t="s">
        <v>23</v>
      </c>
      <c r="S206">
        <v>4</v>
      </c>
    </row>
    <row r="207" spans="1:19">
      <c r="A207">
        <v>206</v>
      </c>
      <c r="B207" t="s">
        <v>278</v>
      </c>
      <c r="C207">
        <v>244.0795</v>
      </c>
      <c r="D207">
        <v>150.69999999999999</v>
      </c>
      <c r="E207">
        <v>-0.80697256606563905</v>
      </c>
      <c r="F207" t="s">
        <v>18</v>
      </c>
      <c r="G207" t="s">
        <v>19</v>
      </c>
      <c r="H207">
        <v>1</v>
      </c>
      <c r="I207" t="s">
        <v>40</v>
      </c>
      <c r="J207" t="s">
        <v>19</v>
      </c>
      <c r="K207">
        <v>0.93</v>
      </c>
      <c r="L207" t="s">
        <v>41</v>
      </c>
      <c r="M207" t="s">
        <v>19</v>
      </c>
      <c r="N207">
        <v>1</v>
      </c>
      <c r="O207" t="s">
        <v>42</v>
      </c>
      <c r="P207" t="s">
        <v>19</v>
      </c>
      <c r="Q207">
        <v>0.94599999999999995</v>
      </c>
      <c r="R207" t="s">
        <v>23</v>
      </c>
      <c r="S207">
        <v>4</v>
      </c>
    </row>
    <row r="208" spans="1:19">
      <c r="A208">
        <v>207</v>
      </c>
      <c r="B208" t="s">
        <v>279</v>
      </c>
      <c r="C208">
        <v>249.09520000000001</v>
      </c>
      <c r="D208">
        <v>154.5</v>
      </c>
      <c r="E208">
        <v>-0.81707227660919601</v>
      </c>
      <c r="F208" t="s">
        <v>18</v>
      </c>
      <c r="G208" t="s">
        <v>19</v>
      </c>
      <c r="H208">
        <v>1</v>
      </c>
      <c r="I208" t="s">
        <v>31</v>
      </c>
      <c r="J208" t="s">
        <v>19</v>
      </c>
      <c r="K208">
        <v>0.76</v>
      </c>
      <c r="L208" t="s">
        <v>107</v>
      </c>
      <c r="M208" t="s">
        <v>19</v>
      </c>
      <c r="N208">
        <v>0.61</v>
      </c>
      <c r="O208" t="s">
        <v>280</v>
      </c>
      <c r="P208" t="s">
        <v>19</v>
      </c>
      <c r="Q208">
        <v>0.97899999999999998</v>
      </c>
      <c r="R208" t="s">
        <v>23</v>
      </c>
      <c r="S208">
        <v>4</v>
      </c>
    </row>
    <row r="209" spans="1:19">
      <c r="A209">
        <v>208</v>
      </c>
      <c r="B209" t="s">
        <v>281</v>
      </c>
      <c r="C209">
        <v>608.08609999999999</v>
      </c>
      <c r="D209">
        <v>216.2</v>
      </c>
      <c r="E209">
        <v>-0.407140298574177</v>
      </c>
      <c r="F209" t="s">
        <v>18</v>
      </c>
      <c r="G209" t="s">
        <v>19</v>
      </c>
      <c r="H209">
        <v>1</v>
      </c>
      <c r="I209" t="s">
        <v>72</v>
      </c>
      <c r="J209" t="s">
        <v>19</v>
      </c>
      <c r="K209">
        <v>1</v>
      </c>
      <c r="L209" t="s">
        <v>78</v>
      </c>
      <c r="M209" t="s">
        <v>19</v>
      </c>
      <c r="N209">
        <v>0.76</v>
      </c>
      <c r="O209" t="s">
        <v>174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209</v>
      </c>
      <c r="B210" t="s">
        <v>282</v>
      </c>
      <c r="C210">
        <v>686.47609999999997</v>
      </c>
      <c r="D210">
        <v>289.5</v>
      </c>
      <c r="E210">
        <v>-0.70961379370135103</v>
      </c>
      <c r="F210" t="s">
        <v>18</v>
      </c>
      <c r="G210" t="s">
        <v>19</v>
      </c>
      <c r="H210">
        <v>1</v>
      </c>
      <c r="I210" t="s">
        <v>20</v>
      </c>
      <c r="J210" t="s">
        <v>19</v>
      </c>
      <c r="K210">
        <v>1</v>
      </c>
      <c r="L210" t="s">
        <v>48</v>
      </c>
      <c r="M210" t="s">
        <v>19</v>
      </c>
      <c r="N210">
        <v>0.87</v>
      </c>
      <c r="O210" t="s">
        <v>49</v>
      </c>
      <c r="P210" t="s">
        <v>19</v>
      </c>
      <c r="Q210">
        <v>0.78900000000000003</v>
      </c>
      <c r="R210" t="s">
        <v>23</v>
      </c>
      <c r="S210">
        <v>4</v>
      </c>
    </row>
    <row r="211" spans="1:19">
      <c r="A211">
        <v>210</v>
      </c>
      <c r="B211" t="s">
        <v>283</v>
      </c>
      <c r="C211">
        <v>754.61969999999997</v>
      </c>
      <c r="D211">
        <v>289</v>
      </c>
      <c r="E211">
        <v>-0.77712792640374995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1</v>
      </c>
      <c r="L211" t="s">
        <v>21</v>
      </c>
      <c r="M211" t="s">
        <v>19</v>
      </c>
      <c r="N211">
        <v>0.93</v>
      </c>
      <c r="O211" t="s">
        <v>25</v>
      </c>
      <c r="P211" t="s">
        <v>19</v>
      </c>
      <c r="Q211">
        <v>0.76700000000000002</v>
      </c>
      <c r="R211" t="s">
        <v>23</v>
      </c>
      <c r="S211">
        <v>4</v>
      </c>
    </row>
    <row r="212" spans="1:19">
      <c r="A212">
        <v>211</v>
      </c>
      <c r="B212" t="s">
        <v>284</v>
      </c>
      <c r="C212">
        <v>2721.8953999999999</v>
      </c>
      <c r="D212">
        <v>441.2</v>
      </c>
      <c r="E212">
        <v>-0.85626246981109899</v>
      </c>
      <c r="F212" t="s">
        <v>18</v>
      </c>
      <c r="G212" t="s">
        <v>19</v>
      </c>
      <c r="H212">
        <v>0.99199999999999999</v>
      </c>
      <c r="I212" t="s">
        <v>27</v>
      </c>
      <c r="J212" t="s">
        <v>19</v>
      </c>
      <c r="K212">
        <v>0.96</v>
      </c>
      <c r="L212" t="s">
        <v>28</v>
      </c>
      <c r="M212" t="s">
        <v>19</v>
      </c>
      <c r="N212">
        <v>0.99</v>
      </c>
      <c r="O212" t="s">
        <v>29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212</v>
      </c>
      <c r="B213" t="s">
        <v>285</v>
      </c>
      <c r="C213">
        <v>530.7885</v>
      </c>
      <c r="D213">
        <v>344.2</v>
      </c>
      <c r="E213">
        <v>-0.19584708213153601</v>
      </c>
      <c r="F213" t="s">
        <v>18</v>
      </c>
      <c r="G213" t="s">
        <v>19</v>
      </c>
      <c r="H213">
        <v>1</v>
      </c>
      <c r="I213" t="s">
        <v>31</v>
      </c>
      <c r="J213" t="s">
        <v>19</v>
      </c>
      <c r="K213">
        <v>0.98</v>
      </c>
      <c r="L213" t="s">
        <v>32</v>
      </c>
      <c r="M213" t="s">
        <v>19</v>
      </c>
      <c r="N213">
        <v>1</v>
      </c>
      <c r="O213" t="s">
        <v>33</v>
      </c>
      <c r="P213" t="s">
        <v>19</v>
      </c>
      <c r="Q213">
        <v>1</v>
      </c>
      <c r="R213" t="s">
        <v>23</v>
      </c>
      <c r="S213">
        <v>4</v>
      </c>
    </row>
    <row r="214" spans="1:19">
      <c r="A214">
        <v>213</v>
      </c>
      <c r="B214" t="s">
        <v>286</v>
      </c>
      <c r="C214">
        <v>203.05279999999999</v>
      </c>
      <c r="D214">
        <v>142</v>
      </c>
      <c r="E214">
        <v>-0.82608100665075301</v>
      </c>
      <c r="F214" t="s">
        <v>18</v>
      </c>
      <c r="G214" t="s">
        <v>19</v>
      </c>
      <c r="H214">
        <v>1</v>
      </c>
      <c r="I214" t="s">
        <v>40</v>
      </c>
      <c r="J214" t="s">
        <v>19</v>
      </c>
      <c r="K214">
        <v>0.95</v>
      </c>
      <c r="L214" t="s">
        <v>41</v>
      </c>
      <c r="M214" t="s">
        <v>19</v>
      </c>
      <c r="N214">
        <v>1</v>
      </c>
      <c r="O214" t="s">
        <v>42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287</v>
      </c>
      <c r="C215">
        <v>245.0926</v>
      </c>
      <c r="D215">
        <v>161.4</v>
      </c>
      <c r="E215">
        <v>-0.81894138731723798</v>
      </c>
      <c r="F215" t="s">
        <v>18</v>
      </c>
      <c r="G215" t="s">
        <v>19</v>
      </c>
      <c r="H215">
        <v>1</v>
      </c>
      <c r="I215" t="s">
        <v>31</v>
      </c>
      <c r="J215" t="s">
        <v>19</v>
      </c>
      <c r="K215">
        <v>0.91</v>
      </c>
      <c r="L215" t="s">
        <v>32</v>
      </c>
      <c r="M215" t="s">
        <v>19</v>
      </c>
      <c r="N215">
        <v>0.97</v>
      </c>
      <c r="O215" t="s">
        <v>33</v>
      </c>
      <c r="P215" t="s">
        <v>19</v>
      </c>
      <c r="Q215">
        <v>0.99</v>
      </c>
      <c r="R215" t="s">
        <v>23</v>
      </c>
      <c r="S215">
        <v>4</v>
      </c>
    </row>
    <row r="216" spans="1:19">
      <c r="A216">
        <v>215</v>
      </c>
      <c r="B216" t="s">
        <v>288</v>
      </c>
      <c r="C216">
        <v>166.04769999999999</v>
      </c>
      <c r="D216">
        <v>127.9</v>
      </c>
      <c r="E216">
        <v>-0.86229912204137804</v>
      </c>
      <c r="F216" t="s">
        <v>18</v>
      </c>
      <c r="G216" t="s">
        <v>19</v>
      </c>
      <c r="H216">
        <v>1</v>
      </c>
      <c r="I216" t="s">
        <v>40</v>
      </c>
      <c r="J216" t="s">
        <v>19</v>
      </c>
      <c r="K216">
        <v>0.64</v>
      </c>
      <c r="L216" t="s">
        <v>41</v>
      </c>
      <c r="M216" t="s">
        <v>19</v>
      </c>
      <c r="N216">
        <v>1</v>
      </c>
      <c r="O216" t="s">
        <v>42</v>
      </c>
      <c r="P216" t="s">
        <v>19</v>
      </c>
      <c r="Q216">
        <v>0.96</v>
      </c>
      <c r="R216" t="s">
        <v>23</v>
      </c>
      <c r="S216">
        <v>4</v>
      </c>
    </row>
    <row r="217" spans="1:19">
      <c r="A217">
        <v>216</v>
      </c>
      <c r="B217" t="s">
        <v>289</v>
      </c>
      <c r="C217">
        <v>304.90949999999998</v>
      </c>
      <c r="D217">
        <v>161.6</v>
      </c>
      <c r="E217">
        <v>-0.56905271287752202</v>
      </c>
      <c r="F217" t="s">
        <v>18</v>
      </c>
      <c r="G217" t="s">
        <v>19</v>
      </c>
      <c r="H217">
        <v>1</v>
      </c>
      <c r="I217" t="s">
        <v>35</v>
      </c>
      <c r="J217" t="s">
        <v>19</v>
      </c>
      <c r="K217">
        <v>1</v>
      </c>
      <c r="L217" t="s">
        <v>36</v>
      </c>
      <c r="M217" t="s">
        <v>19</v>
      </c>
      <c r="N217">
        <v>1</v>
      </c>
      <c r="O217" t="s">
        <v>96</v>
      </c>
      <c r="P217" t="s">
        <v>19</v>
      </c>
      <c r="Q217">
        <v>0.999</v>
      </c>
      <c r="R217" t="s">
        <v>23</v>
      </c>
      <c r="S217">
        <v>4</v>
      </c>
    </row>
    <row r="218" spans="1:19">
      <c r="A218">
        <v>217</v>
      </c>
      <c r="B218" t="s">
        <v>290</v>
      </c>
      <c r="C218">
        <v>690.50340000000006</v>
      </c>
      <c r="D218">
        <v>266.8</v>
      </c>
      <c r="E218">
        <v>-0.73241710416095895</v>
      </c>
      <c r="F218" t="s">
        <v>18</v>
      </c>
      <c r="G218" t="s">
        <v>19</v>
      </c>
      <c r="H218">
        <v>1</v>
      </c>
      <c r="I218" t="s">
        <v>20</v>
      </c>
      <c r="J218" t="s">
        <v>19</v>
      </c>
      <c r="K218">
        <v>0.98</v>
      </c>
      <c r="L218" t="s">
        <v>48</v>
      </c>
      <c r="M218" t="s">
        <v>19</v>
      </c>
      <c r="N218">
        <v>1</v>
      </c>
      <c r="O218" t="s">
        <v>147</v>
      </c>
      <c r="P218" t="s">
        <v>19</v>
      </c>
      <c r="Q218">
        <v>0.55800000000000005</v>
      </c>
      <c r="R218" t="s">
        <v>23</v>
      </c>
      <c r="S218">
        <v>4</v>
      </c>
    </row>
    <row r="219" spans="1:19">
      <c r="A219">
        <v>218</v>
      </c>
      <c r="B219" t="s">
        <v>291</v>
      </c>
      <c r="C219">
        <v>113.0351</v>
      </c>
      <c r="D219">
        <v>126.2</v>
      </c>
      <c r="E219">
        <v>-0.90889044226362603</v>
      </c>
      <c r="F219" t="s">
        <v>18</v>
      </c>
      <c r="G219" t="s">
        <v>19</v>
      </c>
      <c r="H219">
        <v>1</v>
      </c>
      <c r="I219" t="s">
        <v>89</v>
      </c>
      <c r="J219" t="s">
        <v>19</v>
      </c>
      <c r="K219">
        <v>0.81</v>
      </c>
      <c r="L219" t="s">
        <v>90</v>
      </c>
      <c r="M219" t="s">
        <v>19</v>
      </c>
      <c r="N219">
        <v>0.68</v>
      </c>
      <c r="O219" t="s">
        <v>91</v>
      </c>
      <c r="P219" t="s">
        <v>19</v>
      </c>
      <c r="Q219">
        <v>1</v>
      </c>
      <c r="R219" t="s">
        <v>23</v>
      </c>
      <c r="S219">
        <v>4</v>
      </c>
    </row>
    <row r="220" spans="1:19">
      <c r="A220">
        <v>219</v>
      </c>
      <c r="B220" t="s">
        <v>229</v>
      </c>
      <c r="C220">
        <v>922.01030000000003</v>
      </c>
      <c r="D220">
        <v>243.9</v>
      </c>
      <c r="E220">
        <v>-0.98082763087416003</v>
      </c>
      <c r="F220" t="s">
        <v>18</v>
      </c>
      <c r="G220" t="s">
        <v>19</v>
      </c>
      <c r="H220">
        <v>0.97599999999999998</v>
      </c>
      <c r="I220" t="s">
        <v>27</v>
      </c>
      <c r="J220" t="s">
        <v>19</v>
      </c>
      <c r="K220">
        <v>0.97</v>
      </c>
      <c r="L220" t="s">
        <v>28</v>
      </c>
      <c r="M220" t="s">
        <v>19</v>
      </c>
      <c r="N220">
        <v>0.99</v>
      </c>
      <c r="O220" t="s">
        <v>29</v>
      </c>
      <c r="P220" t="s">
        <v>19</v>
      </c>
      <c r="Q220">
        <v>0.999</v>
      </c>
      <c r="R220" t="s">
        <v>23</v>
      </c>
      <c r="S220">
        <v>4</v>
      </c>
    </row>
    <row r="221" spans="1:19">
      <c r="A221">
        <v>220</v>
      </c>
      <c r="B221" t="s">
        <v>281</v>
      </c>
      <c r="C221">
        <v>628.05669999999998</v>
      </c>
      <c r="D221">
        <v>228.4</v>
      </c>
      <c r="E221">
        <v>-0.35544208683529599</v>
      </c>
      <c r="F221" t="s">
        <v>18</v>
      </c>
      <c r="G221" t="s">
        <v>19</v>
      </c>
      <c r="H221">
        <v>1</v>
      </c>
      <c r="I221" t="s">
        <v>72</v>
      </c>
      <c r="J221" t="s">
        <v>19</v>
      </c>
      <c r="K221">
        <v>0.97</v>
      </c>
      <c r="L221" t="s">
        <v>78</v>
      </c>
      <c r="M221" t="s">
        <v>19</v>
      </c>
      <c r="N221">
        <v>0.87</v>
      </c>
      <c r="O221" t="s">
        <v>174</v>
      </c>
      <c r="P221" t="s">
        <v>19</v>
      </c>
      <c r="Q221">
        <v>0.999</v>
      </c>
      <c r="R221" t="s">
        <v>23</v>
      </c>
      <c r="S221">
        <v>4</v>
      </c>
    </row>
    <row r="222" spans="1:19">
      <c r="A222">
        <v>221</v>
      </c>
      <c r="B222" t="s">
        <v>292</v>
      </c>
      <c r="C222">
        <v>284.14170000000001</v>
      </c>
      <c r="D222">
        <v>160.4</v>
      </c>
      <c r="E222">
        <v>-0.82444103980572003</v>
      </c>
      <c r="F222" t="s">
        <v>18</v>
      </c>
      <c r="G222" t="s">
        <v>19</v>
      </c>
      <c r="H222">
        <v>1</v>
      </c>
      <c r="I222" t="s">
        <v>35</v>
      </c>
      <c r="J222" t="s">
        <v>19</v>
      </c>
      <c r="K222">
        <v>0.66</v>
      </c>
      <c r="L222" t="s">
        <v>36</v>
      </c>
      <c r="M222" t="s">
        <v>19</v>
      </c>
      <c r="N222">
        <v>0.84</v>
      </c>
      <c r="O222" t="s">
        <v>37</v>
      </c>
      <c r="P222" t="s">
        <v>19</v>
      </c>
      <c r="Q222">
        <v>0.82799999999999996</v>
      </c>
      <c r="R222" t="s">
        <v>23</v>
      </c>
      <c r="S222">
        <v>4</v>
      </c>
    </row>
    <row r="223" spans="1:19">
      <c r="A223">
        <v>222</v>
      </c>
      <c r="B223" t="s">
        <v>293</v>
      </c>
      <c r="C223">
        <v>127.0502</v>
      </c>
      <c r="D223">
        <v>122.1</v>
      </c>
      <c r="E223">
        <v>-0.90834185547394997</v>
      </c>
      <c r="F223" t="s">
        <v>18</v>
      </c>
      <c r="G223" t="s">
        <v>19</v>
      </c>
      <c r="H223">
        <v>1</v>
      </c>
      <c r="I223" t="s">
        <v>89</v>
      </c>
      <c r="J223" t="s">
        <v>19</v>
      </c>
      <c r="K223">
        <v>0.93</v>
      </c>
      <c r="L223" t="s">
        <v>90</v>
      </c>
      <c r="M223" t="s">
        <v>19</v>
      </c>
      <c r="N223">
        <v>0.66</v>
      </c>
      <c r="O223" t="s">
        <v>91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294</v>
      </c>
      <c r="C224">
        <v>372.83150000000001</v>
      </c>
      <c r="D224">
        <v>174</v>
      </c>
      <c r="E224">
        <v>-0.41521427348510498</v>
      </c>
      <c r="F224" t="s">
        <v>18</v>
      </c>
      <c r="G224" t="s">
        <v>19</v>
      </c>
      <c r="H224">
        <v>1</v>
      </c>
      <c r="I224" t="s">
        <v>35</v>
      </c>
      <c r="J224" t="s">
        <v>19</v>
      </c>
      <c r="K224">
        <v>1</v>
      </c>
      <c r="L224" t="s">
        <v>36</v>
      </c>
      <c r="M224" t="s">
        <v>19</v>
      </c>
      <c r="N224">
        <v>1</v>
      </c>
      <c r="O224" t="s">
        <v>96</v>
      </c>
      <c r="P224" t="s">
        <v>19</v>
      </c>
      <c r="Q224">
        <v>0.999</v>
      </c>
      <c r="R224" t="s">
        <v>23</v>
      </c>
      <c r="S224">
        <v>4</v>
      </c>
    </row>
    <row r="225" spans="1:19">
      <c r="A225">
        <v>224</v>
      </c>
      <c r="B225" t="s">
        <v>295</v>
      </c>
      <c r="C225">
        <v>122.02760000000001</v>
      </c>
      <c r="D225">
        <v>148.6</v>
      </c>
      <c r="E225">
        <v>-0.89134984913863502</v>
      </c>
      <c r="F225" t="s">
        <v>18</v>
      </c>
      <c r="G225" t="s">
        <v>19</v>
      </c>
      <c r="H225">
        <v>1</v>
      </c>
      <c r="I225" t="s">
        <v>31</v>
      </c>
      <c r="J225" t="s">
        <v>19</v>
      </c>
      <c r="K225">
        <v>0.82</v>
      </c>
      <c r="L225" t="s">
        <v>32</v>
      </c>
      <c r="M225" t="s">
        <v>19</v>
      </c>
      <c r="N225">
        <v>1</v>
      </c>
      <c r="O225" t="s">
        <v>33</v>
      </c>
      <c r="P225" t="s">
        <v>19</v>
      </c>
      <c r="Q225">
        <v>0.995</v>
      </c>
      <c r="R225" t="s">
        <v>23</v>
      </c>
      <c r="S225">
        <v>4</v>
      </c>
    </row>
    <row r="226" spans="1:19">
      <c r="A226">
        <v>225</v>
      </c>
      <c r="B226" t="s">
        <v>296</v>
      </c>
      <c r="C226">
        <v>756.47320000000002</v>
      </c>
      <c r="D226">
        <v>274</v>
      </c>
      <c r="E226">
        <v>-0.62855839742337605</v>
      </c>
      <c r="F226" t="s">
        <v>18</v>
      </c>
      <c r="G226" t="s">
        <v>19</v>
      </c>
      <c r="H226">
        <v>1</v>
      </c>
      <c r="I226" t="s">
        <v>31</v>
      </c>
      <c r="J226" t="s">
        <v>19</v>
      </c>
      <c r="K226">
        <v>0.62</v>
      </c>
      <c r="L226" t="s">
        <v>32</v>
      </c>
      <c r="M226" t="s">
        <v>19</v>
      </c>
      <c r="N226">
        <v>1</v>
      </c>
      <c r="O226" t="s">
        <v>33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297</v>
      </c>
      <c r="C227">
        <v>826.68209999999999</v>
      </c>
      <c r="D227">
        <v>305.3</v>
      </c>
      <c r="E227">
        <v>-0.75906651544892201</v>
      </c>
      <c r="F227" t="s">
        <v>18</v>
      </c>
      <c r="G227" t="s">
        <v>19</v>
      </c>
      <c r="H227">
        <v>1</v>
      </c>
      <c r="I227" t="s">
        <v>20</v>
      </c>
      <c r="J227" t="s">
        <v>19</v>
      </c>
      <c r="K227">
        <v>1</v>
      </c>
      <c r="L227" t="s">
        <v>21</v>
      </c>
      <c r="M227" t="s">
        <v>19</v>
      </c>
      <c r="N227">
        <v>1</v>
      </c>
      <c r="O227" t="s">
        <v>25</v>
      </c>
      <c r="P227" t="s">
        <v>19</v>
      </c>
      <c r="Q227">
        <v>0.873</v>
      </c>
      <c r="R227" t="s">
        <v>23</v>
      </c>
      <c r="S227">
        <v>4</v>
      </c>
    </row>
    <row r="228" spans="1:19">
      <c r="A228">
        <v>227</v>
      </c>
      <c r="B228" t="s">
        <v>298</v>
      </c>
      <c r="C228">
        <v>293.24799999999999</v>
      </c>
      <c r="D228">
        <v>182.6</v>
      </c>
      <c r="E228">
        <v>-0.920573383072394</v>
      </c>
      <c r="F228" t="s">
        <v>18</v>
      </c>
      <c r="G228" t="s">
        <v>19</v>
      </c>
      <c r="H228">
        <v>1</v>
      </c>
      <c r="I228" t="s">
        <v>20</v>
      </c>
      <c r="J228" t="s">
        <v>19</v>
      </c>
      <c r="K228">
        <v>0.98</v>
      </c>
      <c r="L228" t="s">
        <v>44</v>
      </c>
      <c r="M228" t="s">
        <v>19</v>
      </c>
      <c r="N228">
        <v>1</v>
      </c>
      <c r="O228" t="s">
        <v>134</v>
      </c>
      <c r="P228" t="s">
        <v>19</v>
      </c>
      <c r="Q228">
        <v>0.86399999999999999</v>
      </c>
      <c r="R228" t="s">
        <v>23</v>
      </c>
      <c r="S228">
        <v>4</v>
      </c>
    </row>
    <row r="229" spans="1:19">
      <c r="A229">
        <v>228</v>
      </c>
      <c r="B229" t="s">
        <v>210</v>
      </c>
      <c r="C229">
        <v>227.07859999999999</v>
      </c>
      <c r="D229">
        <v>147.19999999999999</v>
      </c>
      <c r="E229">
        <v>-0.82505495357287395</v>
      </c>
      <c r="F229" t="s">
        <v>18</v>
      </c>
      <c r="G229" t="s">
        <v>19</v>
      </c>
      <c r="H229">
        <v>1</v>
      </c>
      <c r="I229" t="s">
        <v>89</v>
      </c>
      <c r="J229" t="s">
        <v>19</v>
      </c>
      <c r="K229">
        <v>0.84</v>
      </c>
      <c r="L229" t="s">
        <v>101</v>
      </c>
      <c r="M229" t="s">
        <v>19</v>
      </c>
      <c r="N229">
        <v>0.92</v>
      </c>
      <c r="O229" t="s">
        <v>211</v>
      </c>
      <c r="P229" t="s">
        <v>19</v>
      </c>
      <c r="Q229">
        <v>0.83699999999999997</v>
      </c>
      <c r="R229" t="s">
        <v>23</v>
      </c>
      <c r="S229">
        <v>4</v>
      </c>
    </row>
    <row r="230" spans="1:19">
      <c r="A230">
        <v>229</v>
      </c>
      <c r="B230" t="s">
        <v>236</v>
      </c>
      <c r="C230">
        <v>258.03789999999998</v>
      </c>
      <c r="D230">
        <v>150.30000000000001</v>
      </c>
      <c r="E230">
        <v>-0.74978728776972003</v>
      </c>
      <c r="F230" t="s">
        <v>18</v>
      </c>
      <c r="G230" t="s">
        <v>19</v>
      </c>
      <c r="H230">
        <v>1</v>
      </c>
      <c r="I230" t="s">
        <v>40</v>
      </c>
      <c r="J230" t="s">
        <v>19</v>
      </c>
      <c r="K230">
        <v>0.85</v>
      </c>
      <c r="L230" t="s">
        <v>41</v>
      </c>
      <c r="M230" t="s">
        <v>19</v>
      </c>
      <c r="N230">
        <v>1</v>
      </c>
      <c r="O230" t="s">
        <v>42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299</v>
      </c>
      <c r="C231">
        <v>732.35299999999995</v>
      </c>
      <c r="D231">
        <v>247.4</v>
      </c>
      <c r="E231">
        <v>-0.53528985300226894</v>
      </c>
      <c r="F231" t="s">
        <v>18</v>
      </c>
      <c r="G231" t="s">
        <v>19</v>
      </c>
      <c r="H231">
        <v>1</v>
      </c>
      <c r="I231" t="s">
        <v>31</v>
      </c>
      <c r="J231" t="s">
        <v>19</v>
      </c>
      <c r="K231">
        <v>0.73</v>
      </c>
      <c r="L231" t="s">
        <v>107</v>
      </c>
      <c r="M231" t="s">
        <v>19</v>
      </c>
      <c r="N231">
        <v>0.75</v>
      </c>
      <c r="O231" t="s">
        <v>280</v>
      </c>
      <c r="P231" t="s">
        <v>19</v>
      </c>
      <c r="Q231">
        <v>1</v>
      </c>
      <c r="R231" t="s">
        <v>23</v>
      </c>
      <c r="S231">
        <v>4</v>
      </c>
    </row>
    <row r="232" spans="1:19">
      <c r="A232">
        <v>231</v>
      </c>
      <c r="B232" t="s">
        <v>300</v>
      </c>
      <c r="C232">
        <v>574.61279999999999</v>
      </c>
      <c r="D232">
        <v>182.9</v>
      </c>
      <c r="E232">
        <v>-0.97121497589989803</v>
      </c>
      <c r="F232" t="s">
        <v>18</v>
      </c>
      <c r="G232" t="s">
        <v>19</v>
      </c>
      <c r="H232">
        <v>1</v>
      </c>
      <c r="I232" t="s">
        <v>35</v>
      </c>
      <c r="J232" t="s">
        <v>19</v>
      </c>
      <c r="K232">
        <v>1</v>
      </c>
      <c r="L232" t="s">
        <v>36</v>
      </c>
      <c r="M232" t="s">
        <v>19</v>
      </c>
      <c r="N232">
        <v>1</v>
      </c>
      <c r="O232" t="s">
        <v>64</v>
      </c>
      <c r="P232" t="s">
        <v>19</v>
      </c>
      <c r="Q232">
        <v>0.998</v>
      </c>
      <c r="R232" t="s">
        <v>23</v>
      </c>
      <c r="S232">
        <v>4</v>
      </c>
    </row>
    <row r="233" spans="1:19">
      <c r="A233">
        <v>232</v>
      </c>
      <c r="B233" t="s">
        <v>301</v>
      </c>
      <c r="C233">
        <v>884.53930000000003</v>
      </c>
      <c r="D233">
        <v>300.60000000000002</v>
      </c>
      <c r="E233">
        <v>-0.55166594780348499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1</v>
      </c>
      <c r="L233" t="s">
        <v>48</v>
      </c>
      <c r="M233" t="s">
        <v>19</v>
      </c>
      <c r="N233">
        <v>0.99</v>
      </c>
      <c r="O233" t="s">
        <v>54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302</v>
      </c>
      <c r="C234">
        <v>720.49199999999996</v>
      </c>
      <c r="D234">
        <v>269.39999999999998</v>
      </c>
      <c r="E234">
        <v>-0.68753327530475905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0.98</v>
      </c>
      <c r="L234" t="s">
        <v>48</v>
      </c>
      <c r="M234" t="s">
        <v>19</v>
      </c>
      <c r="N234">
        <v>1</v>
      </c>
      <c r="O234" t="s">
        <v>49</v>
      </c>
      <c r="P234" t="s">
        <v>19</v>
      </c>
      <c r="Q234">
        <v>0.85099999999999998</v>
      </c>
      <c r="R234" t="s">
        <v>23</v>
      </c>
      <c r="S234">
        <v>4</v>
      </c>
    </row>
    <row r="235" spans="1:19">
      <c r="A235">
        <v>234</v>
      </c>
      <c r="B235" t="s">
        <v>303</v>
      </c>
      <c r="C235">
        <v>781.61990000000003</v>
      </c>
      <c r="D235">
        <v>293.3</v>
      </c>
      <c r="E235">
        <v>-0.74718080130025999</v>
      </c>
      <c r="F235" t="s">
        <v>18</v>
      </c>
      <c r="G235" t="s">
        <v>19</v>
      </c>
      <c r="H235">
        <v>1</v>
      </c>
      <c r="I235" t="s">
        <v>20</v>
      </c>
      <c r="J235" t="s">
        <v>19</v>
      </c>
      <c r="K235">
        <v>1</v>
      </c>
      <c r="L235" t="s">
        <v>21</v>
      </c>
      <c r="M235" t="s">
        <v>19</v>
      </c>
      <c r="N235">
        <v>0.93</v>
      </c>
      <c r="O235" t="s">
        <v>22</v>
      </c>
      <c r="P235" t="s">
        <v>19</v>
      </c>
      <c r="Q235">
        <v>0.876</v>
      </c>
      <c r="R235" t="s">
        <v>23</v>
      </c>
      <c r="S235">
        <v>4</v>
      </c>
    </row>
    <row r="236" spans="1:19">
      <c r="A236">
        <v>235</v>
      </c>
      <c r="B236" t="s">
        <v>304</v>
      </c>
      <c r="C236">
        <v>658.31600000000003</v>
      </c>
      <c r="D236">
        <v>243</v>
      </c>
      <c r="E236">
        <v>-0.58095600737499398</v>
      </c>
      <c r="F236" t="s">
        <v>18</v>
      </c>
      <c r="G236" t="s">
        <v>19</v>
      </c>
      <c r="H236">
        <v>1</v>
      </c>
      <c r="I236" t="s">
        <v>31</v>
      </c>
      <c r="J236" t="s">
        <v>19</v>
      </c>
      <c r="K236">
        <v>0.88</v>
      </c>
      <c r="L236" t="s">
        <v>32</v>
      </c>
      <c r="M236" t="s">
        <v>19</v>
      </c>
      <c r="N236">
        <v>0.9</v>
      </c>
      <c r="O236" t="s">
        <v>33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236</v>
      </c>
      <c r="B237" t="s">
        <v>305</v>
      </c>
      <c r="C237">
        <v>893.54600000000005</v>
      </c>
      <c r="D237">
        <v>289.2</v>
      </c>
      <c r="E237">
        <v>-0.54830949964127695</v>
      </c>
      <c r="F237" t="s">
        <v>18</v>
      </c>
      <c r="G237" t="s">
        <v>19</v>
      </c>
      <c r="H237">
        <v>1</v>
      </c>
      <c r="I237" t="s">
        <v>31</v>
      </c>
      <c r="J237" t="s">
        <v>19</v>
      </c>
      <c r="K237">
        <v>0.64</v>
      </c>
      <c r="L237" t="s">
        <v>32</v>
      </c>
      <c r="M237" t="s">
        <v>19</v>
      </c>
      <c r="N237">
        <v>0.81</v>
      </c>
      <c r="O237" t="s">
        <v>33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158</v>
      </c>
      <c r="C238">
        <v>790.53380000000004</v>
      </c>
      <c r="D238">
        <v>284.89999999999998</v>
      </c>
      <c r="E238">
        <v>-0.65112796915604998</v>
      </c>
      <c r="F238" t="s">
        <v>18</v>
      </c>
      <c r="G238" t="s">
        <v>19</v>
      </c>
      <c r="H238">
        <v>1</v>
      </c>
      <c r="I238" t="s">
        <v>20</v>
      </c>
      <c r="J238" t="s">
        <v>19</v>
      </c>
      <c r="K238">
        <v>1</v>
      </c>
      <c r="L238" t="s">
        <v>48</v>
      </c>
      <c r="M238" t="s">
        <v>19</v>
      </c>
      <c r="N238">
        <v>1</v>
      </c>
      <c r="O238" t="s">
        <v>49</v>
      </c>
      <c r="P238" t="s">
        <v>19</v>
      </c>
      <c r="Q238">
        <v>0.65100000000000002</v>
      </c>
      <c r="R238" t="s">
        <v>23</v>
      </c>
      <c r="S238">
        <v>4</v>
      </c>
    </row>
    <row r="239" spans="1:19">
      <c r="A239">
        <v>238</v>
      </c>
      <c r="B239" t="s">
        <v>99</v>
      </c>
      <c r="C239">
        <v>836.54610000000002</v>
      </c>
      <c r="D239">
        <v>290.2</v>
      </c>
      <c r="E239">
        <v>-0.61205284732727705</v>
      </c>
      <c r="F239" t="s">
        <v>18</v>
      </c>
      <c r="G239" t="s">
        <v>19</v>
      </c>
      <c r="H239">
        <v>1</v>
      </c>
      <c r="I239" t="s">
        <v>20</v>
      </c>
      <c r="J239" t="s">
        <v>19</v>
      </c>
      <c r="K239">
        <v>0.99</v>
      </c>
      <c r="L239" t="s">
        <v>48</v>
      </c>
      <c r="M239" t="s">
        <v>19</v>
      </c>
      <c r="N239">
        <v>1</v>
      </c>
      <c r="O239" t="s">
        <v>54</v>
      </c>
      <c r="P239" t="s">
        <v>19</v>
      </c>
      <c r="Q239">
        <v>0.86</v>
      </c>
      <c r="R239" t="s">
        <v>23</v>
      </c>
      <c r="S239">
        <v>4</v>
      </c>
    </row>
    <row r="240" spans="1:19">
      <c r="A240">
        <v>239</v>
      </c>
      <c r="B240" t="s">
        <v>306</v>
      </c>
      <c r="C240">
        <v>153.01939999999999</v>
      </c>
      <c r="D240">
        <v>125</v>
      </c>
      <c r="E240">
        <v>-0.84854589539810399</v>
      </c>
      <c r="F240" t="s">
        <v>18</v>
      </c>
      <c r="G240" t="s">
        <v>19</v>
      </c>
      <c r="H240">
        <v>1</v>
      </c>
      <c r="I240" t="s">
        <v>35</v>
      </c>
      <c r="J240" t="s">
        <v>19</v>
      </c>
      <c r="K240">
        <v>0.82</v>
      </c>
      <c r="L240" t="s">
        <v>36</v>
      </c>
      <c r="M240" t="s">
        <v>19</v>
      </c>
      <c r="N240">
        <v>1</v>
      </c>
      <c r="O240" t="s">
        <v>143</v>
      </c>
      <c r="P240" t="s">
        <v>19</v>
      </c>
      <c r="Q240">
        <v>0.995</v>
      </c>
      <c r="R240" t="s">
        <v>23</v>
      </c>
      <c r="S240">
        <v>4</v>
      </c>
    </row>
    <row r="241" spans="1:19">
      <c r="A241">
        <v>240</v>
      </c>
      <c r="B241" t="s">
        <v>221</v>
      </c>
      <c r="C241">
        <v>263.01310000000001</v>
      </c>
      <c r="D241">
        <v>151.5</v>
      </c>
      <c r="E241">
        <v>-0.71943221866598595</v>
      </c>
      <c r="F241" t="s">
        <v>18</v>
      </c>
      <c r="G241" t="s">
        <v>19</v>
      </c>
      <c r="H241">
        <v>1</v>
      </c>
      <c r="I241" t="s">
        <v>31</v>
      </c>
      <c r="J241" t="s">
        <v>19</v>
      </c>
      <c r="K241">
        <v>0.86</v>
      </c>
      <c r="L241" t="s">
        <v>32</v>
      </c>
      <c r="M241" t="s">
        <v>19</v>
      </c>
      <c r="N241">
        <v>1</v>
      </c>
      <c r="O241" t="s">
        <v>33</v>
      </c>
      <c r="P241" t="s">
        <v>19</v>
      </c>
      <c r="Q241">
        <v>0.96899999999999997</v>
      </c>
      <c r="R241" t="s">
        <v>23</v>
      </c>
      <c r="S241">
        <v>4</v>
      </c>
    </row>
    <row r="242" spans="1:19">
      <c r="A242">
        <v>241</v>
      </c>
      <c r="B242" t="s">
        <v>307</v>
      </c>
      <c r="C242">
        <v>829.28250000000003</v>
      </c>
      <c r="D242">
        <v>250.4</v>
      </c>
      <c r="E242">
        <v>-0.35656303384075699</v>
      </c>
      <c r="F242" t="s">
        <v>18</v>
      </c>
      <c r="G242" t="s">
        <v>19</v>
      </c>
      <c r="H242">
        <v>1</v>
      </c>
      <c r="I242" t="s">
        <v>40</v>
      </c>
      <c r="J242" t="s">
        <v>19</v>
      </c>
      <c r="K242">
        <v>0.91</v>
      </c>
      <c r="L242" t="s">
        <v>41</v>
      </c>
      <c r="M242" t="s">
        <v>19</v>
      </c>
      <c r="N242">
        <v>1</v>
      </c>
      <c r="O242" t="s">
        <v>42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242</v>
      </c>
      <c r="B243" t="s">
        <v>308</v>
      </c>
      <c r="C243">
        <v>508.988</v>
      </c>
      <c r="D243">
        <v>193.1</v>
      </c>
      <c r="E243">
        <v>-0.41968847222574401</v>
      </c>
      <c r="F243" t="s">
        <v>18</v>
      </c>
      <c r="G243" t="s">
        <v>19</v>
      </c>
      <c r="H243">
        <v>1</v>
      </c>
      <c r="I243" t="s">
        <v>72</v>
      </c>
      <c r="J243" t="s">
        <v>19</v>
      </c>
      <c r="K243">
        <v>1</v>
      </c>
      <c r="L243" t="s">
        <v>73</v>
      </c>
      <c r="M243" t="s">
        <v>19</v>
      </c>
      <c r="N243">
        <v>0.96</v>
      </c>
      <c r="O243" t="s">
        <v>74</v>
      </c>
      <c r="P243" t="s">
        <v>19</v>
      </c>
      <c r="Q243">
        <v>0.86</v>
      </c>
      <c r="R243" t="s">
        <v>23</v>
      </c>
      <c r="S243">
        <v>4</v>
      </c>
    </row>
    <row r="244" spans="1:19">
      <c r="A244">
        <v>243</v>
      </c>
      <c r="B244" t="s">
        <v>309</v>
      </c>
      <c r="C244">
        <v>846.67989999999998</v>
      </c>
      <c r="D244">
        <v>303.60000000000002</v>
      </c>
      <c r="E244">
        <v>-0.73453793349790397</v>
      </c>
      <c r="F244" t="s">
        <v>18</v>
      </c>
      <c r="G244" t="s">
        <v>19</v>
      </c>
      <c r="H244">
        <v>1</v>
      </c>
      <c r="I244" t="s">
        <v>20</v>
      </c>
      <c r="J244" t="s">
        <v>19</v>
      </c>
      <c r="K244">
        <v>1</v>
      </c>
      <c r="L244" t="s">
        <v>21</v>
      </c>
      <c r="M244" t="s">
        <v>19</v>
      </c>
      <c r="N244">
        <v>0.99</v>
      </c>
      <c r="O244" t="s">
        <v>25</v>
      </c>
      <c r="P244" t="s">
        <v>19</v>
      </c>
      <c r="Q244">
        <v>0.78700000000000003</v>
      </c>
      <c r="R244" t="s">
        <v>23</v>
      </c>
      <c r="S244">
        <v>4</v>
      </c>
    </row>
    <row r="245" spans="1:19">
      <c r="A245">
        <v>244</v>
      </c>
      <c r="B245" t="s">
        <v>310</v>
      </c>
      <c r="C245">
        <v>828.47670000000005</v>
      </c>
      <c r="D245">
        <v>283.8</v>
      </c>
      <c r="E245">
        <v>-0.551662751376512</v>
      </c>
      <c r="F245" t="s">
        <v>18</v>
      </c>
      <c r="G245" t="s">
        <v>19</v>
      </c>
      <c r="H245">
        <v>1</v>
      </c>
      <c r="I245" t="s">
        <v>20</v>
      </c>
      <c r="J245" t="s">
        <v>19</v>
      </c>
      <c r="K245">
        <v>0.68</v>
      </c>
      <c r="L245" t="s">
        <v>48</v>
      </c>
      <c r="M245" t="s">
        <v>19</v>
      </c>
      <c r="N245">
        <v>1</v>
      </c>
      <c r="O245" t="s">
        <v>54</v>
      </c>
      <c r="P245" t="s">
        <v>19</v>
      </c>
      <c r="Q245">
        <v>0.77300000000000002</v>
      </c>
      <c r="R245" t="s">
        <v>23</v>
      </c>
      <c r="S245">
        <v>4</v>
      </c>
    </row>
    <row r="246" spans="1:19">
      <c r="A246">
        <v>245</v>
      </c>
      <c r="B246" t="s">
        <v>311</v>
      </c>
      <c r="C246">
        <v>532.30150000000003</v>
      </c>
      <c r="D246">
        <v>238</v>
      </c>
      <c r="E246">
        <v>-0.70715773907920698</v>
      </c>
      <c r="F246" t="s">
        <v>18</v>
      </c>
      <c r="G246" t="s">
        <v>19</v>
      </c>
      <c r="H246">
        <v>1</v>
      </c>
      <c r="I246" t="s">
        <v>20</v>
      </c>
      <c r="J246" t="s">
        <v>19</v>
      </c>
      <c r="K246">
        <v>0.98</v>
      </c>
      <c r="L246" t="s">
        <v>48</v>
      </c>
      <c r="M246" t="s">
        <v>19</v>
      </c>
      <c r="N246">
        <v>0.99</v>
      </c>
      <c r="O246" t="s">
        <v>86</v>
      </c>
      <c r="P246" t="s">
        <v>19</v>
      </c>
      <c r="Q246">
        <v>0.91</v>
      </c>
      <c r="R246" t="s">
        <v>23</v>
      </c>
      <c r="S246">
        <v>4</v>
      </c>
    </row>
    <row r="247" spans="1:19">
      <c r="A247">
        <v>246</v>
      </c>
      <c r="B247" t="s">
        <v>312</v>
      </c>
      <c r="C247">
        <v>367.21210000000002</v>
      </c>
      <c r="D247">
        <v>193.6</v>
      </c>
      <c r="E247">
        <v>-0.80208862533459102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1</v>
      </c>
      <c r="L247" t="s">
        <v>44</v>
      </c>
      <c r="M247" t="s">
        <v>19</v>
      </c>
      <c r="N247">
        <v>0.94</v>
      </c>
      <c r="O247" t="s">
        <v>70</v>
      </c>
      <c r="P247" t="s">
        <v>19</v>
      </c>
      <c r="Q247">
        <v>0.86499999999999999</v>
      </c>
      <c r="R247" t="s">
        <v>23</v>
      </c>
      <c r="S247">
        <v>4</v>
      </c>
    </row>
    <row r="248" spans="1:19">
      <c r="A248">
        <v>247</v>
      </c>
      <c r="B248" t="s">
        <v>313</v>
      </c>
      <c r="C248">
        <v>160.06120000000001</v>
      </c>
      <c r="D248">
        <v>124.5</v>
      </c>
      <c r="E248">
        <v>-0.88248336010008199</v>
      </c>
      <c r="F248" t="s">
        <v>18</v>
      </c>
      <c r="G248" t="s">
        <v>19</v>
      </c>
      <c r="H248">
        <v>1</v>
      </c>
      <c r="I248" t="s">
        <v>31</v>
      </c>
      <c r="J248" t="s">
        <v>19</v>
      </c>
      <c r="K248">
        <v>0.86</v>
      </c>
      <c r="L248" t="s">
        <v>32</v>
      </c>
      <c r="M248" t="s">
        <v>19</v>
      </c>
      <c r="N248">
        <v>1</v>
      </c>
      <c r="O248" t="s">
        <v>33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248</v>
      </c>
      <c r="B249" t="s">
        <v>314</v>
      </c>
      <c r="C249">
        <v>884.73429999999996</v>
      </c>
      <c r="D249">
        <v>315.5</v>
      </c>
      <c r="E249">
        <v>-0.74644822017944501</v>
      </c>
      <c r="F249" t="s">
        <v>18</v>
      </c>
      <c r="G249" t="s">
        <v>19</v>
      </c>
      <c r="H249">
        <v>1</v>
      </c>
      <c r="I249" t="s">
        <v>20</v>
      </c>
      <c r="J249" t="s">
        <v>19</v>
      </c>
      <c r="K249">
        <v>1</v>
      </c>
      <c r="L249" t="s">
        <v>21</v>
      </c>
      <c r="M249" t="s">
        <v>19</v>
      </c>
      <c r="N249">
        <v>0.97</v>
      </c>
      <c r="O249" t="s">
        <v>25</v>
      </c>
      <c r="P249" t="s">
        <v>19</v>
      </c>
      <c r="Q249">
        <v>0.86499999999999999</v>
      </c>
      <c r="R249" t="s">
        <v>23</v>
      </c>
      <c r="S249">
        <v>4</v>
      </c>
    </row>
    <row r="250" spans="1:19">
      <c r="A250">
        <v>249</v>
      </c>
      <c r="B250" t="s">
        <v>315</v>
      </c>
      <c r="C250">
        <v>203.22309999999999</v>
      </c>
      <c r="D250">
        <v>148.6</v>
      </c>
      <c r="E250">
        <v>-0.99619085785906203</v>
      </c>
      <c r="F250" t="s">
        <v>18</v>
      </c>
      <c r="G250" t="s">
        <v>19</v>
      </c>
      <c r="H250">
        <v>0.98799999999999999</v>
      </c>
      <c r="I250" t="s">
        <v>110</v>
      </c>
      <c r="J250" t="s">
        <v>19</v>
      </c>
      <c r="K250">
        <v>0.96</v>
      </c>
      <c r="L250" t="s">
        <v>111</v>
      </c>
      <c r="M250" t="s">
        <v>19</v>
      </c>
      <c r="N250">
        <v>1</v>
      </c>
      <c r="O250" t="s">
        <v>316</v>
      </c>
      <c r="P250" t="s">
        <v>19</v>
      </c>
      <c r="Q250">
        <v>0.88900000000000001</v>
      </c>
      <c r="R250" t="s">
        <v>23</v>
      </c>
      <c r="S250">
        <v>4</v>
      </c>
    </row>
    <row r="251" spans="1:19">
      <c r="A251">
        <v>250</v>
      </c>
      <c r="B251" t="s">
        <v>149</v>
      </c>
      <c r="C251">
        <v>812.54409999999996</v>
      </c>
      <c r="D251">
        <v>286.7</v>
      </c>
      <c r="E251">
        <v>-0.63685232646935197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1</v>
      </c>
      <c r="L251" t="s">
        <v>48</v>
      </c>
      <c r="M251" t="s">
        <v>19</v>
      </c>
      <c r="N251">
        <v>1</v>
      </c>
      <c r="O251" t="s">
        <v>54</v>
      </c>
      <c r="P251" t="s">
        <v>19</v>
      </c>
      <c r="Q251">
        <v>0.80900000000000005</v>
      </c>
      <c r="R251" t="s">
        <v>23</v>
      </c>
      <c r="S251">
        <v>4</v>
      </c>
    </row>
    <row r="252" spans="1:19">
      <c r="A252">
        <v>251</v>
      </c>
      <c r="B252" t="s">
        <v>232</v>
      </c>
      <c r="C252">
        <v>906.48509999999999</v>
      </c>
      <c r="D252">
        <v>336</v>
      </c>
      <c r="E252">
        <v>-0.47296232271560301</v>
      </c>
      <c r="F252" t="s">
        <v>18</v>
      </c>
      <c r="G252" t="s">
        <v>19</v>
      </c>
      <c r="H252">
        <v>1</v>
      </c>
      <c r="I252" t="s">
        <v>40</v>
      </c>
      <c r="J252" t="s">
        <v>19</v>
      </c>
      <c r="K252">
        <v>0.97</v>
      </c>
      <c r="L252" t="s">
        <v>41</v>
      </c>
      <c r="M252" t="s">
        <v>19</v>
      </c>
      <c r="N252">
        <v>1</v>
      </c>
      <c r="O252" t="s">
        <v>42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252</v>
      </c>
      <c r="B253" t="s">
        <v>317</v>
      </c>
      <c r="C253">
        <v>602.58759999999995</v>
      </c>
      <c r="D253">
        <v>269.58</v>
      </c>
      <c r="E253">
        <v>-0.91477965929675498</v>
      </c>
      <c r="F253" t="s">
        <v>18</v>
      </c>
      <c r="G253" t="s">
        <v>19</v>
      </c>
      <c r="H253">
        <v>1</v>
      </c>
      <c r="I253" t="s">
        <v>20</v>
      </c>
      <c r="J253" t="s">
        <v>19</v>
      </c>
      <c r="K253">
        <v>1</v>
      </c>
      <c r="L253" t="s">
        <v>21</v>
      </c>
      <c r="M253" t="s">
        <v>19</v>
      </c>
      <c r="N253">
        <v>1</v>
      </c>
      <c r="O253" t="s">
        <v>131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253</v>
      </c>
      <c r="B254" t="s">
        <v>318</v>
      </c>
      <c r="C254">
        <v>338.87049999999999</v>
      </c>
      <c r="D254">
        <v>169.4</v>
      </c>
      <c r="E254">
        <v>-0.492133493181313</v>
      </c>
      <c r="F254" t="s">
        <v>18</v>
      </c>
      <c r="G254" t="s">
        <v>19</v>
      </c>
      <c r="H254">
        <v>1</v>
      </c>
      <c r="I254" t="s">
        <v>35</v>
      </c>
      <c r="J254" t="s">
        <v>19</v>
      </c>
      <c r="K254">
        <v>1</v>
      </c>
      <c r="L254" t="s">
        <v>36</v>
      </c>
      <c r="M254" t="s">
        <v>19</v>
      </c>
      <c r="N254">
        <v>1</v>
      </c>
      <c r="O254" t="s">
        <v>96</v>
      </c>
      <c r="P254" t="s">
        <v>19</v>
      </c>
      <c r="Q254">
        <v>0.99299999999999999</v>
      </c>
      <c r="R254" t="s">
        <v>23</v>
      </c>
      <c r="S254">
        <v>4</v>
      </c>
    </row>
    <row r="255" spans="1:19">
      <c r="A255">
        <v>254</v>
      </c>
      <c r="B255" t="s">
        <v>319</v>
      </c>
      <c r="C255">
        <v>836.52059999999994</v>
      </c>
      <c r="D255">
        <v>291.60000000000002</v>
      </c>
      <c r="E255">
        <v>-0.58658131940103397</v>
      </c>
      <c r="F255" t="s">
        <v>18</v>
      </c>
      <c r="G255" t="s">
        <v>19</v>
      </c>
      <c r="H255">
        <v>1</v>
      </c>
      <c r="I255" t="s">
        <v>20</v>
      </c>
      <c r="J255" t="s">
        <v>19</v>
      </c>
      <c r="K255">
        <v>0.96</v>
      </c>
      <c r="L255" t="s">
        <v>48</v>
      </c>
      <c r="M255" t="s">
        <v>19</v>
      </c>
      <c r="N255">
        <v>1</v>
      </c>
      <c r="O255" t="s">
        <v>49</v>
      </c>
      <c r="P255" t="s">
        <v>19</v>
      </c>
      <c r="Q255">
        <v>0.66800000000000004</v>
      </c>
      <c r="R255" t="s">
        <v>23</v>
      </c>
      <c r="S255">
        <v>4</v>
      </c>
    </row>
    <row r="256" spans="1:19">
      <c r="A256">
        <v>255</v>
      </c>
      <c r="B256" t="s">
        <v>320</v>
      </c>
      <c r="C256">
        <v>639.24019999999996</v>
      </c>
      <c r="D256">
        <v>380</v>
      </c>
      <c r="E256">
        <v>-0.52645512845731401</v>
      </c>
      <c r="F256" t="s">
        <v>18</v>
      </c>
      <c r="G256" t="s">
        <v>19</v>
      </c>
      <c r="H256">
        <v>1</v>
      </c>
      <c r="I256" t="s">
        <v>31</v>
      </c>
      <c r="J256" t="s">
        <v>19</v>
      </c>
      <c r="K256">
        <v>0.99</v>
      </c>
      <c r="L256" t="s">
        <v>107</v>
      </c>
      <c r="M256" t="s">
        <v>19</v>
      </c>
      <c r="N256">
        <v>0.98</v>
      </c>
      <c r="O256" t="s">
        <v>108</v>
      </c>
      <c r="P256" t="s">
        <v>19</v>
      </c>
      <c r="Q256">
        <v>0.998</v>
      </c>
      <c r="R256" t="s">
        <v>23</v>
      </c>
      <c r="S256">
        <v>4</v>
      </c>
    </row>
    <row r="257" spans="1:19">
      <c r="A257">
        <v>256</v>
      </c>
      <c r="B257" t="s">
        <v>321</v>
      </c>
      <c r="C257">
        <v>132.10239999999999</v>
      </c>
      <c r="D257">
        <v>133</v>
      </c>
      <c r="E257">
        <v>-0.954900811872477</v>
      </c>
      <c r="F257" t="s">
        <v>18</v>
      </c>
      <c r="G257" t="s">
        <v>19</v>
      </c>
      <c r="H257">
        <v>1</v>
      </c>
      <c r="I257" t="s">
        <v>31</v>
      </c>
      <c r="J257" t="s">
        <v>19</v>
      </c>
      <c r="K257">
        <v>1</v>
      </c>
      <c r="L257" t="s">
        <v>32</v>
      </c>
      <c r="M257" t="s">
        <v>19</v>
      </c>
      <c r="N257">
        <v>1</v>
      </c>
      <c r="O257" t="s">
        <v>33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257</v>
      </c>
      <c r="B258" t="s">
        <v>322</v>
      </c>
      <c r="C258">
        <v>2459.8703999999998</v>
      </c>
      <c r="D258">
        <v>401.9</v>
      </c>
      <c r="E258">
        <v>-0.123826986194672</v>
      </c>
      <c r="F258" t="s">
        <v>18</v>
      </c>
      <c r="G258" t="s">
        <v>19</v>
      </c>
      <c r="H258">
        <v>0.998</v>
      </c>
      <c r="I258" t="s">
        <v>27</v>
      </c>
      <c r="J258" t="s">
        <v>19</v>
      </c>
      <c r="K258">
        <v>0.92</v>
      </c>
      <c r="L258" t="s">
        <v>28</v>
      </c>
      <c r="M258" t="s">
        <v>19</v>
      </c>
      <c r="N258">
        <v>1</v>
      </c>
      <c r="O258" t="s">
        <v>29</v>
      </c>
      <c r="P258" t="s">
        <v>19</v>
      </c>
      <c r="Q258">
        <v>1</v>
      </c>
      <c r="R258" t="s">
        <v>23</v>
      </c>
      <c r="S258">
        <v>4</v>
      </c>
    </row>
    <row r="259" spans="1:19">
      <c r="A259">
        <v>258</v>
      </c>
      <c r="B259" t="s">
        <v>323</v>
      </c>
      <c r="C259">
        <v>792.67169999999999</v>
      </c>
      <c r="D259">
        <v>297.60000000000002</v>
      </c>
      <c r="E259">
        <v>-0.78664089280994198</v>
      </c>
      <c r="F259" t="s">
        <v>18</v>
      </c>
      <c r="G259" t="s">
        <v>19</v>
      </c>
      <c r="H259">
        <v>1</v>
      </c>
      <c r="I259" t="s">
        <v>20</v>
      </c>
      <c r="J259" t="s">
        <v>19</v>
      </c>
      <c r="K259">
        <v>1</v>
      </c>
      <c r="L259" t="s">
        <v>21</v>
      </c>
      <c r="M259" t="s">
        <v>19</v>
      </c>
      <c r="N259">
        <v>0.92</v>
      </c>
      <c r="O259" t="s">
        <v>25</v>
      </c>
      <c r="P259" t="s">
        <v>19</v>
      </c>
      <c r="Q259">
        <v>0.86</v>
      </c>
      <c r="R259" t="s">
        <v>23</v>
      </c>
      <c r="S259">
        <v>4</v>
      </c>
    </row>
    <row r="260" spans="1:19">
      <c r="A260">
        <v>259</v>
      </c>
      <c r="B260" t="s">
        <v>324</v>
      </c>
      <c r="C260">
        <v>275.14839999999998</v>
      </c>
      <c r="D260">
        <v>178.4</v>
      </c>
      <c r="E260">
        <v>-0.84118252617219003</v>
      </c>
      <c r="F260" t="s">
        <v>18</v>
      </c>
      <c r="G260" t="s">
        <v>19</v>
      </c>
      <c r="H260">
        <v>1</v>
      </c>
      <c r="I260" t="s">
        <v>110</v>
      </c>
      <c r="J260" t="s">
        <v>19</v>
      </c>
      <c r="K260">
        <v>0.65</v>
      </c>
      <c r="L260" t="s">
        <v>111</v>
      </c>
      <c r="M260" t="s">
        <v>19</v>
      </c>
      <c r="N260">
        <v>0.98</v>
      </c>
      <c r="O260" t="s">
        <v>316</v>
      </c>
      <c r="P260" t="s">
        <v>19</v>
      </c>
      <c r="Q260">
        <v>0.73499999999999999</v>
      </c>
      <c r="R260" t="s">
        <v>23</v>
      </c>
      <c r="S260">
        <v>4</v>
      </c>
    </row>
    <row r="261" spans="1:19">
      <c r="A261">
        <v>260</v>
      </c>
      <c r="B261" t="s">
        <v>325</v>
      </c>
      <c r="C261">
        <v>367.22489999999999</v>
      </c>
      <c r="D261">
        <v>190.3</v>
      </c>
      <c r="E261">
        <v>-0.81487433347001603</v>
      </c>
      <c r="F261" t="s">
        <v>18</v>
      </c>
      <c r="G261" t="s">
        <v>19</v>
      </c>
      <c r="H261">
        <v>1</v>
      </c>
      <c r="I261" t="s">
        <v>20</v>
      </c>
      <c r="J261" t="s">
        <v>19</v>
      </c>
      <c r="K261">
        <v>1</v>
      </c>
      <c r="L261" t="s">
        <v>44</v>
      </c>
      <c r="M261" t="s">
        <v>19</v>
      </c>
      <c r="N261">
        <v>0.99</v>
      </c>
      <c r="O261" t="s">
        <v>45</v>
      </c>
      <c r="P261" t="s">
        <v>19</v>
      </c>
      <c r="Q261">
        <v>0.78</v>
      </c>
      <c r="R261" t="s">
        <v>23</v>
      </c>
      <c r="S261">
        <v>4</v>
      </c>
    </row>
    <row r="262" spans="1:19">
      <c r="A262">
        <v>261</v>
      </c>
      <c r="B262" t="s">
        <v>326</v>
      </c>
      <c r="C262">
        <v>407.27980000000002</v>
      </c>
      <c r="D262">
        <v>205.6</v>
      </c>
      <c r="E262">
        <v>-0.82505095803912798</v>
      </c>
      <c r="F262" t="s">
        <v>18</v>
      </c>
      <c r="G262" t="s">
        <v>19</v>
      </c>
      <c r="H262">
        <v>1</v>
      </c>
      <c r="I262" t="s">
        <v>20</v>
      </c>
      <c r="J262" t="s">
        <v>19</v>
      </c>
      <c r="K262">
        <v>0.98</v>
      </c>
      <c r="L262" t="s">
        <v>265</v>
      </c>
      <c r="M262" t="s">
        <v>19</v>
      </c>
      <c r="N262">
        <v>0.96</v>
      </c>
      <c r="O262" t="s">
        <v>327</v>
      </c>
      <c r="P262" t="s">
        <v>19</v>
      </c>
      <c r="Q262">
        <v>0.98799999999999999</v>
      </c>
      <c r="R262" t="s">
        <v>23</v>
      </c>
      <c r="S262">
        <v>4</v>
      </c>
    </row>
    <row r="263" spans="1:19">
      <c r="A263">
        <v>262</v>
      </c>
      <c r="B263" t="s">
        <v>278</v>
      </c>
      <c r="C263">
        <v>220.08750000000001</v>
      </c>
      <c r="D263">
        <v>153.1</v>
      </c>
      <c r="E263">
        <v>-0.84176087968867797</v>
      </c>
      <c r="F263" t="s">
        <v>18</v>
      </c>
      <c r="G263" t="s">
        <v>19</v>
      </c>
      <c r="H263">
        <v>1</v>
      </c>
      <c r="I263" t="s">
        <v>40</v>
      </c>
      <c r="J263" t="s">
        <v>19</v>
      </c>
      <c r="K263">
        <v>0.78</v>
      </c>
      <c r="L263" t="s">
        <v>41</v>
      </c>
      <c r="M263" t="s">
        <v>19</v>
      </c>
      <c r="N263">
        <v>0.99</v>
      </c>
      <c r="O263" t="s">
        <v>42</v>
      </c>
      <c r="P263" t="s">
        <v>19</v>
      </c>
      <c r="Q263">
        <v>0.66</v>
      </c>
      <c r="R263" t="s">
        <v>23</v>
      </c>
      <c r="S263">
        <v>4</v>
      </c>
    </row>
    <row r="264" spans="1:19">
      <c r="A264">
        <v>263</v>
      </c>
      <c r="B264" t="s">
        <v>328</v>
      </c>
      <c r="C264">
        <v>139.04929999999999</v>
      </c>
      <c r="D264">
        <v>134.80000000000001</v>
      </c>
      <c r="E264">
        <v>-0.89404423735146599</v>
      </c>
      <c r="F264" t="s">
        <v>18</v>
      </c>
      <c r="G264" t="s">
        <v>19</v>
      </c>
      <c r="H264">
        <v>1</v>
      </c>
      <c r="I264" t="s">
        <v>89</v>
      </c>
      <c r="J264" t="s">
        <v>19</v>
      </c>
      <c r="K264">
        <v>0.74</v>
      </c>
      <c r="L264" t="s">
        <v>329</v>
      </c>
      <c r="M264" t="s">
        <v>19</v>
      </c>
      <c r="N264">
        <v>0.56000000000000005</v>
      </c>
      <c r="O264" t="s">
        <v>330</v>
      </c>
      <c r="P264" t="s">
        <v>19</v>
      </c>
      <c r="Q264">
        <v>0.98599999999999999</v>
      </c>
      <c r="R264" t="s">
        <v>23</v>
      </c>
      <c r="S264">
        <v>4</v>
      </c>
    </row>
    <row r="265" spans="1:19">
      <c r="A265">
        <v>264</v>
      </c>
      <c r="B265" t="s">
        <v>204</v>
      </c>
      <c r="C265">
        <v>269.25</v>
      </c>
      <c r="D265">
        <v>174.8</v>
      </c>
      <c r="E265">
        <v>-0.949368396006946</v>
      </c>
      <c r="F265" t="s">
        <v>18</v>
      </c>
      <c r="G265" t="s">
        <v>19</v>
      </c>
      <c r="H265">
        <v>1</v>
      </c>
      <c r="I265" t="s">
        <v>20</v>
      </c>
      <c r="J265" t="s">
        <v>19</v>
      </c>
      <c r="K265">
        <v>0.99</v>
      </c>
      <c r="L265" t="s">
        <v>331</v>
      </c>
      <c r="M265" t="s">
        <v>19</v>
      </c>
      <c r="N265">
        <v>0.54</v>
      </c>
      <c r="O265" t="s">
        <v>45</v>
      </c>
      <c r="P265" t="s">
        <v>19</v>
      </c>
      <c r="Q265">
        <v>0.85099999999999998</v>
      </c>
      <c r="R265" t="s">
        <v>332</v>
      </c>
      <c r="S265">
        <v>4</v>
      </c>
    </row>
    <row r="266" spans="1:19">
      <c r="A266">
        <v>265</v>
      </c>
      <c r="B266" t="s">
        <v>333</v>
      </c>
      <c r="C266">
        <v>381.0797</v>
      </c>
      <c r="D266">
        <v>178.6</v>
      </c>
      <c r="E266">
        <v>-0.65420472995282397</v>
      </c>
      <c r="F266" t="s">
        <v>18</v>
      </c>
      <c r="G266" t="s">
        <v>19</v>
      </c>
      <c r="H266">
        <v>1</v>
      </c>
      <c r="I266" t="s">
        <v>40</v>
      </c>
      <c r="J266" t="s">
        <v>19</v>
      </c>
      <c r="K266">
        <v>0.97</v>
      </c>
      <c r="L266" t="s">
        <v>41</v>
      </c>
      <c r="M266" t="s">
        <v>19</v>
      </c>
      <c r="N266">
        <v>1</v>
      </c>
      <c r="O266" t="s">
        <v>42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334</v>
      </c>
      <c r="C267">
        <v>368.03829999999999</v>
      </c>
      <c r="D267">
        <v>170.4</v>
      </c>
      <c r="E267">
        <v>-0.62736613013970599</v>
      </c>
      <c r="F267" t="s">
        <v>18</v>
      </c>
      <c r="G267" t="s">
        <v>19</v>
      </c>
      <c r="H267">
        <v>1</v>
      </c>
      <c r="I267" t="s">
        <v>72</v>
      </c>
      <c r="J267" t="s">
        <v>19</v>
      </c>
      <c r="K267">
        <v>0.99</v>
      </c>
      <c r="L267" t="s">
        <v>73</v>
      </c>
      <c r="M267" t="s">
        <v>19</v>
      </c>
      <c r="N267">
        <v>1</v>
      </c>
      <c r="O267" t="s">
        <v>81</v>
      </c>
      <c r="P267" t="s">
        <v>19</v>
      </c>
      <c r="Q267">
        <v>0.61099999999999999</v>
      </c>
      <c r="R267" t="s">
        <v>23</v>
      </c>
      <c r="S267">
        <v>4</v>
      </c>
    </row>
    <row r="268" spans="1:19">
      <c r="A268">
        <v>267</v>
      </c>
      <c r="B268" t="s">
        <v>335</v>
      </c>
      <c r="C268">
        <v>849.66020000000003</v>
      </c>
      <c r="D268">
        <v>305.8</v>
      </c>
      <c r="E268">
        <v>-0.71151027381586096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1</v>
      </c>
      <c r="L268" t="s">
        <v>21</v>
      </c>
      <c r="M268" t="s">
        <v>19</v>
      </c>
      <c r="N268">
        <v>0.97</v>
      </c>
      <c r="O268" t="s">
        <v>22</v>
      </c>
      <c r="P268" t="s">
        <v>19</v>
      </c>
      <c r="Q268">
        <v>0.83199999999999996</v>
      </c>
      <c r="R268" t="s">
        <v>23</v>
      </c>
      <c r="S268">
        <v>4</v>
      </c>
    </row>
    <row r="269" spans="1:19">
      <c r="A269">
        <v>268</v>
      </c>
      <c r="B269" t="s">
        <v>336</v>
      </c>
      <c r="C269">
        <v>852.69039999999995</v>
      </c>
      <c r="D269">
        <v>306.7</v>
      </c>
      <c r="E269">
        <v>-0.73832689819312203</v>
      </c>
      <c r="F269" t="s">
        <v>18</v>
      </c>
      <c r="G269" t="s">
        <v>19</v>
      </c>
      <c r="H269">
        <v>1</v>
      </c>
      <c r="I269" t="s">
        <v>20</v>
      </c>
      <c r="J269" t="s">
        <v>19</v>
      </c>
      <c r="K269">
        <v>1</v>
      </c>
      <c r="L269" t="s">
        <v>21</v>
      </c>
      <c r="M269" t="s">
        <v>19</v>
      </c>
      <c r="N269">
        <v>1</v>
      </c>
      <c r="O269" t="s">
        <v>25</v>
      </c>
      <c r="P269" t="s">
        <v>19</v>
      </c>
      <c r="Q269">
        <v>0.71799999999999997</v>
      </c>
      <c r="R269" t="s">
        <v>23</v>
      </c>
      <c r="S269">
        <v>4</v>
      </c>
    </row>
    <row r="270" spans="1:19">
      <c r="A270">
        <v>269</v>
      </c>
      <c r="B270" t="s">
        <v>337</v>
      </c>
      <c r="C270">
        <v>112.05159999999999</v>
      </c>
      <c r="D270">
        <v>119.1</v>
      </c>
      <c r="E270">
        <v>-0.92648857107523996</v>
      </c>
      <c r="F270" t="s">
        <v>18</v>
      </c>
      <c r="G270" t="s">
        <v>19</v>
      </c>
      <c r="H270">
        <v>1</v>
      </c>
      <c r="I270" t="s">
        <v>31</v>
      </c>
      <c r="J270" t="s">
        <v>19</v>
      </c>
      <c r="K270">
        <v>0.92</v>
      </c>
      <c r="L270" t="s">
        <v>32</v>
      </c>
      <c r="M270" t="s">
        <v>19</v>
      </c>
      <c r="N270">
        <v>1</v>
      </c>
      <c r="O270" t="s">
        <v>33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270</v>
      </c>
      <c r="B271" t="s">
        <v>338</v>
      </c>
      <c r="C271">
        <v>352.04059999999998</v>
      </c>
      <c r="D271">
        <v>181.3</v>
      </c>
      <c r="E271">
        <v>-0.64752839276252405</v>
      </c>
      <c r="F271" t="s">
        <v>18</v>
      </c>
      <c r="G271" t="s">
        <v>19</v>
      </c>
      <c r="H271">
        <v>1</v>
      </c>
      <c r="I271" t="s">
        <v>72</v>
      </c>
      <c r="J271" t="s">
        <v>19</v>
      </c>
      <c r="K271">
        <v>0.9</v>
      </c>
      <c r="L271" t="s">
        <v>73</v>
      </c>
      <c r="M271" t="s">
        <v>19</v>
      </c>
      <c r="N271">
        <v>0.99</v>
      </c>
      <c r="O271" t="s">
        <v>339</v>
      </c>
      <c r="P271" t="s">
        <v>19</v>
      </c>
      <c r="Q271">
        <v>0.94399999999999995</v>
      </c>
      <c r="R271" t="s">
        <v>23</v>
      </c>
      <c r="S271">
        <v>4</v>
      </c>
    </row>
    <row r="272" spans="1:19">
      <c r="A272">
        <v>271</v>
      </c>
      <c r="B272" t="s">
        <v>340</v>
      </c>
      <c r="C272">
        <v>870.67100000000005</v>
      </c>
      <c r="D272">
        <v>303.7</v>
      </c>
      <c r="E272">
        <v>-0.69885062477158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1</v>
      </c>
      <c r="L272" t="s">
        <v>21</v>
      </c>
      <c r="M272" t="s">
        <v>19</v>
      </c>
      <c r="N272">
        <v>0.97</v>
      </c>
      <c r="O272" t="s">
        <v>25</v>
      </c>
      <c r="P272" t="s">
        <v>19</v>
      </c>
      <c r="Q272">
        <v>0.98899999999999999</v>
      </c>
      <c r="R272" t="s">
        <v>23</v>
      </c>
      <c r="S272">
        <v>4</v>
      </c>
    </row>
    <row r="273" spans="1:19">
      <c r="A273">
        <v>272</v>
      </c>
      <c r="B273" t="s">
        <v>341</v>
      </c>
      <c r="C273">
        <v>730.57079999999996</v>
      </c>
      <c r="D273">
        <v>271.7</v>
      </c>
      <c r="E273">
        <v>-0.75507977183099195</v>
      </c>
      <c r="F273" t="s">
        <v>18</v>
      </c>
      <c r="G273" t="s">
        <v>19</v>
      </c>
      <c r="H273">
        <v>1</v>
      </c>
      <c r="I273" t="s">
        <v>20</v>
      </c>
      <c r="J273" t="s">
        <v>19</v>
      </c>
      <c r="K273">
        <v>1</v>
      </c>
      <c r="L273" t="s">
        <v>48</v>
      </c>
      <c r="M273" t="s">
        <v>19</v>
      </c>
      <c r="N273">
        <v>0.99</v>
      </c>
      <c r="O273" t="s">
        <v>49</v>
      </c>
      <c r="P273" t="s">
        <v>19</v>
      </c>
      <c r="Q273">
        <v>0.97499999999999998</v>
      </c>
      <c r="R273" t="s">
        <v>23</v>
      </c>
      <c r="S273">
        <v>4</v>
      </c>
    </row>
    <row r="274" spans="1:19">
      <c r="A274">
        <v>273</v>
      </c>
      <c r="B274" t="s">
        <v>342</v>
      </c>
      <c r="C274">
        <v>247.10830000000001</v>
      </c>
      <c r="D274">
        <v>154.69999999999999</v>
      </c>
      <c r="E274">
        <v>-0.83239075361561299</v>
      </c>
      <c r="F274" t="s">
        <v>18</v>
      </c>
      <c r="G274" t="s">
        <v>19</v>
      </c>
      <c r="H274">
        <v>1</v>
      </c>
      <c r="I274" t="s">
        <v>31</v>
      </c>
      <c r="J274" t="s">
        <v>19</v>
      </c>
      <c r="K274">
        <v>0.81</v>
      </c>
      <c r="L274" t="s">
        <v>32</v>
      </c>
      <c r="M274" t="s">
        <v>19</v>
      </c>
      <c r="N274">
        <v>0.86</v>
      </c>
      <c r="O274" t="s">
        <v>33</v>
      </c>
      <c r="P274" t="s">
        <v>19</v>
      </c>
      <c r="Q274">
        <v>0.99399999999999999</v>
      </c>
      <c r="R274" t="s">
        <v>23</v>
      </c>
      <c r="S274">
        <v>4</v>
      </c>
    </row>
    <row r="275" spans="1:19">
      <c r="A275">
        <v>274</v>
      </c>
      <c r="B275" t="s">
        <v>343</v>
      </c>
      <c r="C275">
        <v>202.0145</v>
      </c>
      <c r="D275">
        <v>138.1</v>
      </c>
      <c r="E275">
        <v>-0.78894032250750001</v>
      </c>
      <c r="F275" t="s">
        <v>18</v>
      </c>
      <c r="G275" t="s">
        <v>19</v>
      </c>
      <c r="H275">
        <v>1</v>
      </c>
      <c r="I275" t="s">
        <v>31</v>
      </c>
      <c r="J275" t="s">
        <v>19</v>
      </c>
      <c r="K275">
        <v>0.81</v>
      </c>
      <c r="L275" t="s">
        <v>32</v>
      </c>
      <c r="M275" t="s">
        <v>19</v>
      </c>
      <c r="N275">
        <v>1</v>
      </c>
      <c r="O275" t="s">
        <v>33</v>
      </c>
      <c r="P275" t="s">
        <v>19</v>
      </c>
      <c r="Q275">
        <v>0.95899999999999996</v>
      </c>
      <c r="R275" t="s">
        <v>23</v>
      </c>
      <c r="S275">
        <v>4</v>
      </c>
    </row>
    <row r="276" spans="1:19">
      <c r="A276">
        <v>275</v>
      </c>
      <c r="B276" t="s">
        <v>344</v>
      </c>
      <c r="C276">
        <v>822.5625</v>
      </c>
      <c r="D276">
        <v>290</v>
      </c>
      <c r="E276">
        <v>-0.64406626273148504</v>
      </c>
      <c r="F276" t="s">
        <v>18</v>
      </c>
      <c r="G276" t="s">
        <v>19</v>
      </c>
      <c r="H276">
        <v>1</v>
      </c>
      <c r="I276" t="s">
        <v>20</v>
      </c>
      <c r="J276" t="s">
        <v>19</v>
      </c>
      <c r="K276">
        <v>1</v>
      </c>
      <c r="L276" t="s">
        <v>48</v>
      </c>
      <c r="M276" t="s">
        <v>19</v>
      </c>
      <c r="N276">
        <v>1</v>
      </c>
      <c r="O276" t="s">
        <v>86</v>
      </c>
      <c r="P276" t="s">
        <v>19</v>
      </c>
      <c r="Q276">
        <v>0.81399999999999995</v>
      </c>
      <c r="R276" t="s">
        <v>23</v>
      </c>
      <c r="S276">
        <v>4</v>
      </c>
    </row>
    <row r="277" spans="1:19">
      <c r="A277">
        <v>276</v>
      </c>
      <c r="B277" t="s">
        <v>345</v>
      </c>
      <c r="C277">
        <v>496.70229999999998</v>
      </c>
      <c r="D277">
        <v>174.8</v>
      </c>
      <c r="E277">
        <v>-0.14770609412795499</v>
      </c>
      <c r="F277" t="s">
        <v>18</v>
      </c>
      <c r="G277" t="s">
        <v>19</v>
      </c>
      <c r="H277">
        <v>0.99199999999999999</v>
      </c>
      <c r="I277" t="s">
        <v>35</v>
      </c>
      <c r="J277" t="s">
        <v>19</v>
      </c>
      <c r="K277">
        <v>1</v>
      </c>
      <c r="L277" t="s">
        <v>36</v>
      </c>
      <c r="M277" t="s">
        <v>19</v>
      </c>
      <c r="N277">
        <v>1</v>
      </c>
      <c r="O277" t="s">
        <v>64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277</v>
      </c>
      <c r="B278" t="s">
        <v>346</v>
      </c>
      <c r="C278">
        <v>788.61689999999999</v>
      </c>
      <c r="D278">
        <v>289.39999999999998</v>
      </c>
      <c r="E278">
        <v>-0.73636828752819405</v>
      </c>
      <c r="F278" t="s">
        <v>18</v>
      </c>
      <c r="G278" t="s">
        <v>19</v>
      </c>
      <c r="H278">
        <v>1</v>
      </c>
      <c r="I278" t="s">
        <v>20</v>
      </c>
      <c r="J278" t="s">
        <v>19</v>
      </c>
      <c r="K278">
        <v>1</v>
      </c>
      <c r="L278" t="s">
        <v>48</v>
      </c>
      <c r="M278" t="s">
        <v>19</v>
      </c>
      <c r="N278">
        <v>0.73</v>
      </c>
      <c r="O278" t="s">
        <v>86</v>
      </c>
      <c r="P278" t="s">
        <v>19</v>
      </c>
      <c r="Q278">
        <v>0.99299999999999999</v>
      </c>
      <c r="R278" t="s">
        <v>23</v>
      </c>
      <c r="S278">
        <v>4</v>
      </c>
    </row>
    <row r="279" spans="1:19">
      <c r="A279">
        <v>278</v>
      </c>
      <c r="B279" t="s">
        <v>347</v>
      </c>
      <c r="C279">
        <v>821.65120000000002</v>
      </c>
      <c r="D279">
        <v>297.5</v>
      </c>
      <c r="E279">
        <v>-0.73378377649464699</v>
      </c>
      <c r="F279" t="s">
        <v>18</v>
      </c>
      <c r="G279" t="s">
        <v>19</v>
      </c>
      <c r="H279">
        <v>1</v>
      </c>
      <c r="I279" t="s">
        <v>20</v>
      </c>
      <c r="J279" t="s">
        <v>19</v>
      </c>
      <c r="K279">
        <v>1</v>
      </c>
      <c r="L279" t="s">
        <v>21</v>
      </c>
      <c r="M279" t="s">
        <v>19</v>
      </c>
      <c r="N279">
        <v>0.97</v>
      </c>
      <c r="O279" t="s">
        <v>22</v>
      </c>
      <c r="P279" t="s">
        <v>19</v>
      </c>
      <c r="Q279">
        <v>0.748</v>
      </c>
      <c r="R279" t="s">
        <v>23</v>
      </c>
      <c r="S279">
        <v>4</v>
      </c>
    </row>
    <row r="280" spans="1:19">
      <c r="A280">
        <v>279</v>
      </c>
      <c r="B280" t="s">
        <v>348</v>
      </c>
      <c r="C280">
        <v>742.54179999999997</v>
      </c>
      <c r="D280">
        <v>272</v>
      </c>
      <c r="E280">
        <v>-0.71271352881740302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0.98</v>
      </c>
      <c r="L280" t="s">
        <v>48</v>
      </c>
      <c r="M280" t="s">
        <v>19</v>
      </c>
      <c r="N280">
        <v>0.91</v>
      </c>
      <c r="O280" t="s">
        <v>49</v>
      </c>
      <c r="P280" t="s">
        <v>19</v>
      </c>
      <c r="Q280">
        <v>0.998</v>
      </c>
      <c r="R280" t="s">
        <v>23</v>
      </c>
      <c r="S280">
        <v>4</v>
      </c>
    </row>
    <row r="281" spans="1:19">
      <c r="A281">
        <v>280</v>
      </c>
      <c r="B281" t="s">
        <v>349</v>
      </c>
      <c r="C281">
        <v>864.57299999999998</v>
      </c>
      <c r="D281">
        <v>298.60000000000002</v>
      </c>
      <c r="E281">
        <v>-0.607659358369119</v>
      </c>
      <c r="F281" t="s">
        <v>18</v>
      </c>
      <c r="G281" t="s">
        <v>19</v>
      </c>
      <c r="H281">
        <v>1</v>
      </c>
      <c r="I281" t="s">
        <v>20</v>
      </c>
      <c r="J281" t="s">
        <v>19</v>
      </c>
      <c r="K281">
        <v>1</v>
      </c>
      <c r="L281" t="s">
        <v>48</v>
      </c>
      <c r="M281" t="s">
        <v>19</v>
      </c>
      <c r="N281">
        <v>1</v>
      </c>
      <c r="O281" t="s">
        <v>54</v>
      </c>
      <c r="P281" t="s">
        <v>19</v>
      </c>
      <c r="Q281">
        <v>0.89500000000000002</v>
      </c>
      <c r="R281" t="s">
        <v>23</v>
      </c>
      <c r="S281">
        <v>4</v>
      </c>
    </row>
    <row r="282" spans="1:19">
      <c r="A282">
        <v>281</v>
      </c>
      <c r="B282" t="s">
        <v>350</v>
      </c>
      <c r="C282">
        <v>546.35350000000005</v>
      </c>
      <c r="D282">
        <v>240.8</v>
      </c>
      <c r="E282">
        <v>-0.74346795152382605</v>
      </c>
      <c r="F282" t="s">
        <v>18</v>
      </c>
      <c r="G282" t="s">
        <v>19</v>
      </c>
      <c r="H282">
        <v>1</v>
      </c>
      <c r="I282" t="s">
        <v>20</v>
      </c>
      <c r="J282" t="s">
        <v>19</v>
      </c>
      <c r="K282">
        <v>1</v>
      </c>
      <c r="L282" t="s">
        <v>48</v>
      </c>
      <c r="M282" t="s">
        <v>19</v>
      </c>
      <c r="N282">
        <v>1</v>
      </c>
      <c r="O282" t="s">
        <v>86</v>
      </c>
      <c r="P282" t="s">
        <v>19</v>
      </c>
      <c r="Q282">
        <v>0.995</v>
      </c>
      <c r="R282" t="s">
        <v>23</v>
      </c>
      <c r="S282">
        <v>4</v>
      </c>
    </row>
    <row r="283" spans="1:19">
      <c r="A283">
        <v>282</v>
      </c>
      <c r="B283" t="s">
        <v>351</v>
      </c>
      <c r="C283">
        <v>147.1123</v>
      </c>
      <c r="D283">
        <v>131.1</v>
      </c>
      <c r="E283">
        <v>-0.94804147923451898</v>
      </c>
      <c r="F283" t="s">
        <v>18</v>
      </c>
      <c r="G283" t="s">
        <v>19</v>
      </c>
      <c r="H283">
        <v>1</v>
      </c>
      <c r="I283" t="s">
        <v>31</v>
      </c>
      <c r="J283" t="s">
        <v>19</v>
      </c>
      <c r="K283">
        <v>0.86</v>
      </c>
      <c r="L283" t="s">
        <v>32</v>
      </c>
      <c r="M283" t="s">
        <v>19</v>
      </c>
      <c r="N283">
        <v>1</v>
      </c>
      <c r="O283" t="s">
        <v>33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283</v>
      </c>
      <c r="B284" t="s">
        <v>352</v>
      </c>
      <c r="C284">
        <v>367.05810000000002</v>
      </c>
      <c r="D284">
        <v>177.4</v>
      </c>
      <c r="E284">
        <v>-0.64826057433003803</v>
      </c>
      <c r="F284" t="s">
        <v>18</v>
      </c>
      <c r="G284" t="s">
        <v>19</v>
      </c>
      <c r="H284">
        <v>1</v>
      </c>
      <c r="I284" t="s">
        <v>89</v>
      </c>
      <c r="J284" t="s">
        <v>19</v>
      </c>
      <c r="K284">
        <v>0.63</v>
      </c>
      <c r="L284" t="s">
        <v>90</v>
      </c>
      <c r="M284" t="s">
        <v>19</v>
      </c>
      <c r="N284">
        <v>0.97</v>
      </c>
      <c r="O284" t="s">
        <v>91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284</v>
      </c>
      <c r="B285" t="s">
        <v>353</v>
      </c>
      <c r="C285">
        <v>182.04519999999999</v>
      </c>
      <c r="D285">
        <v>130.9</v>
      </c>
      <c r="E285">
        <v>-0.84193708272891898</v>
      </c>
      <c r="F285" t="s">
        <v>18</v>
      </c>
      <c r="G285" t="s">
        <v>19</v>
      </c>
      <c r="H285">
        <v>1</v>
      </c>
      <c r="I285" t="s">
        <v>89</v>
      </c>
      <c r="J285" t="s">
        <v>19</v>
      </c>
      <c r="K285">
        <v>0.69</v>
      </c>
      <c r="L285" t="s">
        <v>273</v>
      </c>
      <c r="M285" t="s">
        <v>19</v>
      </c>
      <c r="N285">
        <v>0.62</v>
      </c>
      <c r="O285" t="s">
        <v>274</v>
      </c>
      <c r="P285" t="s">
        <v>19</v>
      </c>
      <c r="Q285">
        <v>0.79200000000000004</v>
      </c>
      <c r="R285" t="s">
        <v>23</v>
      </c>
      <c r="S285">
        <v>4</v>
      </c>
    </row>
    <row r="286" spans="1:19">
      <c r="A286">
        <v>285</v>
      </c>
      <c r="B286" t="s">
        <v>277</v>
      </c>
      <c r="C286">
        <v>812.61450000000002</v>
      </c>
      <c r="D286">
        <v>298.60000000000002</v>
      </c>
      <c r="E286">
        <v>-0.70717372121441702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1</v>
      </c>
      <c r="L286" t="s">
        <v>48</v>
      </c>
      <c r="M286" t="s">
        <v>19</v>
      </c>
      <c r="N286">
        <v>0.77</v>
      </c>
      <c r="O286" t="s">
        <v>86</v>
      </c>
      <c r="P286" t="s">
        <v>19</v>
      </c>
      <c r="Q286">
        <v>0.97799999999999998</v>
      </c>
      <c r="R286" t="s">
        <v>23</v>
      </c>
      <c r="S286">
        <v>4</v>
      </c>
    </row>
    <row r="287" spans="1:19">
      <c r="A287">
        <v>286</v>
      </c>
      <c r="B287" t="s">
        <v>337</v>
      </c>
      <c r="C287">
        <v>114.06619999999999</v>
      </c>
      <c r="D287">
        <v>123.4</v>
      </c>
      <c r="E287">
        <v>-0.93883916558070302</v>
      </c>
      <c r="F287" t="s">
        <v>18</v>
      </c>
      <c r="G287" t="s">
        <v>19</v>
      </c>
      <c r="H287">
        <v>0.998</v>
      </c>
      <c r="I287" t="s">
        <v>31</v>
      </c>
      <c r="J287" t="s">
        <v>19</v>
      </c>
      <c r="K287">
        <v>1</v>
      </c>
      <c r="L287" t="s">
        <v>32</v>
      </c>
      <c r="M287" t="s">
        <v>19</v>
      </c>
      <c r="N287">
        <v>1</v>
      </c>
      <c r="O287" t="s">
        <v>33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287</v>
      </c>
      <c r="B288" t="s">
        <v>354</v>
      </c>
      <c r="C288">
        <v>173.04169999999999</v>
      </c>
      <c r="D288">
        <v>136.80000000000001</v>
      </c>
      <c r="E288">
        <v>-0.84848995792501103</v>
      </c>
      <c r="F288" t="s">
        <v>18</v>
      </c>
      <c r="G288" t="s">
        <v>19</v>
      </c>
      <c r="H288">
        <v>1</v>
      </c>
      <c r="I288" t="s">
        <v>40</v>
      </c>
      <c r="J288" t="s">
        <v>19</v>
      </c>
      <c r="K288">
        <v>0.99</v>
      </c>
      <c r="L288" t="s">
        <v>41</v>
      </c>
      <c r="M288" t="s">
        <v>19</v>
      </c>
      <c r="N288">
        <v>1</v>
      </c>
      <c r="O288" t="s">
        <v>42</v>
      </c>
      <c r="P288" t="s">
        <v>19</v>
      </c>
      <c r="Q288">
        <v>0.995</v>
      </c>
      <c r="R288" t="s">
        <v>23</v>
      </c>
      <c r="S288">
        <v>4</v>
      </c>
    </row>
    <row r="289" spans="1:19">
      <c r="A289">
        <v>288</v>
      </c>
      <c r="B289" t="s">
        <v>196</v>
      </c>
      <c r="C289">
        <v>153.0402</v>
      </c>
      <c r="D289">
        <v>132.9</v>
      </c>
      <c r="E289">
        <v>-0.86932267111822603</v>
      </c>
      <c r="F289" t="s">
        <v>18</v>
      </c>
      <c r="G289" t="s">
        <v>19</v>
      </c>
      <c r="H289">
        <v>1</v>
      </c>
      <c r="I289" t="s">
        <v>89</v>
      </c>
      <c r="J289" t="s">
        <v>19</v>
      </c>
      <c r="K289">
        <v>0.6</v>
      </c>
      <c r="L289" t="s">
        <v>177</v>
      </c>
      <c r="M289" t="s">
        <v>19</v>
      </c>
      <c r="N289">
        <v>0.86</v>
      </c>
      <c r="O289" t="s">
        <v>178</v>
      </c>
      <c r="P289" t="s">
        <v>19</v>
      </c>
      <c r="Q289">
        <v>1</v>
      </c>
      <c r="R289" t="s">
        <v>23</v>
      </c>
      <c r="S289">
        <v>4</v>
      </c>
    </row>
    <row r="290" spans="1:19">
      <c r="A290">
        <v>289</v>
      </c>
      <c r="B290" t="s">
        <v>355</v>
      </c>
      <c r="C290">
        <v>227.06729999999999</v>
      </c>
      <c r="D290">
        <v>158.6</v>
      </c>
      <c r="E290">
        <v>-0.81376757060954197</v>
      </c>
      <c r="F290" t="s">
        <v>18</v>
      </c>
      <c r="G290" t="s">
        <v>19</v>
      </c>
      <c r="H290">
        <v>1</v>
      </c>
      <c r="I290" t="s">
        <v>35</v>
      </c>
      <c r="J290" t="s">
        <v>19</v>
      </c>
      <c r="K290">
        <v>0.8</v>
      </c>
      <c r="L290" t="s">
        <v>36</v>
      </c>
      <c r="M290" t="s">
        <v>19</v>
      </c>
      <c r="N290">
        <v>0.97</v>
      </c>
      <c r="O290" t="s">
        <v>37</v>
      </c>
      <c r="P290" t="s">
        <v>19</v>
      </c>
      <c r="Q290">
        <v>0.64</v>
      </c>
      <c r="R290" t="s">
        <v>23</v>
      </c>
      <c r="S290">
        <v>4</v>
      </c>
    </row>
    <row r="291" spans="1:19">
      <c r="A291">
        <v>290</v>
      </c>
      <c r="B291" t="s">
        <v>356</v>
      </c>
      <c r="C291">
        <v>174.05439999999999</v>
      </c>
      <c r="D291">
        <v>133.5</v>
      </c>
      <c r="E291">
        <v>-0.86005922579738603</v>
      </c>
      <c r="F291" t="s">
        <v>18</v>
      </c>
      <c r="G291" t="s">
        <v>19</v>
      </c>
      <c r="H291">
        <v>1</v>
      </c>
      <c r="I291" t="s">
        <v>89</v>
      </c>
      <c r="J291" t="s">
        <v>19</v>
      </c>
      <c r="K291">
        <v>0.69</v>
      </c>
      <c r="L291" t="s">
        <v>225</v>
      </c>
      <c r="M291" t="s">
        <v>19</v>
      </c>
      <c r="N291">
        <v>0.74</v>
      </c>
      <c r="O291" t="s">
        <v>226</v>
      </c>
      <c r="P291" t="s">
        <v>19</v>
      </c>
      <c r="Q291">
        <v>0.98599999999999999</v>
      </c>
      <c r="R291" t="s">
        <v>23</v>
      </c>
      <c r="S291">
        <v>4</v>
      </c>
    </row>
    <row r="292" spans="1:19">
      <c r="A292">
        <v>291</v>
      </c>
      <c r="B292" t="s">
        <v>357</v>
      </c>
      <c r="C292">
        <v>353.2328</v>
      </c>
      <c r="D292">
        <v>194.3</v>
      </c>
      <c r="E292">
        <v>-0.83839723956560896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1</v>
      </c>
      <c r="L292" t="s">
        <v>44</v>
      </c>
      <c r="M292" t="s">
        <v>19</v>
      </c>
      <c r="N292">
        <v>1</v>
      </c>
      <c r="O292" t="s">
        <v>70</v>
      </c>
      <c r="P292" t="s">
        <v>19</v>
      </c>
      <c r="Q292">
        <v>0.98099999999999998</v>
      </c>
      <c r="R292" t="s">
        <v>23</v>
      </c>
      <c r="S292">
        <v>4</v>
      </c>
    </row>
    <row r="293" spans="1:19">
      <c r="A293">
        <v>292</v>
      </c>
      <c r="B293" t="s">
        <v>358</v>
      </c>
      <c r="C293">
        <v>789.47220000000004</v>
      </c>
      <c r="D293">
        <v>274.8</v>
      </c>
      <c r="E293">
        <v>-0.59071330067251904</v>
      </c>
      <c r="F293" t="s">
        <v>18</v>
      </c>
      <c r="G293" t="s">
        <v>19</v>
      </c>
      <c r="H293">
        <v>1</v>
      </c>
      <c r="I293" t="s">
        <v>31</v>
      </c>
      <c r="J293" t="s">
        <v>19</v>
      </c>
      <c r="K293">
        <v>0.84</v>
      </c>
      <c r="L293" t="s">
        <v>32</v>
      </c>
      <c r="M293" t="s">
        <v>19</v>
      </c>
      <c r="N293">
        <v>0.94</v>
      </c>
      <c r="O293" t="s">
        <v>33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359</v>
      </c>
      <c r="C294">
        <v>144.06610000000001</v>
      </c>
      <c r="D294">
        <v>140.69999999999999</v>
      </c>
      <c r="E294">
        <v>-0.90524271968791903</v>
      </c>
      <c r="F294" t="s">
        <v>18</v>
      </c>
      <c r="G294" t="s">
        <v>19</v>
      </c>
      <c r="H294">
        <v>1</v>
      </c>
      <c r="I294" t="s">
        <v>31</v>
      </c>
      <c r="J294" t="s">
        <v>19</v>
      </c>
      <c r="K294">
        <v>0.92</v>
      </c>
      <c r="L294" t="s">
        <v>32</v>
      </c>
      <c r="M294" t="s">
        <v>19</v>
      </c>
      <c r="N294">
        <v>1</v>
      </c>
      <c r="O294" t="s">
        <v>33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294</v>
      </c>
      <c r="B295" t="s">
        <v>360</v>
      </c>
      <c r="C295">
        <v>195.05019999999999</v>
      </c>
      <c r="D295">
        <v>132.6</v>
      </c>
      <c r="E295">
        <v>-0.83241632503185803</v>
      </c>
      <c r="F295" t="s">
        <v>18</v>
      </c>
      <c r="G295" t="s">
        <v>19</v>
      </c>
      <c r="H295">
        <v>1</v>
      </c>
      <c r="I295" t="s">
        <v>40</v>
      </c>
      <c r="J295" t="s">
        <v>19</v>
      </c>
      <c r="K295">
        <v>0.88</v>
      </c>
      <c r="L295" t="s">
        <v>41</v>
      </c>
      <c r="M295" t="s">
        <v>19</v>
      </c>
      <c r="N295">
        <v>1</v>
      </c>
      <c r="O295" t="s">
        <v>42</v>
      </c>
      <c r="P295" t="s">
        <v>19</v>
      </c>
      <c r="Q295">
        <v>0.98</v>
      </c>
      <c r="R295" t="s">
        <v>23</v>
      </c>
      <c r="S295">
        <v>4</v>
      </c>
    </row>
    <row r="296" spans="1:19">
      <c r="A296">
        <v>295</v>
      </c>
      <c r="B296" t="s">
        <v>361</v>
      </c>
      <c r="C296">
        <v>181.07140000000001</v>
      </c>
      <c r="D296">
        <v>131.9</v>
      </c>
      <c r="E296">
        <v>-0.869224380986935</v>
      </c>
      <c r="F296" t="s">
        <v>18</v>
      </c>
      <c r="G296" t="s">
        <v>19</v>
      </c>
      <c r="H296">
        <v>1</v>
      </c>
      <c r="I296" t="s">
        <v>40</v>
      </c>
      <c r="J296" t="s">
        <v>19</v>
      </c>
      <c r="K296">
        <v>0.93</v>
      </c>
      <c r="L296" t="s">
        <v>41</v>
      </c>
      <c r="M296" t="s">
        <v>19</v>
      </c>
      <c r="N296">
        <v>1</v>
      </c>
      <c r="O296" t="s">
        <v>42</v>
      </c>
      <c r="P296" t="s">
        <v>19</v>
      </c>
      <c r="Q296">
        <v>0.96299999999999997</v>
      </c>
      <c r="R296" t="s">
        <v>23</v>
      </c>
      <c r="S296">
        <v>4</v>
      </c>
    </row>
    <row r="297" spans="1:19">
      <c r="A297">
        <v>296</v>
      </c>
      <c r="B297" t="s">
        <v>362</v>
      </c>
      <c r="C297">
        <v>610.5403</v>
      </c>
      <c r="D297">
        <v>262</v>
      </c>
      <c r="E297">
        <v>-0.85860005685640295</v>
      </c>
      <c r="F297" t="s">
        <v>18</v>
      </c>
      <c r="G297" t="s">
        <v>19</v>
      </c>
      <c r="H297">
        <v>1</v>
      </c>
      <c r="I297" t="s">
        <v>20</v>
      </c>
      <c r="J297" t="s">
        <v>19</v>
      </c>
      <c r="K297">
        <v>0.95</v>
      </c>
      <c r="L297" t="s">
        <v>21</v>
      </c>
      <c r="M297" t="s">
        <v>19</v>
      </c>
      <c r="N297">
        <v>0.99</v>
      </c>
      <c r="O297" t="s">
        <v>131</v>
      </c>
      <c r="P297" t="s">
        <v>19</v>
      </c>
      <c r="Q297">
        <v>0.97799999999999998</v>
      </c>
      <c r="R297" t="s">
        <v>23</v>
      </c>
      <c r="S297">
        <v>4</v>
      </c>
    </row>
    <row r="298" spans="1:19">
      <c r="A298">
        <v>297</v>
      </c>
      <c r="B298" t="s">
        <v>124</v>
      </c>
      <c r="C298">
        <v>847.65219999999999</v>
      </c>
      <c r="D298">
        <v>304.7</v>
      </c>
      <c r="E298">
        <v>-0.70575231006773698</v>
      </c>
      <c r="F298" t="s">
        <v>18</v>
      </c>
      <c r="G298" t="s">
        <v>19</v>
      </c>
      <c r="H298">
        <v>1</v>
      </c>
      <c r="I298" t="s">
        <v>20</v>
      </c>
      <c r="J298" t="s">
        <v>19</v>
      </c>
      <c r="K298">
        <v>1</v>
      </c>
      <c r="L298" t="s">
        <v>21</v>
      </c>
      <c r="M298" t="s">
        <v>19</v>
      </c>
      <c r="N298">
        <v>0.95</v>
      </c>
      <c r="O298" t="s">
        <v>22</v>
      </c>
      <c r="P298" t="s">
        <v>19</v>
      </c>
      <c r="Q298">
        <v>0.83599999999999997</v>
      </c>
      <c r="R298" t="s">
        <v>23</v>
      </c>
      <c r="S298">
        <v>4</v>
      </c>
    </row>
    <row r="299" spans="1:19">
      <c r="A299">
        <v>298</v>
      </c>
      <c r="B299" t="s">
        <v>363</v>
      </c>
      <c r="C299">
        <v>281.24689999999998</v>
      </c>
      <c r="D299">
        <v>175.6</v>
      </c>
      <c r="E299">
        <v>-0.93287323429865399</v>
      </c>
      <c r="F299" t="s">
        <v>18</v>
      </c>
      <c r="G299" t="s">
        <v>19</v>
      </c>
      <c r="H299">
        <v>1</v>
      </c>
      <c r="I299" t="s">
        <v>20</v>
      </c>
      <c r="J299" t="s">
        <v>19</v>
      </c>
      <c r="K299">
        <v>1</v>
      </c>
      <c r="L299" t="s">
        <v>44</v>
      </c>
      <c r="M299" t="s">
        <v>19</v>
      </c>
      <c r="N299">
        <v>1</v>
      </c>
      <c r="O299" t="s">
        <v>45</v>
      </c>
      <c r="P299" t="s">
        <v>19</v>
      </c>
      <c r="Q299">
        <v>0.81299999999999994</v>
      </c>
      <c r="R299" t="s">
        <v>23</v>
      </c>
      <c r="S299">
        <v>4</v>
      </c>
    </row>
    <row r="300" spans="1:19">
      <c r="A300">
        <v>299</v>
      </c>
      <c r="B300" t="s">
        <v>364</v>
      </c>
      <c r="C300">
        <v>301.10169999999999</v>
      </c>
      <c r="D300">
        <v>162.6</v>
      </c>
      <c r="E300">
        <v>-0.765504319271884</v>
      </c>
      <c r="F300" t="s">
        <v>18</v>
      </c>
      <c r="G300" t="s">
        <v>19</v>
      </c>
      <c r="H300">
        <v>1</v>
      </c>
      <c r="I300" t="s">
        <v>35</v>
      </c>
      <c r="J300" t="s">
        <v>19</v>
      </c>
      <c r="K300">
        <v>0.78</v>
      </c>
      <c r="L300" t="s">
        <v>365</v>
      </c>
      <c r="M300" t="s">
        <v>19</v>
      </c>
      <c r="N300">
        <v>0.81</v>
      </c>
      <c r="O300" t="s">
        <v>366</v>
      </c>
      <c r="P300" t="s">
        <v>19</v>
      </c>
      <c r="Q300">
        <v>0.98699999999999999</v>
      </c>
      <c r="R300" t="s">
        <v>23</v>
      </c>
      <c r="S300">
        <v>4</v>
      </c>
    </row>
    <row r="301" spans="1:19">
      <c r="A301">
        <v>300</v>
      </c>
      <c r="B301" t="s">
        <v>367</v>
      </c>
      <c r="C301">
        <v>462.11500000000001</v>
      </c>
      <c r="D301">
        <v>201.3</v>
      </c>
      <c r="E301">
        <v>-0.59902461029059895</v>
      </c>
      <c r="F301" t="s">
        <v>18</v>
      </c>
      <c r="G301" t="s">
        <v>19</v>
      </c>
      <c r="H301">
        <v>1</v>
      </c>
      <c r="I301" t="s">
        <v>31</v>
      </c>
      <c r="J301" t="s">
        <v>19</v>
      </c>
      <c r="K301">
        <v>0.89</v>
      </c>
      <c r="L301" t="s">
        <v>32</v>
      </c>
      <c r="M301" t="s">
        <v>19</v>
      </c>
      <c r="N301">
        <v>1</v>
      </c>
      <c r="O301" t="s">
        <v>33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301</v>
      </c>
      <c r="B302" t="s">
        <v>106</v>
      </c>
      <c r="C302">
        <v>1128.6655000000001</v>
      </c>
      <c r="D302">
        <v>331.8</v>
      </c>
      <c r="E302">
        <v>-0.40528637089460101</v>
      </c>
      <c r="F302" t="s">
        <v>18</v>
      </c>
      <c r="G302" t="s">
        <v>19</v>
      </c>
      <c r="H302">
        <v>1</v>
      </c>
      <c r="I302" t="s">
        <v>31</v>
      </c>
      <c r="J302" t="s">
        <v>19</v>
      </c>
      <c r="K302">
        <v>1</v>
      </c>
      <c r="L302" t="s">
        <v>107</v>
      </c>
      <c r="M302" t="s">
        <v>19</v>
      </c>
      <c r="N302">
        <v>0.8</v>
      </c>
      <c r="O302" t="s">
        <v>108</v>
      </c>
      <c r="P302" t="s">
        <v>19</v>
      </c>
      <c r="Q302">
        <v>0.996</v>
      </c>
      <c r="R302" t="s">
        <v>23</v>
      </c>
      <c r="S302">
        <v>4</v>
      </c>
    </row>
    <row r="303" spans="1:19">
      <c r="A303">
        <v>302</v>
      </c>
      <c r="B303" t="s">
        <v>368</v>
      </c>
      <c r="C303">
        <v>168.06120000000001</v>
      </c>
      <c r="D303">
        <v>135.69999999999999</v>
      </c>
      <c r="E303">
        <v>-0.873550944753958</v>
      </c>
      <c r="F303" t="s">
        <v>18</v>
      </c>
      <c r="G303" t="s">
        <v>19</v>
      </c>
      <c r="H303">
        <v>1</v>
      </c>
      <c r="I303" t="s">
        <v>31</v>
      </c>
      <c r="J303" t="s">
        <v>19</v>
      </c>
      <c r="K303">
        <v>0.71</v>
      </c>
      <c r="L303" t="s">
        <v>32</v>
      </c>
      <c r="M303" t="s">
        <v>19</v>
      </c>
      <c r="N303">
        <v>1</v>
      </c>
      <c r="O303" t="s">
        <v>33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303</v>
      </c>
      <c r="B304" t="s">
        <v>369</v>
      </c>
      <c r="C304">
        <v>391.20960000000002</v>
      </c>
      <c r="D304">
        <v>196.1</v>
      </c>
      <c r="E304">
        <v>-0.77279417067603595</v>
      </c>
      <c r="F304" t="s">
        <v>18</v>
      </c>
      <c r="G304" t="s">
        <v>19</v>
      </c>
      <c r="H304">
        <v>1</v>
      </c>
      <c r="I304" t="s">
        <v>20</v>
      </c>
      <c r="J304" t="s">
        <v>19</v>
      </c>
      <c r="K304">
        <v>0.99</v>
      </c>
      <c r="L304" t="s">
        <v>44</v>
      </c>
      <c r="M304" t="s">
        <v>19</v>
      </c>
      <c r="N304">
        <v>0.93</v>
      </c>
      <c r="O304" t="s">
        <v>70</v>
      </c>
      <c r="P304" t="s">
        <v>19</v>
      </c>
      <c r="Q304">
        <v>0.80700000000000005</v>
      </c>
      <c r="R304" t="s">
        <v>23</v>
      </c>
      <c r="S304">
        <v>4</v>
      </c>
    </row>
    <row r="305" spans="1:19">
      <c r="A305">
        <v>304</v>
      </c>
      <c r="B305" t="s">
        <v>92</v>
      </c>
      <c r="C305">
        <v>500.78250000000003</v>
      </c>
      <c r="D305">
        <v>381.7</v>
      </c>
      <c r="E305">
        <v>-0.223350338991054</v>
      </c>
      <c r="F305" t="s">
        <v>18</v>
      </c>
      <c r="G305" t="s">
        <v>19</v>
      </c>
      <c r="H305">
        <v>1</v>
      </c>
      <c r="I305" t="s">
        <v>31</v>
      </c>
      <c r="J305" t="s">
        <v>19</v>
      </c>
      <c r="K305">
        <v>0.99</v>
      </c>
      <c r="L305" t="s">
        <v>32</v>
      </c>
      <c r="M305" t="s">
        <v>19</v>
      </c>
      <c r="N305">
        <v>1</v>
      </c>
      <c r="O305" t="s">
        <v>33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305</v>
      </c>
      <c r="B306" t="s">
        <v>127</v>
      </c>
      <c r="C306">
        <v>820.56349999999998</v>
      </c>
      <c r="D306">
        <v>295.10000000000002</v>
      </c>
      <c r="E306">
        <v>-0.64729825001609198</v>
      </c>
      <c r="F306" t="s">
        <v>18</v>
      </c>
      <c r="G306" t="s">
        <v>19</v>
      </c>
      <c r="H306">
        <v>1</v>
      </c>
      <c r="I306" t="s">
        <v>20</v>
      </c>
      <c r="J306" t="s">
        <v>19</v>
      </c>
      <c r="K306">
        <v>1</v>
      </c>
      <c r="L306" t="s">
        <v>48</v>
      </c>
      <c r="M306" t="s">
        <v>19</v>
      </c>
      <c r="N306">
        <v>0.99</v>
      </c>
      <c r="O306" t="s">
        <v>86</v>
      </c>
      <c r="P306" t="s">
        <v>19</v>
      </c>
      <c r="Q306">
        <v>0.81299999999999994</v>
      </c>
      <c r="R306" t="s">
        <v>23</v>
      </c>
      <c r="S306">
        <v>4</v>
      </c>
    </row>
    <row r="307" spans="1:19">
      <c r="A307">
        <v>306</v>
      </c>
      <c r="B307" t="s">
        <v>370</v>
      </c>
      <c r="C307">
        <v>579.02909999999997</v>
      </c>
      <c r="D307">
        <v>211.9</v>
      </c>
      <c r="E307">
        <v>-0.38258394766319298</v>
      </c>
      <c r="F307" t="s">
        <v>18</v>
      </c>
      <c r="G307" t="s">
        <v>19</v>
      </c>
      <c r="H307">
        <v>1</v>
      </c>
      <c r="I307" t="s">
        <v>72</v>
      </c>
      <c r="J307" t="s">
        <v>19</v>
      </c>
      <c r="K307">
        <v>1</v>
      </c>
      <c r="L307" t="s">
        <v>78</v>
      </c>
      <c r="M307" t="s">
        <v>19</v>
      </c>
      <c r="N307">
        <v>0.94</v>
      </c>
      <c r="O307" t="s">
        <v>174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307</v>
      </c>
      <c r="B308" t="s">
        <v>371</v>
      </c>
      <c r="C308">
        <v>719.46280000000002</v>
      </c>
      <c r="D308">
        <v>269.5</v>
      </c>
      <c r="E308">
        <v>-0.65948243053912803</v>
      </c>
      <c r="F308" t="s">
        <v>18</v>
      </c>
      <c r="G308" t="s">
        <v>19</v>
      </c>
      <c r="H308">
        <v>1</v>
      </c>
      <c r="I308" t="s">
        <v>20</v>
      </c>
      <c r="J308" t="s">
        <v>19</v>
      </c>
      <c r="K308">
        <v>0.94</v>
      </c>
      <c r="L308" t="s">
        <v>48</v>
      </c>
      <c r="M308" t="s">
        <v>19</v>
      </c>
      <c r="N308">
        <v>0.99</v>
      </c>
      <c r="O308" t="s">
        <v>147</v>
      </c>
      <c r="P308" t="s">
        <v>19</v>
      </c>
      <c r="Q308">
        <v>0.747</v>
      </c>
      <c r="R308" t="s">
        <v>23</v>
      </c>
      <c r="S308">
        <v>4</v>
      </c>
    </row>
    <row r="309" spans="1:19">
      <c r="A309">
        <v>308</v>
      </c>
      <c r="B309" t="s">
        <v>372</v>
      </c>
      <c r="C309">
        <v>556.27710000000002</v>
      </c>
      <c r="D309">
        <v>228.8</v>
      </c>
      <c r="E309">
        <v>-0.65598773690771806</v>
      </c>
      <c r="F309" t="s">
        <v>18</v>
      </c>
      <c r="G309" t="s">
        <v>19</v>
      </c>
      <c r="H309">
        <v>1</v>
      </c>
      <c r="I309" t="s">
        <v>31</v>
      </c>
      <c r="J309" t="s">
        <v>19</v>
      </c>
      <c r="K309">
        <v>0.9</v>
      </c>
      <c r="L309" t="s">
        <v>32</v>
      </c>
      <c r="M309" t="s">
        <v>19</v>
      </c>
      <c r="N309">
        <v>1</v>
      </c>
      <c r="O309" t="s">
        <v>33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309</v>
      </c>
      <c r="B310" t="s">
        <v>373</v>
      </c>
      <c r="C310">
        <v>301.21429999999998</v>
      </c>
      <c r="D310">
        <v>170.9</v>
      </c>
      <c r="E310">
        <v>-0.87797859552585999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0.81</v>
      </c>
      <c r="L310" t="s">
        <v>44</v>
      </c>
      <c r="M310" t="s">
        <v>19</v>
      </c>
      <c r="N310">
        <v>1</v>
      </c>
      <c r="O310" t="s">
        <v>134</v>
      </c>
      <c r="P310" t="s">
        <v>19</v>
      </c>
      <c r="Q310">
        <v>0.81200000000000006</v>
      </c>
      <c r="R310" t="s">
        <v>23</v>
      </c>
      <c r="S310">
        <v>4</v>
      </c>
    </row>
    <row r="311" spans="1:19">
      <c r="A311">
        <v>310</v>
      </c>
      <c r="B311" t="s">
        <v>271</v>
      </c>
      <c r="C311">
        <v>828.47450000000003</v>
      </c>
      <c r="D311">
        <v>301.39999999999998</v>
      </c>
      <c r="E311">
        <v>-0.54946520779071795</v>
      </c>
      <c r="F311" t="s">
        <v>18</v>
      </c>
      <c r="G311" t="s">
        <v>19</v>
      </c>
      <c r="H311">
        <v>1</v>
      </c>
      <c r="I311" t="s">
        <v>40</v>
      </c>
      <c r="J311" t="s">
        <v>19</v>
      </c>
      <c r="K311">
        <v>0.81</v>
      </c>
      <c r="L311" t="s">
        <v>41</v>
      </c>
      <c r="M311" t="s">
        <v>19</v>
      </c>
      <c r="N311">
        <v>1</v>
      </c>
      <c r="O311" t="s">
        <v>42</v>
      </c>
      <c r="P311" t="s">
        <v>19</v>
      </c>
      <c r="Q311">
        <v>1</v>
      </c>
      <c r="R311" t="s">
        <v>23</v>
      </c>
      <c r="S311">
        <v>4</v>
      </c>
    </row>
    <row r="312" spans="1:19">
      <c r="A312">
        <v>311</v>
      </c>
      <c r="B312" t="s">
        <v>271</v>
      </c>
      <c r="C312">
        <v>810.46400000000006</v>
      </c>
      <c r="D312">
        <v>298.5</v>
      </c>
      <c r="E312">
        <v>-0.55907486611465596</v>
      </c>
      <c r="F312" t="s">
        <v>18</v>
      </c>
      <c r="G312" t="s">
        <v>19</v>
      </c>
      <c r="H312">
        <v>1</v>
      </c>
      <c r="I312" t="s">
        <v>40</v>
      </c>
      <c r="J312" t="s">
        <v>19</v>
      </c>
      <c r="K312">
        <v>0.81</v>
      </c>
      <c r="L312" t="s">
        <v>41</v>
      </c>
      <c r="M312" t="s">
        <v>19</v>
      </c>
      <c r="N312">
        <v>1</v>
      </c>
      <c r="O312" t="s">
        <v>42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312</v>
      </c>
      <c r="B313" t="s">
        <v>374</v>
      </c>
      <c r="C313">
        <v>279.23320000000001</v>
      </c>
      <c r="D313">
        <v>174.6</v>
      </c>
      <c r="E313">
        <v>-0.92142163489648998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1</v>
      </c>
      <c r="L313" t="s">
        <v>44</v>
      </c>
      <c r="M313" t="s">
        <v>19</v>
      </c>
      <c r="N313">
        <v>0.99</v>
      </c>
      <c r="O313" t="s">
        <v>134</v>
      </c>
      <c r="P313" t="s">
        <v>19</v>
      </c>
      <c r="Q313">
        <v>0.89600000000000002</v>
      </c>
      <c r="R313" t="s">
        <v>23</v>
      </c>
      <c r="S313">
        <v>4</v>
      </c>
    </row>
    <row r="314" spans="1:19">
      <c r="A314">
        <v>313</v>
      </c>
      <c r="B314" t="s">
        <v>375</v>
      </c>
      <c r="C314">
        <v>339.69470000000001</v>
      </c>
      <c r="D314">
        <v>293</v>
      </c>
      <c r="E314">
        <v>-0.315413231090304</v>
      </c>
      <c r="F314" t="s">
        <v>18</v>
      </c>
      <c r="G314" t="s">
        <v>19</v>
      </c>
      <c r="H314">
        <v>0.98</v>
      </c>
      <c r="I314" t="s">
        <v>31</v>
      </c>
      <c r="J314" t="s">
        <v>19</v>
      </c>
      <c r="K314">
        <v>0.9</v>
      </c>
      <c r="L314" t="s">
        <v>32</v>
      </c>
      <c r="M314" t="s">
        <v>19</v>
      </c>
      <c r="N314">
        <v>1</v>
      </c>
      <c r="O314" t="s">
        <v>33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314</v>
      </c>
      <c r="B315" t="s">
        <v>376</v>
      </c>
      <c r="C315">
        <v>2121.9337</v>
      </c>
      <c r="D315">
        <v>383</v>
      </c>
      <c r="E315">
        <v>-0.56445085683208196</v>
      </c>
      <c r="F315" t="s">
        <v>18</v>
      </c>
      <c r="G315" t="s">
        <v>19</v>
      </c>
      <c r="H315">
        <v>0.998</v>
      </c>
      <c r="I315" t="s">
        <v>27</v>
      </c>
      <c r="J315" t="s">
        <v>19</v>
      </c>
      <c r="K315">
        <v>0.94</v>
      </c>
      <c r="L315" t="s">
        <v>28</v>
      </c>
      <c r="M315" t="s">
        <v>19</v>
      </c>
      <c r="N315">
        <v>1</v>
      </c>
      <c r="O315" t="s">
        <v>29</v>
      </c>
      <c r="P315" t="s">
        <v>19</v>
      </c>
      <c r="Q315">
        <v>1</v>
      </c>
      <c r="R315" t="s">
        <v>23</v>
      </c>
      <c r="S315">
        <v>4</v>
      </c>
    </row>
    <row r="316" spans="1:19">
      <c r="A316">
        <v>315</v>
      </c>
      <c r="B316" t="s">
        <v>315</v>
      </c>
      <c r="C316">
        <v>225.2045</v>
      </c>
      <c r="D316">
        <v>151.4</v>
      </c>
      <c r="E316">
        <v>-0.95304748352290902</v>
      </c>
      <c r="F316" t="s">
        <v>18</v>
      </c>
      <c r="G316" t="s">
        <v>19</v>
      </c>
      <c r="H316">
        <v>1</v>
      </c>
      <c r="I316" t="s">
        <v>110</v>
      </c>
      <c r="J316" t="s">
        <v>19</v>
      </c>
      <c r="K316">
        <v>0.66</v>
      </c>
      <c r="L316" t="s">
        <v>111</v>
      </c>
      <c r="M316" t="s">
        <v>19</v>
      </c>
      <c r="N316">
        <v>1</v>
      </c>
      <c r="O316" t="s">
        <v>316</v>
      </c>
      <c r="P316" t="s">
        <v>19</v>
      </c>
      <c r="Q316">
        <v>0.91400000000000003</v>
      </c>
      <c r="R316" t="s">
        <v>23</v>
      </c>
      <c r="S316">
        <v>4</v>
      </c>
    </row>
    <row r="317" spans="1:19">
      <c r="A317">
        <v>316</v>
      </c>
      <c r="B317" t="s">
        <v>377</v>
      </c>
      <c r="C317">
        <v>679.40329999999994</v>
      </c>
      <c r="D317">
        <v>250.4</v>
      </c>
      <c r="E317">
        <v>-0.64471094210887303</v>
      </c>
      <c r="F317" t="s">
        <v>18</v>
      </c>
      <c r="G317" t="s">
        <v>19</v>
      </c>
      <c r="H317">
        <v>1</v>
      </c>
      <c r="I317" t="s">
        <v>20</v>
      </c>
      <c r="J317" t="s">
        <v>19</v>
      </c>
      <c r="K317">
        <v>0.91</v>
      </c>
      <c r="L317" t="s">
        <v>44</v>
      </c>
      <c r="M317" t="s">
        <v>19</v>
      </c>
      <c r="N317">
        <v>0.99</v>
      </c>
      <c r="O317" t="s">
        <v>45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317</v>
      </c>
      <c r="B318" t="s">
        <v>378</v>
      </c>
      <c r="C318">
        <v>587.23710000000005</v>
      </c>
      <c r="D318">
        <v>231.1</v>
      </c>
      <c r="E318">
        <v>-0.58141928951818</v>
      </c>
      <c r="F318" t="s">
        <v>18</v>
      </c>
      <c r="G318" t="s">
        <v>19</v>
      </c>
      <c r="H318">
        <v>1</v>
      </c>
      <c r="I318" t="s">
        <v>31</v>
      </c>
      <c r="J318" t="s">
        <v>19</v>
      </c>
      <c r="K318">
        <v>0.59</v>
      </c>
      <c r="L318" t="s">
        <v>32</v>
      </c>
      <c r="M318" t="s">
        <v>19</v>
      </c>
      <c r="N318">
        <v>0.93</v>
      </c>
      <c r="O318" t="s">
        <v>33</v>
      </c>
      <c r="P318" t="s">
        <v>19</v>
      </c>
      <c r="Q318">
        <v>1</v>
      </c>
      <c r="R318" t="s">
        <v>23</v>
      </c>
      <c r="S318">
        <v>4</v>
      </c>
    </row>
    <row r="319" spans="1:19">
      <c r="A319">
        <v>318</v>
      </c>
      <c r="B319" t="s">
        <v>133</v>
      </c>
      <c r="C319">
        <v>295.22730000000001</v>
      </c>
      <c r="D319">
        <v>178</v>
      </c>
      <c r="E319">
        <v>-0.89766339186058997</v>
      </c>
      <c r="F319" t="s">
        <v>18</v>
      </c>
      <c r="G319" t="s">
        <v>19</v>
      </c>
      <c r="H319">
        <v>1</v>
      </c>
      <c r="I319" t="s">
        <v>20</v>
      </c>
      <c r="J319" t="s">
        <v>19</v>
      </c>
      <c r="K319">
        <v>1</v>
      </c>
      <c r="L319" t="s">
        <v>44</v>
      </c>
      <c r="M319" t="s">
        <v>19</v>
      </c>
      <c r="N319">
        <v>1</v>
      </c>
      <c r="O319" t="s">
        <v>134</v>
      </c>
      <c r="P319" t="s">
        <v>19</v>
      </c>
      <c r="Q319">
        <v>0.94599999999999995</v>
      </c>
      <c r="R319" t="s">
        <v>23</v>
      </c>
      <c r="S319">
        <v>4</v>
      </c>
    </row>
    <row r="320" spans="1:19">
      <c r="A320">
        <v>319</v>
      </c>
      <c r="B320" t="s">
        <v>379</v>
      </c>
      <c r="C320">
        <v>270.0138</v>
      </c>
      <c r="D320">
        <v>161.4</v>
      </c>
      <c r="E320">
        <v>-0.712315573651779</v>
      </c>
      <c r="F320" t="s">
        <v>18</v>
      </c>
      <c r="G320" t="s">
        <v>19</v>
      </c>
      <c r="H320">
        <v>1</v>
      </c>
      <c r="I320" t="s">
        <v>89</v>
      </c>
      <c r="J320" t="s">
        <v>19</v>
      </c>
      <c r="K320">
        <v>0.92</v>
      </c>
      <c r="L320" t="s">
        <v>273</v>
      </c>
      <c r="M320" t="s">
        <v>19</v>
      </c>
      <c r="N320">
        <v>0.91</v>
      </c>
      <c r="O320" t="s">
        <v>380</v>
      </c>
      <c r="P320" t="s">
        <v>19</v>
      </c>
      <c r="Q320">
        <v>0.93899999999999995</v>
      </c>
      <c r="R320" t="s">
        <v>23</v>
      </c>
      <c r="S320">
        <v>4</v>
      </c>
    </row>
    <row r="321" spans="1:19">
      <c r="A321">
        <v>320</v>
      </c>
      <c r="B321" t="s">
        <v>381</v>
      </c>
      <c r="C321">
        <v>605.00689999999997</v>
      </c>
      <c r="D321">
        <v>216.4</v>
      </c>
      <c r="E321">
        <v>-0.33137838524089602</v>
      </c>
      <c r="F321" t="s">
        <v>18</v>
      </c>
      <c r="G321" t="s">
        <v>19</v>
      </c>
      <c r="H321">
        <v>1</v>
      </c>
      <c r="I321" t="s">
        <v>72</v>
      </c>
      <c r="J321" t="s">
        <v>19</v>
      </c>
      <c r="K321">
        <v>0.96</v>
      </c>
      <c r="L321" t="s">
        <v>78</v>
      </c>
      <c r="M321" t="s">
        <v>19</v>
      </c>
      <c r="N321">
        <v>0.95</v>
      </c>
      <c r="O321" t="s">
        <v>174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321</v>
      </c>
      <c r="B322" t="s">
        <v>382</v>
      </c>
      <c r="C322">
        <v>516.27819999999997</v>
      </c>
      <c r="D322">
        <v>209.7</v>
      </c>
      <c r="E322">
        <v>-0.70174858543111895</v>
      </c>
      <c r="F322" t="s">
        <v>18</v>
      </c>
      <c r="G322" t="s">
        <v>19</v>
      </c>
      <c r="H322">
        <v>1</v>
      </c>
      <c r="I322" t="s">
        <v>383</v>
      </c>
      <c r="J322" t="s">
        <v>19</v>
      </c>
      <c r="K322">
        <v>0.82</v>
      </c>
      <c r="L322" t="s">
        <v>32</v>
      </c>
      <c r="M322" t="s">
        <v>19</v>
      </c>
      <c r="N322">
        <v>1</v>
      </c>
      <c r="O322" t="s">
        <v>33</v>
      </c>
      <c r="P322" t="s">
        <v>19</v>
      </c>
      <c r="Q322">
        <v>0.999</v>
      </c>
      <c r="R322" t="s">
        <v>384</v>
      </c>
      <c r="S322">
        <v>4</v>
      </c>
    </row>
    <row r="323" spans="1:19">
      <c r="A323">
        <v>322</v>
      </c>
      <c r="B323" t="s">
        <v>385</v>
      </c>
      <c r="C323">
        <v>418.79180000000002</v>
      </c>
      <c r="D323">
        <v>169.7</v>
      </c>
      <c r="E323">
        <v>-0.32419721235601201</v>
      </c>
      <c r="F323" t="s">
        <v>18</v>
      </c>
      <c r="G323" t="s">
        <v>19</v>
      </c>
      <c r="H323">
        <v>0.99399999999999999</v>
      </c>
      <c r="I323" t="s">
        <v>35</v>
      </c>
      <c r="J323" t="s">
        <v>19</v>
      </c>
      <c r="K323">
        <v>1</v>
      </c>
      <c r="L323" t="s">
        <v>36</v>
      </c>
      <c r="M323" t="s">
        <v>19</v>
      </c>
      <c r="N323">
        <v>1</v>
      </c>
      <c r="O323" t="s">
        <v>64</v>
      </c>
      <c r="P323" t="s">
        <v>19</v>
      </c>
      <c r="Q323">
        <v>0.97099999999999997</v>
      </c>
      <c r="R323" t="s">
        <v>23</v>
      </c>
      <c r="S323">
        <v>4</v>
      </c>
    </row>
    <row r="324" spans="1:19">
      <c r="A324">
        <v>323</v>
      </c>
      <c r="B324" t="s">
        <v>187</v>
      </c>
      <c r="C324">
        <v>1505.8860999999999</v>
      </c>
      <c r="D324">
        <v>400.7</v>
      </c>
      <c r="E324">
        <v>-0.20469998635508099</v>
      </c>
      <c r="F324" t="s">
        <v>18</v>
      </c>
      <c r="G324" t="s">
        <v>19</v>
      </c>
      <c r="H324">
        <v>1</v>
      </c>
      <c r="I324" t="s">
        <v>40</v>
      </c>
      <c r="J324" t="s">
        <v>19</v>
      </c>
      <c r="K324">
        <v>0.85</v>
      </c>
      <c r="L324" t="s">
        <v>41</v>
      </c>
      <c r="M324" t="s">
        <v>19</v>
      </c>
      <c r="N324">
        <v>1</v>
      </c>
      <c r="O324" t="s">
        <v>42</v>
      </c>
      <c r="P324" t="s">
        <v>19</v>
      </c>
      <c r="Q324">
        <v>0.98699999999999999</v>
      </c>
      <c r="R324" t="s">
        <v>23</v>
      </c>
      <c r="S324">
        <v>4</v>
      </c>
    </row>
    <row r="325" spans="1:19">
      <c r="A325">
        <v>324</v>
      </c>
      <c r="B325" t="s">
        <v>386</v>
      </c>
      <c r="C325">
        <v>168.00630000000001</v>
      </c>
      <c r="D325">
        <v>128.6</v>
      </c>
      <c r="E325">
        <v>-0.81871224345425697</v>
      </c>
      <c r="F325" t="s">
        <v>18</v>
      </c>
      <c r="G325" t="s">
        <v>19</v>
      </c>
      <c r="H325">
        <v>1</v>
      </c>
      <c r="I325" t="s">
        <v>31</v>
      </c>
      <c r="J325" t="s">
        <v>19</v>
      </c>
      <c r="K325">
        <v>0.72</v>
      </c>
      <c r="L325" t="s">
        <v>32</v>
      </c>
      <c r="M325" t="s">
        <v>19</v>
      </c>
      <c r="N325">
        <v>1</v>
      </c>
      <c r="O325" t="s">
        <v>33</v>
      </c>
      <c r="P325" t="s">
        <v>19</v>
      </c>
      <c r="Q325">
        <v>0.92700000000000005</v>
      </c>
      <c r="R325" t="s">
        <v>23</v>
      </c>
      <c r="S325">
        <v>4</v>
      </c>
    </row>
    <row r="326" spans="1:19">
      <c r="A326">
        <v>325</v>
      </c>
      <c r="B326" t="s">
        <v>387</v>
      </c>
      <c r="C326">
        <v>175.05840000000001</v>
      </c>
      <c r="D326">
        <v>136.1</v>
      </c>
      <c r="E326">
        <v>-0.86293820767144802</v>
      </c>
      <c r="F326" t="s">
        <v>18</v>
      </c>
      <c r="G326" t="s">
        <v>19</v>
      </c>
      <c r="H326">
        <v>1</v>
      </c>
      <c r="I326" t="s">
        <v>40</v>
      </c>
      <c r="J326" t="s">
        <v>19</v>
      </c>
      <c r="K326">
        <v>0.89</v>
      </c>
      <c r="L326" t="s">
        <v>41</v>
      </c>
      <c r="M326" t="s">
        <v>19</v>
      </c>
      <c r="N326">
        <v>1</v>
      </c>
      <c r="O326" t="s">
        <v>42</v>
      </c>
      <c r="P326" t="s">
        <v>19</v>
      </c>
      <c r="Q326">
        <v>0.97799999999999998</v>
      </c>
      <c r="R326" t="s">
        <v>23</v>
      </c>
      <c r="S326">
        <v>4</v>
      </c>
    </row>
    <row r="327" spans="1:19">
      <c r="A327">
        <v>326</v>
      </c>
      <c r="B327" t="s">
        <v>295</v>
      </c>
      <c r="C327">
        <v>120.0119</v>
      </c>
      <c r="D327">
        <v>144</v>
      </c>
      <c r="E327">
        <v>-0.877900482840275</v>
      </c>
      <c r="F327" t="s">
        <v>18</v>
      </c>
      <c r="G327" t="s">
        <v>19</v>
      </c>
      <c r="H327">
        <v>1</v>
      </c>
      <c r="I327" t="s">
        <v>31</v>
      </c>
      <c r="J327" t="s">
        <v>19</v>
      </c>
      <c r="K327">
        <v>0.94</v>
      </c>
      <c r="L327" t="s">
        <v>32</v>
      </c>
      <c r="M327" t="s">
        <v>19</v>
      </c>
      <c r="N327">
        <v>1</v>
      </c>
      <c r="O327" t="s">
        <v>33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327</v>
      </c>
      <c r="B328" t="s">
        <v>227</v>
      </c>
      <c r="C328">
        <v>528.2405</v>
      </c>
      <c r="D328">
        <v>223.4</v>
      </c>
      <c r="E328">
        <v>-0.65069205641930195</v>
      </c>
      <c r="F328" t="s">
        <v>18</v>
      </c>
      <c r="G328" t="s">
        <v>19</v>
      </c>
      <c r="H328">
        <v>1</v>
      </c>
      <c r="I328" t="s">
        <v>40</v>
      </c>
      <c r="J328" t="s">
        <v>19</v>
      </c>
      <c r="K328">
        <v>0.77</v>
      </c>
      <c r="L328" t="s">
        <v>41</v>
      </c>
      <c r="M328" t="s">
        <v>19</v>
      </c>
      <c r="N328">
        <v>1</v>
      </c>
      <c r="O328" t="s">
        <v>42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328</v>
      </c>
      <c r="B329" t="s">
        <v>175</v>
      </c>
      <c r="C329">
        <v>801.85699999999997</v>
      </c>
      <c r="D329">
        <v>416.8</v>
      </c>
      <c r="E329">
        <v>-0.96168502847513104</v>
      </c>
      <c r="F329" t="s">
        <v>18</v>
      </c>
      <c r="G329" t="s">
        <v>19</v>
      </c>
      <c r="H329">
        <v>1</v>
      </c>
      <c r="I329" t="s">
        <v>31</v>
      </c>
      <c r="J329" t="s">
        <v>19</v>
      </c>
      <c r="K329">
        <v>1</v>
      </c>
      <c r="L329" t="s">
        <v>107</v>
      </c>
      <c r="M329" t="s">
        <v>19</v>
      </c>
      <c r="N329">
        <v>1</v>
      </c>
      <c r="O329" t="s">
        <v>108</v>
      </c>
      <c r="P329" t="s">
        <v>19</v>
      </c>
      <c r="Q329">
        <v>0.995</v>
      </c>
      <c r="R329" t="s">
        <v>23</v>
      </c>
      <c r="S329">
        <v>4</v>
      </c>
    </row>
    <row r="330" spans="1:19">
      <c r="A330">
        <v>329</v>
      </c>
      <c r="B330" t="s">
        <v>322</v>
      </c>
      <c r="C330">
        <v>2421.9144999999999</v>
      </c>
      <c r="D330">
        <v>411.2</v>
      </c>
      <c r="E330">
        <v>-0.21030671914922999</v>
      </c>
      <c r="F330" t="s">
        <v>18</v>
      </c>
      <c r="G330" t="s">
        <v>19</v>
      </c>
      <c r="H330">
        <v>0.99</v>
      </c>
      <c r="I330" t="s">
        <v>27</v>
      </c>
      <c r="J330" t="s">
        <v>19</v>
      </c>
      <c r="K330">
        <v>0.96</v>
      </c>
      <c r="L330" t="s">
        <v>28</v>
      </c>
      <c r="M330" t="s">
        <v>19</v>
      </c>
      <c r="N330">
        <v>1</v>
      </c>
      <c r="O330" t="s">
        <v>29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330</v>
      </c>
      <c r="B331" t="s">
        <v>388</v>
      </c>
      <c r="C331">
        <v>311.2953</v>
      </c>
      <c r="D331">
        <v>185</v>
      </c>
      <c r="E331">
        <v>-0.94772263563788794</v>
      </c>
      <c r="F331" t="s">
        <v>18</v>
      </c>
      <c r="G331" t="s">
        <v>19</v>
      </c>
      <c r="H331">
        <v>1</v>
      </c>
      <c r="I331" t="s">
        <v>20</v>
      </c>
      <c r="J331" t="s">
        <v>19</v>
      </c>
      <c r="K331">
        <v>1</v>
      </c>
      <c r="L331" t="s">
        <v>44</v>
      </c>
      <c r="M331" t="s">
        <v>19</v>
      </c>
      <c r="N331">
        <v>0.95</v>
      </c>
      <c r="O331" t="s">
        <v>45</v>
      </c>
      <c r="P331" t="s">
        <v>19</v>
      </c>
      <c r="Q331">
        <v>0.97599999999999998</v>
      </c>
      <c r="R331" t="s">
        <v>23</v>
      </c>
      <c r="S331">
        <v>4</v>
      </c>
    </row>
    <row r="332" spans="1:19">
      <c r="A332">
        <v>331</v>
      </c>
      <c r="B332" t="s">
        <v>389</v>
      </c>
      <c r="C332">
        <v>1621.8278</v>
      </c>
      <c r="D332">
        <v>230.5</v>
      </c>
      <c r="E332">
        <v>-1.6945058813234899E-2</v>
      </c>
      <c r="F332" t="s">
        <v>56</v>
      </c>
      <c r="G332" t="s">
        <v>19</v>
      </c>
      <c r="H332">
        <v>1</v>
      </c>
      <c r="I332" t="s">
        <v>57</v>
      </c>
      <c r="J332" t="s">
        <v>19</v>
      </c>
      <c r="K332">
        <v>1</v>
      </c>
      <c r="L332" t="s">
        <v>58</v>
      </c>
      <c r="M332" t="s">
        <v>19</v>
      </c>
      <c r="N332">
        <v>0.97</v>
      </c>
      <c r="O332" t="s">
        <v>59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390</v>
      </c>
      <c r="C333">
        <v>149.0093</v>
      </c>
      <c r="D333">
        <v>118.3</v>
      </c>
      <c r="E333">
        <v>-0.84292338024553704</v>
      </c>
      <c r="F333" t="s">
        <v>18</v>
      </c>
      <c r="G333" t="s">
        <v>19</v>
      </c>
      <c r="H333">
        <v>1</v>
      </c>
      <c r="I333" t="s">
        <v>40</v>
      </c>
      <c r="J333" t="s">
        <v>19</v>
      </c>
      <c r="K333">
        <v>0.95</v>
      </c>
      <c r="L333" t="s">
        <v>41</v>
      </c>
      <c r="M333" t="s">
        <v>19</v>
      </c>
      <c r="N333">
        <v>1</v>
      </c>
      <c r="O333" t="s">
        <v>42</v>
      </c>
      <c r="P333" t="s">
        <v>19</v>
      </c>
      <c r="Q333">
        <v>0.95199999999999996</v>
      </c>
      <c r="R333" t="s">
        <v>23</v>
      </c>
      <c r="S333">
        <v>4</v>
      </c>
    </row>
    <row r="334" spans="1:19">
      <c r="A334">
        <v>333</v>
      </c>
      <c r="B334" t="s">
        <v>391</v>
      </c>
      <c r="C334">
        <v>748.57029999999997</v>
      </c>
      <c r="D334">
        <v>282.60000000000002</v>
      </c>
      <c r="E334">
        <v>-0.73448239557819806</v>
      </c>
      <c r="F334" t="s">
        <v>18</v>
      </c>
      <c r="G334" t="s">
        <v>19</v>
      </c>
      <c r="H334">
        <v>1</v>
      </c>
      <c r="I334" t="s">
        <v>20</v>
      </c>
      <c r="J334" t="s">
        <v>19</v>
      </c>
      <c r="K334">
        <v>0.95</v>
      </c>
      <c r="L334" t="s">
        <v>21</v>
      </c>
      <c r="M334" t="s">
        <v>19</v>
      </c>
      <c r="N334">
        <v>0.79</v>
      </c>
      <c r="O334" t="s">
        <v>25</v>
      </c>
      <c r="P334" t="s">
        <v>19</v>
      </c>
      <c r="Q334">
        <v>0.70899999999999996</v>
      </c>
      <c r="R334" t="s">
        <v>23</v>
      </c>
      <c r="S334">
        <v>4</v>
      </c>
    </row>
    <row r="335" spans="1:19">
      <c r="A335">
        <v>334</v>
      </c>
      <c r="B335" t="s">
        <v>392</v>
      </c>
      <c r="C335">
        <v>150.0583</v>
      </c>
      <c r="D335">
        <v>133.6</v>
      </c>
      <c r="E335">
        <v>-0.89075211728328396</v>
      </c>
      <c r="F335" t="s">
        <v>18</v>
      </c>
      <c r="G335" t="s">
        <v>19</v>
      </c>
      <c r="H335">
        <v>1</v>
      </c>
      <c r="I335" t="s">
        <v>31</v>
      </c>
      <c r="J335" t="s">
        <v>19</v>
      </c>
      <c r="K335">
        <v>0.96</v>
      </c>
      <c r="L335" t="s">
        <v>32</v>
      </c>
      <c r="M335" t="s">
        <v>19</v>
      </c>
      <c r="N335">
        <v>1</v>
      </c>
      <c r="O335" t="s">
        <v>33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335</v>
      </c>
      <c r="B336" t="s">
        <v>393</v>
      </c>
      <c r="C336">
        <v>374.20389999999998</v>
      </c>
      <c r="D336">
        <v>180.3</v>
      </c>
      <c r="E336">
        <v>-0.78608191763242996</v>
      </c>
      <c r="F336" t="s">
        <v>18</v>
      </c>
      <c r="G336" t="s">
        <v>19</v>
      </c>
      <c r="H336">
        <v>1</v>
      </c>
      <c r="I336" t="s">
        <v>383</v>
      </c>
      <c r="J336" t="s">
        <v>19</v>
      </c>
      <c r="K336">
        <v>0.72</v>
      </c>
      <c r="L336" t="s">
        <v>32</v>
      </c>
      <c r="M336" t="s">
        <v>19</v>
      </c>
      <c r="N336">
        <v>0.98</v>
      </c>
      <c r="O336" t="s">
        <v>33</v>
      </c>
      <c r="P336" t="s">
        <v>19</v>
      </c>
      <c r="Q336">
        <v>0.99299999999999999</v>
      </c>
      <c r="R336" t="s">
        <v>384</v>
      </c>
      <c r="S336">
        <v>4</v>
      </c>
    </row>
    <row r="337" spans="1:19">
      <c r="A337">
        <v>336</v>
      </c>
      <c r="B337" t="s">
        <v>155</v>
      </c>
      <c r="C337">
        <v>523.20180000000005</v>
      </c>
      <c r="D337">
        <v>212.8</v>
      </c>
      <c r="E337">
        <v>-0.617618026569971</v>
      </c>
      <c r="F337" t="s">
        <v>18</v>
      </c>
      <c r="G337" t="s">
        <v>19</v>
      </c>
      <c r="H337">
        <v>1</v>
      </c>
      <c r="I337" t="s">
        <v>40</v>
      </c>
      <c r="J337" t="s">
        <v>19</v>
      </c>
      <c r="K337">
        <v>0.85</v>
      </c>
      <c r="L337" t="s">
        <v>41</v>
      </c>
      <c r="M337" t="s">
        <v>19</v>
      </c>
      <c r="N337">
        <v>1</v>
      </c>
      <c r="O337" t="s">
        <v>42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337</v>
      </c>
      <c r="B338" t="s">
        <v>394</v>
      </c>
      <c r="C338">
        <v>173.10390000000001</v>
      </c>
      <c r="D338">
        <v>137.19999999999999</v>
      </c>
      <c r="E338">
        <v>-0.91062050839570896</v>
      </c>
      <c r="F338" t="s">
        <v>18</v>
      </c>
      <c r="G338" t="s">
        <v>19</v>
      </c>
      <c r="H338">
        <v>1</v>
      </c>
      <c r="I338" t="s">
        <v>31</v>
      </c>
      <c r="J338" t="s">
        <v>19</v>
      </c>
      <c r="K338">
        <v>0.96</v>
      </c>
      <c r="L338" t="s">
        <v>32</v>
      </c>
      <c r="M338" t="s">
        <v>19</v>
      </c>
      <c r="N338">
        <v>1</v>
      </c>
      <c r="O338" t="s">
        <v>33</v>
      </c>
      <c r="P338" t="s">
        <v>19</v>
      </c>
      <c r="Q338">
        <v>0.999</v>
      </c>
      <c r="R338" t="s">
        <v>23</v>
      </c>
      <c r="S338">
        <v>4</v>
      </c>
    </row>
    <row r="339" spans="1:19">
      <c r="A339">
        <v>338</v>
      </c>
      <c r="B339" t="s">
        <v>197</v>
      </c>
      <c r="C339">
        <v>381.07830000000001</v>
      </c>
      <c r="D339">
        <v>179.8</v>
      </c>
      <c r="E339">
        <v>-0.65280629312553595</v>
      </c>
      <c r="F339" t="s">
        <v>18</v>
      </c>
      <c r="G339" t="s">
        <v>19</v>
      </c>
      <c r="H339">
        <v>1</v>
      </c>
      <c r="I339" t="s">
        <v>40</v>
      </c>
      <c r="J339" t="s">
        <v>19</v>
      </c>
      <c r="K339">
        <v>0.99</v>
      </c>
      <c r="L339" t="s">
        <v>41</v>
      </c>
      <c r="M339" t="s">
        <v>19</v>
      </c>
      <c r="N339">
        <v>1</v>
      </c>
      <c r="O339" t="s">
        <v>42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339</v>
      </c>
      <c r="B340" t="s">
        <v>395</v>
      </c>
      <c r="C340">
        <v>574.61279999999999</v>
      </c>
      <c r="D340">
        <v>181.1</v>
      </c>
      <c r="E340">
        <v>-0.97121497589989803</v>
      </c>
      <c r="F340" t="s">
        <v>18</v>
      </c>
      <c r="G340" t="s">
        <v>19</v>
      </c>
      <c r="H340">
        <v>1</v>
      </c>
      <c r="I340" t="s">
        <v>35</v>
      </c>
      <c r="J340" t="s">
        <v>19</v>
      </c>
      <c r="K340">
        <v>0.81</v>
      </c>
      <c r="L340" t="s">
        <v>36</v>
      </c>
      <c r="M340" t="s">
        <v>19</v>
      </c>
      <c r="N340">
        <v>1</v>
      </c>
      <c r="O340" t="s">
        <v>64</v>
      </c>
      <c r="P340" t="s">
        <v>19</v>
      </c>
      <c r="Q340">
        <v>0.997</v>
      </c>
      <c r="R340" t="s">
        <v>23</v>
      </c>
      <c r="S340">
        <v>4</v>
      </c>
    </row>
    <row r="341" spans="1:19">
      <c r="A341">
        <v>340</v>
      </c>
      <c r="B341" t="s">
        <v>396</v>
      </c>
      <c r="C341">
        <v>347.22050000000002</v>
      </c>
      <c r="D341">
        <v>187.8</v>
      </c>
      <c r="E341">
        <v>-0.83281028466382201</v>
      </c>
      <c r="F341" t="s">
        <v>18</v>
      </c>
      <c r="G341" t="s">
        <v>19</v>
      </c>
      <c r="H341">
        <v>1</v>
      </c>
      <c r="I341" t="s">
        <v>20</v>
      </c>
      <c r="J341" t="s">
        <v>19</v>
      </c>
      <c r="K341">
        <v>1</v>
      </c>
      <c r="L341" t="s">
        <v>265</v>
      </c>
      <c r="M341" t="s">
        <v>19</v>
      </c>
      <c r="N341">
        <v>0.93</v>
      </c>
      <c r="O341" t="s">
        <v>397</v>
      </c>
      <c r="P341" t="s">
        <v>19</v>
      </c>
      <c r="Q341">
        <v>0.90500000000000003</v>
      </c>
      <c r="R341" t="s">
        <v>23</v>
      </c>
      <c r="S341">
        <v>4</v>
      </c>
    </row>
    <row r="342" spans="1:19">
      <c r="A342">
        <v>341</v>
      </c>
      <c r="B342" t="s">
        <v>353</v>
      </c>
      <c r="C342">
        <v>222.01499999999999</v>
      </c>
      <c r="D342">
        <v>147.6</v>
      </c>
      <c r="E342">
        <v>-0.76710872586619405</v>
      </c>
      <c r="F342" t="s">
        <v>18</v>
      </c>
      <c r="G342" t="s">
        <v>19</v>
      </c>
      <c r="H342">
        <v>1</v>
      </c>
      <c r="I342" t="s">
        <v>89</v>
      </c>
      <c r="J342" t="s">
        <v>19</v>
      </c>
      <c r="K342">
        <v>0.67</v>
      </c>
      <c r="L342" t="s">
        <v>273</v>
      </c>
      <c r="M342" t="s">
        <v>19</v>
      </c>
      <c r="N342">
        <v>0.7</v>
      </c>
      <c r="O342" t="s">
        <v>274</v>
      </c>
      <c r="P342" t="s">
        <v>19</v>
      </c>
      <c r="Q342">
        <v>0.72099999999999997</v>
      </c>
      <c r="R342" t="s">
        <v>23</v>
      </c>
      <c r="S342">
        <v>4</v>
      </c>
    </row>
    <row r="343" spans="1:19">
      <c r="A343">
        <v>342</v>
      </c>
      <c r="B343" t="s">
        <v>398</v>
      </c>
      <c r="C343">
        <v>737.54039999999998</v>
      </c>
      <c r="D343">
        <v>284.3</v>
      </c>
      <c r="E343">
        <v>-0.71689785158139296</v>
      </c>
      <c r="F343" t="s">
        <v>18</v>
      </c>
      <c r="G343" t="s">
        <v>19</v>
      </c>
      <c r="H343">
        <v>1</v>
      </c>
      <c r="I343" t="s">
        <v>20</v>
      </c>
      <c r="J343" t="s">
        <v>19</v>
      </c>
      <c r="K343">
        <v>1</v>
      </c>
      <c r="L343" t="s">
        <v>21</v>
      </c>
      <c r="M343" t="s">
        <v>19</v>
      </c>
      <c r="N343">
        <v>0.71</v>
      </c>
      <c r="O343" t="s">
        <v>22</v>
      </c>
      <c r="P343" t="s">
        <v>19</v>
      </c>
      <c r="Q343">
        <v>0.85599999999999998</v>
      </c>
      <c r="R343" t="s">
        <v>23</v>
      </c>
      <c r="S343">
        <v>4</v>
      </c>
    </row>
    <row r="344" spans="1:19">
      <c r="A344">
        <v>343</v>
      </c>
      <c r="B344" t="s">
        <v>346</v>
      </c>
      <c r="C344">
        <v>810.59879999999998</v>
      </c>
      <c r="D344">
        <v>291.39999999999998</v>
      </c>
      <c r="E344">
        <v>-0.69372435491595796</v>
      </c>
      <c r="F344" t="s">
        <v>18</v>
      </c>
      <c r="G344" t="s">
        <v>19</v>
      </c>
      <c r="H344">
        <v>1</v>
      </c>
      <c r="I344" t="s">
        <v>20</v>
      </c>
      <c r="J344" t="s">
        <v>19</v>
      </c>
      <c r="K344">
        <v>1</v>
      </c>
      <c r="L344" t="s">
        <v>48</v>
      </c>
      <c r="M344" t="s">
        <v>19</v>
      </c>
      <c r="N344">
        <v>0.82</v>
      </c>
      <c r="O344" t="s">
        <v>86</v>
      </c>
      <c r="P344" t="s">
        <v>19</v>
      </c>
      <c r="Q344">
        <v>0.94799999999999995</v>
      </c>
      <c r="R344" t="s">
        <v>23</v>
      </c>
      <c r="S344">
        <v>4</v>
      </c>
    </row>
    <row r="345" spans="1:19">
      <c r="A345">
        <v>344</v>
      </c>
      <c r="B345" t="s">
        <v>399</v>
      </c>
      <c r="C345">
        <v>775.67960000000005</v>
      </c>
      <c r="D345">
        <v>208</v>
      </c>
      <c r="E345">
        <v>-0.81351345466043801</v>
      </c>
      <c r="F345" t="s">
        <v>18</v>
      </c>
      <c r="G345" t="s">
        <v>19</v>
      </c>
      <c r="H345">
        <v>1</v>
      </c>
      <c r="I345" t="s">
        <v>31</v>
      </c>
      <c r="J345" t="s">
        <v>19</v>
      </c>
      <c r="K345">
        <v>0.91</v>
      </c>
      <c r="L345" t="s">
        <v>32</v>
      </c>
      <c r="M345" t="s">
        <v>19</v>
      </c>
      <c r="N345">
        <v>1</v>
      </c>
      <c r="O345" t="s">
        <v>33</v>
      </c>
      <c r="P345" t="s">
        <v>19</v>
      </c>
      <c r="Q345">
        <v>1</v>
      </c>
      <c r="R345" t="s">
        <v>23</v>
      </c>
      <c r="S345">
        <v>4</v>
      </c>
    </row>
    <row r="346" spans="1:19">
      <c r="A346">
        <v>345</v>
      </c>
      <c r="B346" t="s">
        <v>398</v>
      </c>
      <c r="C346">
        <v>747.56880000000001</v>
      </c>
      <c r="D346">
        <v>284.7</v>
      </c>
      <c r="E346">
        <v>-0.73410062232437701</v>
      </c>
      <c r="F346" t="s">
        <v>18</v>
      </c>
      <c r="G346" t="s">
        <v>19</v>
      </c>
      <c r="H346">
        <v>1</v>
      </c>
      <c r="I346" t="s">
        <v>20</v>
      </c>
      <c r="J346" t="s">
        <v>19</v>
      </c>
      <c r="K346">
        <v>0.99</v>
      </c>
      <c r="L346" t="s">
        <v>21</v>
      </c>
      <c r="M346" t="s">
        <v>19</v>
      </c>
      <c r="N346">
        <v>0.65</v>
      </c>
      <c r="O346" t="s">
        <v>22</v>
      </c>
      <c r="P346" t="s">
        <v>19</v>
      </c>
      <c r="Q346">
        <v>0.81799999999999995</v>
      </c>
      <c r="R346" t="s">
        <v>23</v>
      </c>
      <c r="S346">
        <v>4</v>
      </c>
    </row>
    <row r="347" spans="1:19">
      <c r="A347">
        <v>346</v>
      </c>
      <c r="B347" t="s">
        <v>400</v>
      </c>
      <c r="C347">
        <v>1921.9465</v>
      </c>
      <c r="D347">
        <v>364.49</v>
      </c>
      <c r="E347">
        <v>-0.80054694862064901</v>
      </c>
      <c r="F347" t="s">
        <v>18</v>
      </c>
      <c r="G347" t="s">
        <v>19</v>
      </c>
      <c r="H347">
        <v>1</v>
      </c>
      <c r="I347" t="s">
        <v>27</v>
      </c>
      <c r="J347" t="s">
        <v>19</v>
      </c>
      <c r="K347">
        <v>0.97</v>
      </c>
      <c r="L347" t="s">
        <v>28</v>
      </c>
      <c r="M347" t="s">
        <v>19</v>
      </c>
      <c r="N347">
        <v>1</v>
      </c>
      <c r="O347" t="s">
        <v>29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347</v>
      </c>
      <c r="B348" t="s">
        <v>320</v>
      </c>
      <c r="C348">
        <v>647.22619999999995</v>
      </c>
      <c r="D348">
        <v>380.5</v>
      </c>
      <c r="E348">
        <v>-0.50353834483803395</v>
      </c>
      <c r="F348" t="s">
        <v>18</v>
      </c>
      <c r="G348" t="s">
        <v>19</v>
      </c>
      <c r="H348">
        <v>1</v>
      </c>
      <c r="I348" t="s">
        <v>31</v>
      </c>
      <c r="J348" t="s">
        <v>19</v>
      </c>
      <c r="K348">
        <v>1</v>
      </c>
      <c r="L348" t="s">
        <v>107</v>
      </c>
      <c r="M348" t="s">
        <v>19</v>
      </c>
      <c r="N348">
        <v>0.99</v>
      </c>
      <c r="O348" t="s">
        <v>108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348</v>
      </c>
      <c r="B349" t="s">
        <v>264</v>
      </c>
      <c r="C349">
        <v>403.2149</v>
      </c>
      <c r="D349">
        <v>196.5</v>
      </c>
      <c r="E349">
        <v>-0.76468962993163803</v>
      </c>
      <c r="F349" t="s">
        <v>18</v>
      </c>
      <c r="G349" t="s">
        <v>19</v>
      </c>
      <c r="H349">
        <v>1</v>
      </c>
      <c r="I349" t="s">
        <v>20</v>
      </c>
      <c r="J349" t="s">
        <v>19</v>
      </c>
      <c r="K349">
        <v>0.89</v>
      </c>
      <c r="L349" t="s">
        <v>265</v>
      </c>
      <c r="M349" t="s">
        <v>19</v>
      </c>
      <c r="N349">
        <v>0.79</v>
      </c>
      <c r="O349" t="s">
        <v>266</v>
      </c>
      <c r="P349" t="s">
        <v>19</v>
      </c>
      <c r="Q349">
        <v>0.85199999999999998</v>
      </c>
      <c r="R349" t="s">
        <v>23</v>
      </c>
      <c r="S349">
        <v>4</v>
      </c>
    </row>
    <row r="350" spans="1:19">
      <c r="A350">
        <v>349</v>
      </c>
      <c r="B350" t="s">
        <v>401</v>
      </c>
      <c r="C350">
        <v>187.05760000000001</v>
      </c>
      <c r="D350">
        <v>142.69999999999999</v>
      </c>
      <c r="E350">
        <v>-0.84874047789381302</v>
      </c>
      <c r="F350" t="s">
        <v>18</v>
      </c>
      <c r="G350" t="s">
        <v>19</v>
      </c>
      <c r="H350">
        <v>1</v>
      </c>
      <c r="I350" t="s">
        <v>40</v>
      </c>
      <c r="J350" t="s">
        <v>19</v>
      </c>
      <c r="K350">
        <v>0.83</v>
      </c>
      <c r="L350" t="s">
        <v>41</v>
      </c>
      <c r="M350" t="s">
        <v>19</v>
      </c>
      <c r="N350">
        <v>1</v>
      </c>
      <c r="O350" t="s">
        <v>42</v>
      </c>
      <c r="P350" t="s">
        <v>19</v>
      </c>
      <c r="Q350">
        <v>0.99099999999999999</v>
      </c>
      <c r="R350" t="s">
        <v>23</v>
      </c>
      <c r="S350">
        <v>4</v>
      </c>
    </row>
    <row r="351" spans="1:19">
      <c r="A351">
        <v>350</v>
      </c>
      <c r="B351" t="s">
        <v>402</v>
      </c>
      <c r="C351">
        <v>262.91579999999999</v>
      </c>
      <c r="D351">
        <v>155.4</v>
      </c>
      <c r="E351">
        <v>-0.62224085916761895</v>
      </c>
      <c r="F351" t="s">
        <v>18</v>
      </c>
      <c r="G351" t="s">
        <v>19</v>
      </c>
      <c r="H351">
        <v>1</v>
      </c>
      <c r="I351" t="s">
        <v>89</v>
      </c>
      <c r="J351" t="s">
        <v>19</v>
      </c>
      <c r="K351">
        <v>0.65</v>
      </c>
      <c r="L351" t="s">
        <v>273</v>
      </c>
      <c r="M351" t="s">
        <v>19</v>
      </c>
      <c r="N351">
        <v>0.94</v>
      </c>
      <c r="O351" t="s">
        <v>274</v>
      </c>
      <c r="P351" t="s">
        <v>19</v>
      </c>
      <c r="Q351">
        <v>0.59199999999999997</v>
      </c>
      <c r="R351" t="s">
        <v>23</v>
      </c>
      <c r="S351">
        <v>4</v>
      </c>
    </row>
    <row r="352" spans="1:19">
      <c r="A352">
        <v>351</v>
      </c>
      <c r="B352" t="s">
        <v>403</v>
      </c>
      <c r="C352">
        <v>758.41600000000005</v>
      </c>
      <c r="D352">
        <v>267.89999999999998</v>
      </c>
      <c r="E352">
        <v>-0.56918916035658595</v>
      </c>
      <c r="F352" t="s">
        <v>18</v>
      </c>
      <c r="G352" t="s">
        <v>19</v>
      </c>
      <c r="H352">
        <v>1</v>
      </c>
      <c r="I352" t="s">
        <v>31</v>
      </c>
      <c r="J352" t="s">
        <v>19</v>
      </c>
      <c r="K352">
        <v>0.94</v>
      </c>
      <c r="L352" t="s">
        <v>32</v>
      </c>
      <c r="M352" t="s">
        <v>19</v>
      </c>
      <c r="N352">
        <v>0.99</v>
      </c>
      <c r="O352" t="s">
        <v>33</v>
      </c>
      <c r="P352" t="s">
        <v>19</v>
      </c>
      <c r="Q352">
        <v>1</v>
      </c>
      <c r="R352" t="s">
        <v>23</v>
      </c>
      <c r="S352">
        <v>4</v>
      </c>
    </row>
    <row r="353" spans="1:19">
      <c r="A353">
        <v>352</v>
      </c>
      <c r="B353" t="s">
        <v>404</v>
      </c>
      <c r="C353">
        <v>355.26060000000001</v>
      </c>
      <c r="D353">
        <v>191.6</v>
      </c>
      <c r="E353">
        <v>-0.86393309558576403</v>
      </c>
      <c r="F353" t="s">
        <v>18</v>
      </c>
      <c r="G353" t="s">
        <v>19</v>
      </c>
      <c r="H353">
        <v>1</v>
      </c>
      <c r="I353" t="s">
        <v>20</v>
      </c>
      <c r="J353" t="s">
        <v>19</v>
      </c>
      <c r="K353">
        <v>1</v>
      </c>
      <c r="L353" t="s">
        <v>44</v>
      </c>
      <c r="M353" t="s">
        <v>19</v>
      </c>
      <c r="N353">
        <v>0.98</v>
      </c>
      <c r="O353" t="s">
        <v>45</v>
      </c>
      <c r="P353" t="s">
        <v>19</v>
      </c>
      <c r="Q353">
        <v>0.90300000000000002</v>
      </c>
      <c r="R353" t="s">
        <v>23</v>
      </c>
      <c r="S353">
        <v>4</v>
      </c>
    </row>
    <row r="354" spans="1:19">
      <c r="A354">
        <v>353</v>
      </c>
      <c r="B354" t="s">
        <v>405</v>
      </c>
      <c r="C354">
        <v>212.0436</v>
      </c>
      <c r="D354">
        <v>144.80000000000001</v>
      </c>
      <c r="E354">
        <v>-0.80684231166401299</v>
      </c>
      <c r="F354" t="s">
        <v>18</v>
      </c>
      <c r="G354" t="s">
        <v>19</v>
      </c>
      <c r="H354">
        <v>1</v>
      </c>
      <c r="I354" t="s">
        <v>31</v>
      </c>
      <c r="J354" t="s">
        <v>19</v>
      </c>
      <c r="K354">
        <v>0.95</v>
      </c>
      <c r="L354" t="s">
        <v>32</v>
      </c>
      <c r="M354" t="s">
        <v>19</v>
      </c>
      <c r="N354">
        <v>1</v>
      </c>
      <c r="O354" t="s">
        <v>33</v>
      </c>
      <c r="P354" t="s">
        <v>19</v>
      </c>
      <c r="Q354">
        <v>0.97299999999999998</v>
      </c>
      <c r="R354" t="s">
        <v>23</v>
      </c>
      <c r="S354">
        <v>4</v>
      </c>
    </row>
    <row r="355" spans="1:19">
      <c r="A355">
        <v>354</v>
      </c>
      <c r="B355" t="s">
        <v>406</v>
      </c>
      <c r="C355">
        <v>1448.4380000000001</v>
      </c>
      <c r="D355">
        <v>382.9</v>
      </c>
      <c r="E355">
        <v>-0.82074377261096698</v>
      </c>
      <c r="F355" t="s">
        <v>18</v>
      </c>
      <c r="G355" t="s">
        <v>19</v>
      </c>
      <c r="H355">
        <v>1</v>
      </c>
      <c r="I355" t="s">
        <v>31</v>
      </c>
      <c r="J355" t="s">
        <v>19</v>
      </c>
      <c r="K355">
        <v>1</v>
      </c>
      <c r="L355" t="s">
        <v>32</v>
      </c>
      <c r="M355" t="s">
        <v>19</v>
      </c>
      <c r="N355">
        <v>0.93</v>
      </c>
      <c r="O355" t="s">
        <v>33</v>
      </c>
      <c r="P355" t="s">
        <v>19</v>
      </c>
      <c r="Q355">
        <v>1</v>
      </c>
      <c r="R355" t="s">
        <v>23</v>
      </c>
      <c r="S355">
        <v>4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A6" workbookViewId="0">
      <selection activeCell="A45" sqref="A45"/>
    </sheetView>
  </sheetViews>
  <sheetFormatPr baseColWidth="10" defaultRowHeight="16"/>
  <sheetData>
    <row r="1" spans="1:13">
      <c r="A1" s="1" t="s">
        <v>4</v>
      </c>
      <c r="B1" t="s">
        <v>56</v>
      </c>
      <c r="C1" t="s">
        <v>18</v>
      </c>
      <c r="D1" t="s">
        <v>409</v>
      </c>
    </row>
    <row r="2" spans="1:13">
      <c r="A2" t="s">
        <v>56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35</v>
      </c>
      <c r="C5" t="s">
        <v>20</v>
      </c>
      <c r="D5" t="s">
        <v>57</v>
      </c>
      <c r="E5" t="s">
        <v>72</v>
      </c>
      <c r="F5" t="s">
        <v>31</v>
      </c>
      <c r="G5" t="s">
        <v>110</v>
      </c>
      <c r="H5" t="s">
        <v>40</v>
      </c>
      <c r="I5" t="s">
        <v>383</v>
      </c>
      <c r="J5" t="s">
        <v>27</v>
      </c>
      <c r="K5" t="s">
        <v>89</v>
      </c>
      <c r="L5" t="s">
        <v>193</v>
      </c>
      <c r="M5" t="s">
        <v>409</v>
      </c>
    </row>
    <row r="6" spans="1:13">
      <c r="A6" t="s">
        <v>35</v>
      </c>
      <c r="B6">
        <v>100</v>
      </c>
      <c r="C6">
        <v>9</v>
      </c>
      <c r="D6">
        <v>1</v>
      </c>
      <c r="E6">
        <v>1</v>
      </c>
      <c r="F6">
        <v>25</v>
      </c>
      <c r="G6">
        <v>0</v>
      </c>
      <c r="H6">
        <v>14</v>
      </c>
      <c r="I6">
        <v>0</v>
      </c>
      <c r="J6">
        <v>1</v>
      </c>
      <c r="K6">
        <v>15</v>
      </c>
      <c r="L6">
        <v>2</v>
      </c>
      <c r="M6">
        <v>0.40476190476190499</v>
      </c>
    </row>
    <row r="7" spans="1:13">
      <c r="A7" t="s">
        <v>20</v>
      </c>
      <c r="B7">
        <v>3</v>
      </c>
      <c r="C7">
        <v>800</v>
      </c>
      <c r="D7">
        <v>0</v>
      </c>
      <c r="E7">
        <v>0</v>
      </c>
      <c r="F7">
        <v>36</v>
      </c>
      <c r="G7">
        <v>0</v>
      </c>
      <c r="H7">
        <v>10</v>
      </c>
      <c r="I7">
        <v>1</v>
      </c>
      <c r="J7">
        <v>0</v>
      </c>
      <c r="K7">
        <v>7</v>
      </c>
      <c r="L7">
        <v>1</v>
      </c>
      <c r="M7">
        <v>6.75990675990676E-2</v>
      </c>
    </row>
    <row r="8" spans="1:13">
      <c r="A8" t="s">
        <v>57</v>
      </c>
      <c r="B8">
        <v>2</v>
      </c>
      <c r="C8">
        <v>2</v>
      </c>
      <c r="D8">
        <v>41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72</v>
      </c>
      <c r="B9">
        <v>0</v>
      </c>
      <c r="C9">
        <v>1</v>
      </c>
      <c r="D9">
        <v>0</v>
      </c>
      <c r="E9">
        <v>146</v>
      </c>
      <c r="F9">
        <v>3</v>
      </c>
      <c r="G9">
        <v>0</v>
      </c>
      <c r="H9">
        <v>7</v>
      </c>
      <c r="I9">
        <v>0</v>
      </c>
      <c r="J9">
        <v>2</v>
      </c>
      <c r="K9">
        <v>1</v>
      </c>
      <c r="L9">
        <v>0</v>
      </c>
      <c r="M9">
        <v>8.7499999999999994E-2</v>
      </c>
    </row>
    <row r="10" spans="1:13">
      <c r="A10" t="s">
        <v>31</v>
      </c>
      <c r="B10">
        <v>14</v>
      </c>
      <c r="C10">
        <v>43</v>
      </c>
      <c r="D10">
        <v>0</v>
      </c>
      <c r="E10">
        <v>4</v>
      </c>
      <c r="F10">
        <v>419</v>
      </c>
      <c r="G10">
        <v>4</v>
      </c>
      <c r="H10">
        <v>46</v>
      </c>
      <c r="I10">
        <v>2</v>
      </c>
      <c r="J10">
        <v>1</v>
      </c>
      <c r="K10">
        <v>30</v>
      </c>
      <c r="L10">
        <v>2</v>
      </c>
      <c r="M10">
        <v>0.258407079646018</v>
      </c>
    </row>
    <row r="11" spans="1:13">
      <c r="A11" t="s">
        <v>110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0</v>
      </c>
      <c r="I11">
        <v>0</v>
      </c>
      <c r="J11">
        <v>0</v>
      </c>
      <c r="K11">
        <v>3</v>
      </c>
      <c r="L11">
        <v>0</v>
      </c>
      <c r="M11">
        <v>0.31707317073170699</v>
      </c>
    </row>
    <row r="12" spans="1:13">
      <c r="A12" t="s">
        <v>40</v>
      </c>
      <c r="B12">
        <v>11</v>
      </c>
      <c r="C12">
        <v>12</v>
      </c>
      <c r="D12">
        <v>0</v>
      </c>
      <c r="E12">
        <v>14</v>
      </c>
      <c r="F12">
        <v>43</v>
      </c>
      <c r="G12">
        <v>0</v>
      </c>
      <c r="H12">
        <v>179</v>
      </c>
      <c r="I12">
        <v>0</v>
      </c>
      <c r="J12">
        <v>0</v>
      </c>
      <c r="K12">
        <v>16</v>
      </c>
      <c r="L12">
        <v>1</v>
      </c>
      <c r="M12">
        <v>0.35144927536231901</v>
      </c>
    </row>
    <row r="13" spans="1:13">
      <c r="A13" t="s">
        <v>383</v>
      </c>
      <c r="B13">
        <v>0</v>
      </c>
      <c r="C13">
        <v>4</v>
      </c>
      <c r="D13">
        <v>0</v>
      </c>
      <c r="E13">
        <v>0</v>
      </c>
      <c r="F13">
        <v>6</v>
      </c>
      <c r="G13">
        <v>0</v>
      </c>
      <c r="H13">
        <v>1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27</v>
      </c>
      <c r="B14">
        <v>1</v>
      </c>
      <c r="C14">
        <v>0</v>
      </c>
      <c r="D14">
        <v>0</v>
      </c>
      <c r="E14">
        <v>0</v>
      </c>
      <c r="F14">
        <v>2</v>
      </c>
      <c r="G14">
        <v>0</v>
      </c>
      <c r="H14">
        <v>1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89</v>
      </c>
      <c r="B15">
        <v>8</v>
      </c>
      <c r="C15">
        <v>6</v>
      </c>
      <c r="D15">
        <v>0</v>
      </c>
      <c r="E15">
        <v>6</v>
      </c>
      <c r="F15">
        <v>57</v>
      </c>
      <c r="G15">
        <v>1</v>
      </c>
      <c r="H15">
        <v>24</v>
      </c>
      <c r="I15">
        <v>0</v>
      </c>
      <c r="J15">
        <v>0</v>
      </c>
      <c r="K15">
        <v>55</v>
      </c>
      <c r="L15">
        <v>0</v>
      </c>
      <c r="M15">
        <v>0.64968152866242002</v>
      </c>
    </row>
    <row r="16" spans="1:13">
      <c r="A16" t="s">
        <v>193</v>
      </c>
      <c r="B16">
        <v>4</v>
      </c>
      <c r="C16">
        <v>1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5">
      <c r="A18" s="1" t="s">
        <v>10</v>
      </c>
      <c r="B18" t="s">
        <v>58</v>
      </c>
      <c r="C18" t="s">
        <v>329</v>
      </c>
      <c r="D18" t="s">
        <v>36</v>
      </c>
      <c r="E18" t="s">
        <v>32</v>
      </c>
      <c r="F18" t="s">
        <v>90</v>
      </c>
      <c r="G18" t="s">
        <v>44</v>
      </c>
      <c r="H18" t="s">
        <v>331</v>
      </c>
      <c r="I18" t="s">
        <v>194</v>
      </c>
      <c r="J18" t="s">
        <v>48</v>
      </c>
      <c r="K18" t="s">
        <v>177</v>
      </c>
      <c r="L18" t="s">
        <v>101</v>
      </c>
      <c r="M18" t="s">
        <v>28</v>
      </c>
      <c r="N18" t="s">
        <v>111</v>
      </c>
      <c r="O18" t="s">
        <v>41</v>
      </c>
      <c r="P18" t="s">
        <v>107</v>
      </c>
      <c r="Q18" t="s">
        <v>165</v>
      </c>
      <c r="R18" t="s">
        <v>73</v>
      </c>
      <c r="S18" t="s">
        <v>365</v>
      </c>
      <c r="T18" t="s">
        <v>273</v>
      </c>
      <c r="U18" t="s">
        <v>78</v>
      </c>
      <c r="V18" t="s">
        <v>225</v>
      </c>
      <c r="W18" t="s">
        <v>21</v>
      </c>
      <c r="X18" t="s">
        <v>265</v>
      </c>
      <c r="Y18" t="s">
        <v>409</v>
      </c>
    </row>
    <row r="19" spans="1:25">
      <c r="A19" t="s">
        <v>58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329</v>
      </c>
      <c r="B20">
        <v>0</v>
      </c>
      <c r="C20">
        <v>3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0.75</v>
      </c>
    </row>
    <row r="21" spans="1:25">
      <c r="A21" t="s">
        <v>36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4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4.13793103448276E-2</v>
      </c>
    </row>
    <row r="22" spans="1:25">
      <c r="A22" t="s">
        <v>32</v>
      </c>
      <c r="B22">
        <v>0</v>
      </c>
      <c r="C22">
        <v>0</v>
      </c>
      <c r="D22">
        <v>0</v>
      </c>
      <c r="E22">
        <v>505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12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2.321083172147E-2</v>
      </c>
    </row>
    <row r="23" spans="1:25">
      <c r="A23" t="s">
        <v>90</v>
      </c>
      <c r="B23">
        <v>0</v>
      </c>
      <c r="C23">
        <v>2</v>
      </c>
      <c r="D23">
        <v>0</v>
      </c>
      <c r="E23">
        <v>0</v>
      </c>
      <c r="F23">
        <v>13</v>
      </c>
      <c r="G23">
        <v>0</v>
      </c>
      <c r="H23">
        <v>0</v>
      </c>
      <c r="I23">
        <v>0</v>
      </c>
      <c r="J23">
        <v>0</v>
      </c>
      <c r="K23">
        <v>7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</v>
      </c>
      <c r="U23">
        <v>0</v>
      </c>
      <c r="V23">
        <v>0</v>
      </c>
      <c r="W23">
        <v>0</v>
      </c>
      <c r="X23">
        <v>0</v>
      </c>
      <c r="Y23">
        <v>0.45833333333333298</v>
      </c>
    </row>
    <row r="24" spans="1:25">
      <c r="A24" t="s">
        <v>44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7</v>
      </c>
      <c r="Y24">
        <v>7.1065989847715699E-2</v>
      </c>
    </row>
    <row r="25" spans="1:25">
      <c r="A25" t="s">
        <v>331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194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48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366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18</v>
      </c>
      <c r="X27">
        <v>5</v>
      </c>
      <c r="Y27">
        <v>6.15384615384615E-2</v>
      </c>
    </row>
    <row r="28" spans="1:25">
      <c r="A28" t="s">
        <v>177</v>
      </c>
      <c r="B28">
        <v>0</v>
      </c>
      <c r="C28">
        <v>3</v>
      </c>
      <c r="D28">
        <v>0</v>
      </c>
      <c r="E28">
        <v>0</v>
      </c>
      <c r="F28">
        <v>6</v>
      </c>
      <c r="G28">
        <v>0</v>
      </c>
      <c r="H28">
        <v>0</v>
      </c>
      <c r="I28">
        <v>0</v>
      </c>
      <c r="J28">
        <v>0</v>
      </c>
      <c r="K28">
        <v>21</v>
      </c>
      <c r="L28">
        <v>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0</v>
      </c>
      <c r="V28">
        <v>2</v>
      </c>
      <c r="W28">
        <v>0</v>
      </c>
      <c r="X28">
        <v>0</v>
      </c>
      <c r="Y28">
        <v>0.47499999999999998</v>
      </c>
    </row>
    <row r="29" spans="1:25">
      <c r="A29" t="s">
        <v>101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5</v>
      </c>
      <c r="L29">
        <v>33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</v>
      </c>
      <c r="W29">
        <v>0</v>
      </c>
      <c r="X29">
        <v>0</v>
      </c>
      <c r="Y29">
        <v>0.232558139534884</v>
      </c>
    </row>
    <row r="30" spans="1:25">
      <c r="A30" t="s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111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107</v>
      </c>
      <c r="B33">
        <v>0</v>
      </c>
      <c r="C33">
        <v>0</v>
      </c>
      <c r="D33">
        <v>0</v>
      </c>
      <c r="E33">
        <v>25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0.41666666666666702</v>
      </c>
    </row>
    <row r="34" spans="1:51">
      <c r="A34" t="s">
        <v>165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73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73</v>
      </c>
      <c r="S35">
        <v>0</v>
      </c>
      <c r="T35">
        <v>0</v>
      </c>
      <c r="U35">
        <v>17</v>
      </c>
      <c r="V35">
        <v>0</v>
      </c>
      <c r="W35">
        <v>0</v>
      </c>
      <c r="X35">
        <v>0</v>
      </c>
      <c r="Y35">
        <v>0.18888888888888899</v>
      </c>
    </row>
    <row r="36" spans="1:51">
      <c r="A36" t="s">
        <v>365</v>
      </c>
      <c r="B36">
        <v>0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</v>
      </c>
      <c r="T36">
        <v>0</v>
      </c>
      <c r="U36">
        <v>0</v>
      </c>
      <c r="V36">
        <v>0</v>
      </c>
      <c r="W36">
        <v>0</v>
      </c>
      <c r="X36">
        <v>0</v>
      </c>
      <c r="Y36">
        <v>0.6</v>
      </c>
    </row>
    <row r="37" spans="1:51">
      <c r="A37" t="s">
        <v>273</v>
      </c>
      <c r="B37">
        <v>0</v>
      </c>
      <c r="C37">
        <v>1</v>
      </c>
      <c r="D37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8</v>
      </c>
      <c r="L37">
        <v>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78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14</v>
      </c>
      <c r="S38">
        <v>0</v>
      </c>
      <c r="T38">
        <v>0</v>
      </c>
      <c r="U38">
        <v>56</v>
      </c>
      <c r="V38">
        <v>0</v>
      </c>
      <c r="W38">
        <v>0</v>
      </c>
      <c r="X38">
        <v>0</v>
      </c>
      <c r="Y38">
        <v>0.2</v>
      </c>
    </row>
    <row r="39" spans="1:51">
      <c r="A39" t="s">
        <v>225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5</v>
      </c>
      <c r="L39">
        <v>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4</v>
      </c>
      <c r="W39">
        <v>0</v>
      </c>
      <c r="X39">
        <v>0</v>
      </c>
      <c r="Y39">
        <v>0.69230769230769196</v>
      </c>
    </row>
    <row r="40" spans="1:51">
      <c r="A40" t="s">
        <v>21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23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188</v>
      </c>
      <c r="X40">
        <v>0</v>
      </c>
      <c r="Y40">
        <v>0.113207547169811</v>
      </c>
    </row>
    <row r="41" spans="1:51">
      <c r="A41" t="s">
        <v>265</v>
      </c>
      <c r="B41">
        <v>0</v>
      </c>
      <c r="C41">
        <v>0</v>
      </c>
      <c r="D41">
        <v>0</v>
      </c>
      <c r="E41">
        <v>0</v>
      </c>
      <c r="F41">
        <v>0</v>
      </c>
      <c r="G41">
        <v>16</v>
      </c>
      <c r="H41">
        <v>0</v>
      </c>
      <c r="I41">
        <v>0</v>
      </c>
      <c r="J41">
        <v>3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38</v>
      </c>
      <c r="Y41">
        <v>0.33333333333333298</v>
      </c>
    </row>
    <row r="43" spans="1:51">
      <c r="A43" s="1" t="s">
        <v>13</v>
      </c>
      <c r="B43" t="s">
        <v>249</v>
      </c>
      <c r="C43" t="s">
        <v>59</v>
      </c>
      <c r="D43" t="s">
        <v>316</v>
      </c>
      <c r="E43" t="s">
        <v>33</v>
      </c>
      <c r="F43" t="s">
        <v>37</v>
      </c>
      <c r="G43" t="s">
        <v>166</v>
      </c>
      <c r="H43" t="s">
        <v>98</v>
      </c>
      <c r="I43" t="s">
        <v>143</v>
      </c>
      <c r="J43" t="s">
        <v>366</v>
      </c>
      <c r="K43" t="s">
        <v>327</v>
      </c>
      <c r="L43" t="s">
        <v>96</v>
      </c>
      <c r="M43" t="s">
        <v>42</v>
      </c>
      <c r="N43" t="s">
        <v>410</v>
      </c>
      <c r="O43" t="s">
        <v>131</v>
      </c>
      <c r="P43" t="s">
        <v>339</v>
      </c>
      <c r="Q43" t="s">
        <v>108</v>
      </c>
      <c r="R43" t="s">
        <v>64</v>
      </c>
      <c r="S43" t="s">
        <v>70</v>
      </c>
      <c r="T43" t="s">
        <v>168</v>
      </c>
      <c r="U43" t="s">
        <v>45</v>
      </c>
      <c r="V43" t="s">
        <v>147</v>
      </c>
      <c r="W43" t="s">
        <v>86</v>
      </c>
      <c r="X43" t="s">
        <v>49</v>
      </c>
      <c r="Y43" t="s">
        <v>54</v>
      </c>
      <c r="Z43" t="s">
        <v>25</v>
      </c>
      <c r="AA43" t="s">
        <v>280</v>
      </c>
      <c r="AB43" t="s">
        <v>397</v>
      </c>
      <c r="AC43" t="s">
        <v>330</v>
      </c>
      <c r="AD43" t="s">
        <v>118</v>
      </c>
      <c r="AE43" t="s">
        <v>211</v>
      </c>
      <c r="AF43" t="s">
        <v>134</v>
      </c>
      <c r="AG43" t="s">
        <v>195</v>
      </c>
      <c r="AH43" t="s">
        <v>29</v>
      </c>
      <c r="AI43" t="s">
        <v>22</v>
      </c>
      <c r="AJ43" t="s">
        <v>266</v>
      </c>
      <c r="AK43" t="s">
        <v>81</v>
      </c>
      <c r="AL43" t="s">
        <v>411</v>
      </c>
      <c r="AM43" t="s">
        <v>74</v>
      </c>
      <c r="AN43" t="s">
        <v>178</v>
      </c>
      <c r="AO43" t="s">
        <v>380</v>
      </c>
      <c r="AP43" t="s">
        <v>274</v>
      </c>
      <c r="AQ43" t="s">
        <v>412</v>
      </c>
      <c r="AR43" t="s">
        <v>174</v>
      </c>
      <c r="AS43" t="s">
        <v>79</v>
      </c>
      <c r="AT43" t="s">
        <v>91</v>
      </c>
      <c r="AU43" t="s">
        <v>112</v>
      </c>
      <c r="AV43" t="s">
        <v>226</v>
      </c>
      <c r="AW43" t="s">
        <v>209</v>
      </c>
      <c r="AX43" t="s">
        <v>102</v>
      </c>
      <c r="AY43" t="s">
        <v>409</v>
      </c>
    </row>
    <row r="44" spans="1:51">
      <c r="A44" t="s">
        <v>249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9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59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316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33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37</v>
      </c>
      <c r="B48">
        <v>0</v>
      </c>
      <c r="C48">
        <v>0</v>
      </c>
      <c r="D48">
        <v>0</v>
      </c>
      <c r="E48">
        <v>0</v>
      </c>
      <c r="F48">
        <v>8</v>
      </c>
      <c r="G48">
        <v>0</v>
      </c>
      <c r="H48">
        <v>2</v>
      </c>
      <c r="I48">
        <v>2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0.42857142857142899</v>
      </c>
    </row>
    <row r="49" spans="1:51">
      <c r="A49" t="s">
        <v>166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98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143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366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327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96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42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410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7</v>
      </c>
      <c r="N56">
        <v>3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0.75</v>
      </c>
    </row>
    <row r="57" spans="1:51">
      <c r="A57" t="s">
        <v>131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339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3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0.28571428571428598</v>
      </c>
    </row>
    <row r="59" spans="1:51">
      <c r="A59" t="s">
        <v>108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64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70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168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45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7</v>
      </c>
      <c r="T63">
        <v>3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147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86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103</v>
      </c>
      <c r="X65">
        <v>33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0.25899280575539602</v>
      </c>
    </row>
    <row r="66" spans="1:51">
      <c r="A66" t="s">
        <v>49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36</v>
      </c>
      <c r="X66">
        <v>95</v>
      </c>
      <c r="Y66">
        <v>10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0.34027777777777801</v>
      </c>
    </row>
    <row r="67" spans="1:51">
      <c r="A67" t="s">
        <v>54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9</v>
      </c>
      <c r="Y67">
        <v>66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0.19512195121951201</v>
      </c>
    </row>
    <row r="68" spans="1:51">
      <c r="A68" t="s">
        <v>25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83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0.23853211009174299</v>
      </c>
    </row>
    <row r="69" spans="1:51">
      <c r="A69" t="s">
        <v>280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397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330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118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211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134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195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29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22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38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33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0.53521126760563398</v>
      </c>
    </row>
    <row r="78" spans="1:51">
      <c r="A78" t="s">
        <v>266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81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411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74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10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178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380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274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412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174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79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91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112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226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209</v>
      </c>
      <c r="B91">
        <v>0</v>
      </c>
      <c r="C91">
        <v>0</v>
      </c>
      <c r="D91">
        <v>0</v>
      </c>
      <c r="E91">
        <v>10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2</v>
      </c>
      <c r="AX91">
        <v>0</v>
      </c>
      <c r="AY91">
        <v>0.83333333333333304</v>
      </c>
    </row>
    <row r="92" spans="1:51">
      <c r="A92" t="s">
        <v>102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J36" sqref="J36"/>
    </sheetView>
  </sheetViews>
  <sheetFormatPr baseColWidth="10" defaultRowHeight="16"/>
  <sheetData>
    <row r="1" spans="1:5">
      <c r="A1" s="2" t="s">
        <v>407</v>
      </c>
      <c r="B1" s="2" t="s">
        <v>4</v>
      </c>
      <c r="C1" s="2" t="s">
        <v>413</v>
      </c>
      <c r="D1" s="2" t="s">
        <v>56</v>
      </c>
      <c r="E1" s="2" t="s">
        <v>18</v>
      </c>
    </row>
    <row r="2" spans="1:5">
      <c r="A2" s="2">
        <v>1</v>
      </c>
      <c r="B2" s="2" t="s">
        <v>18</v>
      </c>
      <c r="C2" s="2" t="s">
        <v>18</v>
      </c>
      <c r="D2" s="2">
        <v>0</v>
      </c>
      <c r="E2" s="2">
        <v>1</v>
      </c>
    </row>
    <row r="3" spans="1:5">
      <c r="A3" s="2">
        <v>2</v>
      </c>
      <c r="B3" s="2" t="s">
        <v>18</v>
      </c>
      <c r="C3" s="2" t="s">
        <v>18</v>
      </c>
      <c r="D3" s="2">
        <v>0</v>
      </c>
      <c r="E3" s="2">
        <v>1</v>
      </c>
    </row>
    <row r="4" spans="1:5">
      <c r="A4" s="2">
        <v>3</v>
      </c>
      <c r="B4" s="2" t="s">
        <v>18</v>
      </c>
      <c r="C4" s="2" t="s">
        <v>18</v>
      </c>
      <c r="D4" s="2">
        <v>0.05</v>
      </c>
      <c r="E4" s="2">
        <v>0.95</v>
      </c>
    </row>
    <row r="5" spans="1:5">
      <c r="A5" s="2">
        <v>4</v>
      </c>
      <c r="B5" s="2" t="s">
        <v>18</v>
      </c>
      <c r="C5" s="2" t="s">
        <v>18</v>
      </c>
      <c r="D5" s="2">
        <v>0</v>
      </c>
      <c r="E5" s="2">
        <v>1</v>
      </c>
    </row>
    <row r="6" spans="1:5">
      <c r="A6" s="2">
        <v>5</v>
      </c>
      <c r="B6" s="2" t="s">
        <v>18</v>
      </c>
      <c r="C6" s="2" t="s">
        <v>18</v>
      </c>
      <c r="D6" s="2">
        <v>0</v>
      </c>
      <c r="E6" s="2">
        <v>1</v>
      </c>
    </row>
    <row r="7" spans="1:5">
      <c r="A7" s="2">
        <v>6</v>
      </c>
      <c r="B7" s="2" t="s">
        <v>18</v>
      </c>
      <c r="C7" s="2" t="s">
        <v>18</v>
      </c>
      <c r="D7" s="2">
        <v>0</v>
      </c>
      <c r="E7" s="2">
        <v>1</v>
      </c>
    </row>
    <row r="8" spans="1:5">
      <c r="A8" s="2">
        <v>7</v>
      </c>
      <c r="B8" s="2" t="s">
        <v>18</v>
      </c>
      <c r="C8" s="2" t="s">
        <v>18</v>
      </c>
      <c r="D8" s="2">
        <v>0</v>
      </c>
      <c r="E8" s="2">
        <v>1</v>
      </c>
    </row>
    <row r="9" spans="1:5">
      <c r="A9" s="2">
        <v>8</v>
      </c>
      <c r="B9" s="2" t="s">
        <v>18</v>
      </c>
      <c r="C9" s="2" t="s">
        <v>18</v>
      </c>
      <c r="D9" s="2">
        <v>0</v>
      </c>
      <c r="E9" s="2">
        <v>1</v>
      </c>
    </row>
    <row r="10" spans="1:5">
      <c r="A10" s="2">
        <v>9</v>
      </c>
      <c r="B10" s="2" t="s">
        <v>18</v>
      </c>
      <c r="C10" s="2" t="s">
        <v>18</v>
      </c>
      <c r="D10" s="2">
        <v>0</v>
      </c>
      <c r="E10" s="2">
        <v>1</v>
      </c>
    </row>
    <row r="11" spans="1:5">
      <c r="A11" s="2">
        <v>10</v>
      </c>
      <c r="B11" s="2" t="s">
        <v>18</v>
      </c>
      <c r="C11" s="2" t="s">
        <v>18</v>
      </c>
      <c r="D11" s="2">
        <v>0</v>
      </c>
      <c r="E11" s="2">
        <v>1</v>
      </c>
    </row>
    <row r="12" spans="1:5">
      <c r="A12" s="2">
        <v>11</v>
      </c>
      <c r="B12" s="2" t="s">
        <v>18</v>
      </c>
      <c r="C12" s="2" t="s">
        <v>18</v>
      </c>
      <c r="D12" s="2">
        <v>0</v>
      </c>
      <c r="E12" s="2">
        <v>1</v>
      </c>
    </row>
    <row r="13" spans="1:5">
      <c r="A13" s="2">
        <v>12</v>
      </c>
      <c r="B13" s="2" t="s">
        <v>18</v>
      </c>
      <c r="C13" s="2" t="s">
        <v>18</v>
      </c>
      <c r="D13" s="2">
        <v>0</v>
      </c>
      <c r="E13" s="2">
        <v>1</v>
      </c>
    </row>
    <row r="14" spans="1:5">
      <c r="A14" s="2">
        <v>13</v>
      </c>
      <c r="B14" s="2" t="s">
        <v>18</v>
      </c>
      <c r="C14" s="2" t="s">
        <v>18</v>
      </c>
      <c r="D14" s="2">
        <v>0</v>
      </c>
      <c r="E14" s="2">
        <v>1</v>
      </c>
    </row>
    <row r="15" spans="1:5">
      <c r="A15" s="2">
        <v>14</v>
      </c>
      <c r="B15" s="2" t="s">
        <v>18</v>
      </c>
      <c r="C15" s="2" t="s">
        <v>18</v>
      </c>
      <c r="D15" s="2">
        <v>0</v>
      </c>
      <c r="E15" s="2">
        <v>1</v>
      </c>
    </row>
    <row r="16" spans="1:5">
      <c r="A16" s="2">
        <v>15</v>
      </c>
      <c r="B16" s="2" t="s">
        <v>56</v>
      </c>
      <c r="C16" s="2" t="s">
        <v>56</v>
      </c>
      <c r="D16" s="2">
        <v>0.998</v>
      </c>
      <c r="E16" s="2">
        <v>2E-3</v>
      </c>
    </row>
    <row r="17" spans="1:5">
      <c r="A17" s="2">
        <v>16</v>
      </c>
      <c r="B17" s="2" t="s">
        <v>18</v>
      </c>
      <c r="C17" s="2" t="s">
        <v>18</v>
      </c>
      <c r="D17" s="2">
        <v>0</v>
      </c>
      <c r="E17" s="2">
        <v>1</v>
      </c>
    </row>
    <row r="18" spans="1:5">
      <c r="A18" s="2">
        <v>17</v>
      </c>
      <c r="B18" s="2" t="s">
        <v>18</v>
      </c>
      <c r="C18" s="2" t="s">
        <v>18</v>
      </c>
      <c r="D18" s="2">
        <v>0</v>
      </c>
      <c r="E18" s="2">
        <v>1</v>
      </c>
    </row>
    <row r="19" spans="1:5">
      <c r="A19" s="2">
        <v>18</v>
      </c>
      <c r="B19" s="2" t="s">
        <v>18</v>
      </c>
      <c r="C19" s="2" t="s">
        <v>18</v>
      </c>
      <c r="D19" s="2">
        <v>0</v>
      </c>
      <c r="E19" s="2">
        <v>1</v>
      </c>
    </row>
    <row r="20" spans="1:5">
      <c r="A20" s="2">
        <v>19</v>
      </c>
      <c r="B20" s="2" t="s">
        <v>18</v>
      </c>
      <c r="C20" s="2" t="s">
        <v>18</v>
      </c>
      <c r="D20" s="2">
        <v>0</v>
      </c>
      <c r="E20" s="2">
        <v>1</v>
      </c>
    </row>
    <row r="21" spans="1:5">
      <c r="A21" s="2">
        <v>20</v>
      </c>
      <c r="B21" s="2" t="s">
        <v>18</v>
      </c>
      <c r="C21" s="2" t="s">
        <v>18</v>
      </c>
      <c r="D21" s="2">
        <v>0</v>
      </c>
      <c r="E21" s="2">
        <v>1</v>
      </c>
    </row>
    <row r="22" spans="1:5">
      <c r="A22" s="2">
        <v>21</v>
      </c>
      <c r="B22" s="2" t="s">
        <v>56</v>
      </c>
      <c r="C22" s="2" t="s">
        <v>56</v>
      </c>
      <c r="D22" s="2">
        <v>0.90600000000000003</v>
      </c>
      <c r="E22" s="2">
        <v>9.4E-2</v>
      </c>
    </row>
    <row r="23" spans="1:5">
      <c r="A23" s="2">
        <v>22</v>
      </c>
      <c r="B23" s="2" t="s">
        <v>18</v>
      </c>
      <c r="C23" s="2" t="s">
        <v>18</v>
      </c>
      <c r="D23" s="2">
        <v>0</v>
      </c>
      <c r="E23" s="2">
        <v>1</v>
      </c>
    </row>
    <row r="24" spans="1:5">
      <c r="A24" s="2">
        <v>23</v>
      </c>
      <c r="B24" s="2" t="s">
        <v>18</v>
      </c>
      <c r="C24" s="2" t="s">
        <v>18</v>
      </c>
      <c r="D24" s="2">
        <v>0</v>
      </c>
      <c r="E24" s="2">
        <v>1</v>
      </c>
    </row>
    <row r="25" spans="1:5">
      <c r="A25" s="2">
        <v>24</v>
      </c>
      <c r="B25" s="2" t="s">
        <v>18</v>
      </c>
      <c r="C25" s="2" t="s">
        <v>18</v>
      </c>
      <c r="D25" s="2">
        <v>0</v>
      </c>
      <c r="E25" s="2">
        <v>1</v>
      </c>
    </row>
    <row r="26" spans="1:5">
      <c r="A26" s="2">
        <v>25</v>
      </c>
      <c r="B26" s="2" t="s">
        <v>18</v>
      </c>
      <c r="C26" s="2" t="s">
        <v>18</v>
      </c>
      <c r="D26" s="2">
        <v>0</v>
      </c>
      <c r="E26" s="2">
        <v>1</v>
      </c>
    </row>
    <row r="27" spans="1:5">
      <c r="A27" s="2">
        <v>26</v>
      </c>
      <c r="B27" s="2" t="s">
        <v>18</v>
      </c>
      <c r="C27" s="2" t="s">
        <v>18</v>
      </c>
      <c r="D27" s="2">
        <v>0</v>
      </c>
      <c r="E27" s="2">
        <v>1</v>
      </c>
    </row>
    <row r="28" spans="1:5">
      <c r="A28" s="2">
        <v>27</v>
      </c>
      <c r="B28" s="2" t="s">
        <v>18</v>
      </c>
      <c r="C28" s="2" t="s">
        <v>18</v>
      </c>
      <c r="D28" s="2">
        <v>0</v>
      </c>
      <c r="E28" s="2">
        <v>1</v>
      </c>
    </row>
    <row r="29" spans="1:5">
      <c r="A29" s="2">
        <v>28</v>
      </c>
      <c r="B29" s="2" t="s">
        <v>18</v>
      </c>
      <c r="C29" s="2" t="s">
        <v>18</v>
      </c>
      <c r="D29" s="2">
        <v>0</v>
      </c>
      <c r="E29" s="2">
        <v>1</v>
      </c>
    </row>
    <row r="30" spans="1:5">
      <c r="A30" s="2">
        <v>29</v>
      </c>
      <c r="B30" s="2" t="s">
        <v>18</v>
      </c>
      <c r="C30" s="2" t="s">
        <v>18</v>
      </c>
      <c r="D30" s="2">
        <v>0</v>
      </c>
      <c r="E30" s="2">
        <v>1</v>
      </c>
    </row>
    <row r="31" spans="1:5">
      <c r="A31" s="2">
        <v>30</v>
      </c>
      <c r="B31" s="2" t="s">
        <v>18</v>
      </c>
      <c r="C31" s="2" t="s">
        <v>18</v>
      </c>
      <c r="D31" s="2">
        <v>2E-3</v>
      </c>
      <c r="E31" s="2">
        <v>0.998</v>
      </c>
    </row>
    <row r="32" spans="1:5">
      <c r="A32" s="2">
        <v>31</v>
      </c>
      <c r="B32" s="2" t="s">
        <v>18</v>
      </c>
      <c r="C32" s="2" t="s">
        <v>18</v>
      </c>
      <c r="D32" s="2">
        <v>0</v>
      </c>
      <c r="E32" s="2">
        <v>1</v>
      </c>
    </row>
    <row r="33" spans="1:5">
      <c r="A33" s="2">
        <v>32</v>
      </c>
      <c r="B33" s="2" t="s">
        <v>18</v>
      </c>
      <c r="C33" s="2" t="s">
        <v>18</v>
      </c>
      <c r="D33" s="2">
        <v>0</v>
      </c>
      <c r="E33" s="2">
        <v>1</v>
      </c>
    </row>
    <row r="34" spans="1:5">
      <c r="A34" s="2">
        <v>33</v>
      </c>
      <c r="B34" s="2" t="s">
        <v>18</v>
      </c>
      <c r="C34" s="2" t="s">
        <v>18</v>
      </c>
      <c r="D34" s="2">
        <v>0</v>
      </c>
      <c r="E34" s="2">
        <v>1</v>
      </c>
    </row>
    <row r="35" spans="1:5">
      <c r="A35" s="2">
        <v>34</v>
      </c>
      <c r="B35" s="2" t="s">
        <v>18</v>
      </c>
      <c r="C35" s="2" t="s">
        <v>18</v>
      </c>
      <c r="D35" s="2">
        <v>0</v>
      </c>
      <c r="E35" s="2">
        <v>1</v>
      </c>
    </row>
    <row r="36" spans="1:5">
      <c r="A36" s="2">
        <v>35</v>
      </c>
      <c r="B36" s="2" t="s">
        <v>18</v>
      </c>
      <c r="C36" s="2" t="s">
        <v>18</v>
      </c>
      <c r="D36" s="2">
        <v>0</v>
      </c>
      <c r="E36" s="2">
        <v>1</v>
      </c>
    </row>
    <row r="37" spans="1:5">
      <c r="A37" s="2">
        <v>36</v>
      </c>
      <c r="B37" s="2" t="s">
        <v>18</v>
      </c>
      <c r="C37" s="2" t="s">
        <v>18</v>
      </c>
      <c r="D37" s="2">
        <v>0</v>
      </c>
      <c r="E37" s="2">
        <v>1</v>
      </c>
    </row>
    <row r="38" spans="1:5">
      <c r="A38" s="2">
        <v>37</v>
      </c>
      <c r="B38" s="2" t="s">
        <v>18</v>
      </c>
      <c r="C38" s="2" t="s">
        <v>18</v>
      </c>
      <c r="D38" s="2">
        <v>0</v>
      </c>
      <c r="E38" s="2">
        <v>1</v>
      </c>
    </row>
    <row r="39" spans="1:5">
      <c r="A39" s="2">
        <v>38</v>
      </c>
      <c r="B39" s="2" t="s">
        <v>18</v>
      </c>
      <c r="C39" s="2" t="s">
        <v>18</v>
      </c>
      <c r="D39" s="2">
        <v>0</v>
      </c>
      <c r="E39" s="2">
        <v>1</v>
      </c>
    </row>
    <row r="40" spans="1:5">
      <c r="A40" s="2">
        <v>39</v>
      </c>
      <c r="B40" s="2" t="s">
        <v>18</v>
      </c>
      <c r="C40" s="2" t="s">
        <v>18</v>
      </c>
      <c r="D40" s="2">
        <v>0</v>
      </c>
      <c r="E40" s="2">
        <v>1</v>
      </c>
    </row>
    <row r="41" spans="1:5">
      <c r="A41" s="2">
        <v>40</v>
      </c>
      <c r="B41" s="2" t="s">
        <v>18</v>
      </c>
      <c r="C41" s="2" t="s">
        <v>18</v>
      </c>
      <c r="D41" s="2">
        <v>0</v>
      </c>
      <c r="E41" s="2">
        <v>1</v>
      </c>
    </row>
    <row r="42" spans="1:5">
      <c r="A42" s="2">
        <v>41</v>
      </c>
      <c r="B42" s="2" t="s">
        <v>18</v>
      </c>
      <c r="C42" s="2" t="s">
        <v>18</v>
      </c>
      <c r="D42" s="2">
        <v>0</v>
      </c>
      <c r="E42" s="2">
        <v>1</v>
      </c>
    </row>
    <row r="43" spans="1:5">
      <c r="A43" s="2">
        <v>42</v>
      </c>
      <c r="B43" s="2" t="s">
        <v>18</v>
      </c>
      <c r="C43" s="2" t="s">
        <v>18</v>
      </c>
      <c r="D43" s="2">
        <v>0</v>
      </c>
      <c r="E43" s="2">
        <v>1</v>
      </c>
    </row>
    <row r="44" spans="1:5">
      <c r="A44" s="2">
        <v>43</v>
      </c>
      <c r="B44" s="2" t="s">
        <v>18</v>
      </c>
      <c r="C44" s="2" t="s">
        <v>18</v>
      </c>
      <c r="D44" s="2">
        <v>0</v>
      </c>
      <c r="E44" s="2">
        <v>1</v>
      </c>
    </row>
    <row r="45" spans="1:5">
      <c r="A45" s="2">
        <v>44</v>
      </c>
      <c r="B45" s="2" t="s">
        <v>18</v>
      </c>
      <c r="C45" s="2" t="s">
        <v>18</v>
      </c>
      <c r="D45" s="2">
        <v>3.5999999999999997E-2</v>
      </c>
      <c r="E45" s="2">
        <v>0.96399999999999997</v>
      </c>
    </row>
    <row r="46" spans="1:5">
      <c r="A46" s="2">
        <v>45</v>
      </c>
      <c r="B46" s="2" t="s">
        <v>18</v>
      </c>
      <c r="C46" s="2" t="s">
        <v>18</v>
      </c>
      <c r="D46" s="2">
        <v>0</v>
      </c>
      <c r="E46" s="2">
        <v>1</v>
      </c>
    </row>
    <row r="47" spans="1:5">
      <c r="A47" s="2">
        <v>46</v>
      </c>
      <c r="B47" s="2" t="s">
        <v>18</v>
      </c>
      <c r="C47" s="2" t="s">
        <v>18</v>
      </c>
      <c r="D47" s="2">
        <v>0</v>
      </c>
      <c r="E47" s="2">
        <v>1</v>
      </c>
    </row>
    <row r="48" spans="1:5">
      <c r="A48" s="2">
        <v>47</v>
      </c>
      <c r="B48" s="2" t="s">
        <v>18</v>
      </c>
      <c r="C48" s="2" t="s">
        <v>18</v>
      </c>
      <c r="D48" s="2">
        <v>4.0000000000000001E-3</v>
      </c>
      <c r="E48" s="2">
        <v>0.996</v>
      </c>
    </row>
    <row r="49" spans="1:5">
      <c r="A49" s="2">
        <v>48</v>
      </c>
      <c r="B49" s="2" t="s">
        <v>18</v>
      </c>
      <c r="C49" s="2" t="s">
        <v>18</v>
      </c>
      <c r="D49" s="2">
        <v>0</v>
      </c>
      <c r="E49" s="2">
        <v>1</v>
      </c>
    </row>
    <row r="50" spans="1:5">
      <c r="A50" s="2">
        <v>49</v>
      </c>
      <c r="B50" s="2" t="s">
        <v>18</v>
      </c>
      <c r="C50" s="2" t="s">
        <v>18</v>
      </c>
      <c r="D50" s="2">
        <v>0</v>
      </c>
      <c r="E50" s="2">
        <v>1</v>
      </c>
    </row>
    <row r="51" spans="1:5">
      <c r="A51" s="2">
        <v>50</v>
      </c>
      <c r="B51" s="2" t="s">
        <v>18</v>
      </c>
      <c r="C51" s="2" t="s">
        <v>18</v>
      </c>
      <c r="D51" s="2">
        <v>0</v>
      </c>
      <c r="E51" s="2">
        <v>1</v>
      </c>
    </row>
    <row r="52" spans="1:5">
      <c r="A52" s="2">
        <v>51</v>
      </c>
      <c r="B52" s="2" t="s">
        <v>18</v>
      </c>
      <c r="C52" s="2" t="s">
        <v>18</v>
      </c>
      <c r="D52" s="2">
        <v>0</v>
      </c>
      <c r="E52" s="2">
        <v>1</v>
      </c>
    </row>
    <row r="53" spans="1:5">
      <c r="A53" s="2">
        <v>52</v>
      </c>
      <c r="B53" s="2" t="s">
        <v>18</v>
      </c>
      <c r="C53" s="2" t="s">
        <v>18</v>
      </c>
      <c r="D53" s="2">
        <v>0</v>
      </c>
      <c r="E53" s="2">
        <v>1</v>
      </c>
    </row>
    <row r="54" spans="1:5">
      <c r="A54" s="2">
        <v>53</v>
      </c>
      <c r="B54" s="2" t="s">
        <v>18</v>
      </c>
      <c r="C54" s="2" t="s">
        <v>18</v>
      </c>
      <c r="D54" s="2">
        <v>0</v>
      </c>
      <c r="E54" s="2">
        <v>1</v>
      </c>
    </row>
    <row r="55" spans="1:5">
      <c r="A55" s="2">
        <v>54</v>
      </c>
      <c r="B55" s="2" t="s">
        <v>18</v>
      </c>
      <c r="C55" s="2" t="s">
        <v>18</v>
      </c>
      <c r="D55" s="2">
        <v>0</v>
      </c>
      <c r="E55" s="2">
        <v>1</v>
      </c>
    </row>
    <row r="56" spans="1:5">
      <c r="A56" s="2">
        <v>55</v>
      </c>
      <c r="B56" s="2" t="s">
        <v>18</v>
      </c>
      <c r="C56" s="2" t="s">
        <v>18</v>
      </c>
      <c r="D56" s="2">
        <v>0</v>
      </c>
      <c r="E56" s="2">
        <v>1</v>
      </c>
    </row>
    <row r="57" spans="1:5">
      <c r="A57" s="2">
        <v>56</v>
      </c>
      <c r="B57" s="2" t="s">
        <v>18</v>
      </c>
      <c r="C57" s="2" t="s">
        <v>18</v>
      </c>
      <c r="D57" s="2">
        <v>0</v>
      </c>
      <c r="E57" s="2">
        <v>1</v>
      </c>
    </row>
    <row r="58" spans="1:5">
      <c r="A58" s="2">
        <v>57</v>
      </c>
      <c r="B58" s="2" t="s">
        <v>18</v>
      </c>
      <c r="C58" s="2" t="s">
        <v>18</v>
      </c>
      <c r="D58" s="2">
        <v>0</v>
      </c>
      <c r="E58" s="2">
        <v>1</v>
      </c>
    </row>
    <row r="59" spans="1:5">
      <c r="A59" s="2">
        <v>58</v>
      </c>
      <c r="B59" s="2" t="s">
        <v>18</v>
      </c>
      <c r="C59" s="2" t="s">
        <v>18</v>
      </c>
      <c r="D59" s="2">
        <v>0</v>
      </c>
      <c r="E59" s="2">
        <v>1</v>
      </c>
    </row>
    <row r="60" spans="1:5">
      <c r="A60" s="2">
        <v>59</v>
      </c>
      <c r="B60" s="2" t="s">
        <v>18</v>
      </c>
      <c r="C60" s="2" t="s">
        <v>18</v>
      </c>
      <c r="D60" s="2">
        <v>0</v>
      </c>
      <c r="E60" s="2">
        <v>1</v>
      </c>
    </row>
    <row r="61" spans="1:5">
      <c r="A61" s="2">
        <v>60</v>
      </c>
      <c r="B61" s="2" t="s">
        <v>18</v>
      </c>
      <c r="C61" s="2" t="s">
        <v>18</v>
      </c>
      <c r="D61" s="2">
        <v>0</v>
      </c>
      <c r="E61" s="2">
        <v>1</v>
      </c>
    </row>
    <row r="62" spans="1:5">
      <c r="A62" s="2">
        <v>61</v>
      </c>
      <c r="B62" s="2" t="s">
        <v>18</v>
      </c>
      <c r="C62" s="2" t="s">
        <v>18</v>
      </c>
      <c r="D62" s="2">
        <v>0</v>
      </c>
      <c r="E62" s="2">
        <v>1</v>
      </c>
    </row>
    <row r="63" spans="1:5">
      <c r="A63" s="2">
        <v>62</v>
      </c>
      <c r="B63" s="2" t="s">
        <v>18</v>
      </c>
      <c r="C63" s="2" t="s">
        <v>18</v>
      </c>
      <c r="D63" s="2">
        <v>0</v>
      </c>
      <c r="E63" s="2">
        <v>1</v>
      </c>
    </row>
    <row r="64" spans="1:5">
      <c r="A64" s="2">
        <v>63</v>
      </c>
      <c r="B64" s="2" t="s">
        <v>18</v>
      </c>
      <c r="C64" s="2" t="s">
        <v>18</v>
      </c>
      <c r="D64" s="2">
        <v>2.5999999999999999E-2</v>
      </c>
      <c r="E64" s="2">
        <v>0.97399999999999998</v>
      </c>
    </row>
    <row r="65" spans="1:5">
      <c r="A65" s="2">
        <v>64</v>
      </c>
      <c r="B65" s="2" t="s">
        <v>18</v>
      </c>
      <c r="C65" s="2" t="s">
        <v>18</v>
      </c>
      <c r="D65" s="2">
        <v>2.8000000000000001E-2</v>
      </c>
      <c r="E65" s="2">
        <v>0.97199999999999998</v>
      </c>
    </row>
    <row r="66" spans="1:5">
      <c r="A66" s="2">
        <v>65</v>
      </c>
      <c r="B66" s="2" t="s">
        <v>18</v>
      </c>
      <c r="C66" s="2" t="s">
        <v>18</v>
      </c>
      <c r="D66" s="2">
        <v>0</v>
      </c>
      <c r="E66" s="2">
        <v>1</v>
      </c>
    </row>
    <row r="67" spans="1:5">
      <c r="A67" s="2">
        <v>66</v>
      </c>
      <c r="B67" s="2" t="s">
        <v>18</v>
      </c>
      <c r="C67" s="2" t="s">
        <v>18</v>
      </c>
      <c r="D67" s="2">
        <v>0</v>
      </c>
      <c r="E67" s="2">
        <v>1</v>
      </c>
    </row>
    <row r="68" spans="1:5">
      <c r="A68" s="2">
        <v>67</v>
      </c>
      <c r="B68" s="2" t="s">
        <v>18</v>
      </c>
      <c r="C68" s="2" t="s">
        <v>18</v>
      </c>
      <c r="D68" s="2">
        <v>0</v>
      </c>
      <c r="E68" s="2">
        <v>1</v>
      </c>
    </row>
    <row r="69" spans="1:5">
      <c r="A69" s="2">
        <v>68</v>
      </c>
      <c r="B69" s="2" t="s">
        <v>18</v>
      </c>
      <c r="C69" s="2" t="s">
        <v>18</v>
      </c>
      <c r="D69" s="2">
        <v>0</v>
      </c>
      <c r="E69" s="2">
        <v>1</v>
      </c>
    </row>
    <row r="70" spans="1:5">
      <c r="A70" s="2">
        <v>69</v>
      </c>
      <c r="B70" s="2" t="s">
        <v>18</v>
      </c>
      <c r="C70" s="2" t="s">
        <v>18</v>
      </c>
      <c r="D70" s="2">
        <v>0</v>
      </c>
      <c r="E70" s="2">
        <v>1</v>
      </c>
    </row>
    <row r="71" spans="1:5">
      <c r="A71" s="2">
        <v>70</v>
      </c>
      <c r="B71" s="2" t="s">
        <v>18</v>
      </c>
      <c r="C71" s="2" t="s">
        <v>18</v>
      </c>
      <c r="D71" s="2">
        <v>0</v>
      </c>
      <c r="E71" s="2">
        <v>1</v>
      </c>
    </row>
    <row r="72" spans="1:5">
      <c r="A72" s="2">
        <v>71</v>
      </c>
      <c r="B72" s="2" t="s">
        <v>18</v>
      </c>
      <c r="C72" s="2" t="s">
        <v>18</v>
      </c>
      <c r="D72" s="2">
        <v>1.2E-2</v>
      </c>
      <c r="E72" s="2">
        <v>0.98799999999999999</v>
      </c>
    </row>
    <row r="73" spans="1:5">
      <c r="A73" s="2">
        <v>72</v>
      </c>
      <c r="B73" s="2" t="s">
        <v>18</v>
      </c>
      <c r="C73" s="2" t="s">
        <v>18</v>
      </c>
      <c r="D73" s="2">
        <v>0</v>
      </c>
      <c r="E73" s="2">
        <v>1</v>
      </c>
    </row>
    <row r="74" spans="1:5">
      <c r="A74" s="2">
        <v>73</v>
      </c>
      <c r="B74" s="2" t="s">
        <v>18</v>
      </c>
      <c r="C74" s="2" t="s">
        <v>18</v>
      </c>
      <c r="D74" s="2">
        <v>0</v>
      </c>
      <c r="E74" s="2">
        <v>1</v>
      </c>
    </row>
    <row r="75" spans="1:5">
      <c r="A75" s="2">
        <v>74</v>
      </c>
      <c r="B75" s="2" t="s">
        <v>18</v>
      </c>
      <c r="C75" s="2" t="s">
        <v>18</v>
      </c>
      <c r="D75" s="2">
        <v>0</v>
      </c>
      <c r="E75" s="2">
        <v>1</v>
      </c>
    </row>
    <row r="76" spans="1:5">
      <c r="A76" s="2">
        <v>75</v>
      </c>
      <c r="B76" s="2" t="s">
        <v>18</v>
      </c>
      <c r="C76" s="2" t="s">
        <v>18</v>
      </c>
      <c r="D76" s="2">
        <v>0</v>
      </c>
      <c r="E76" s="2">
        <v>1</v>
      </c>
    </row>
    <row r="77" spans="1:5">
      <c r="A77" s="2">
        <v>76</v>
      </c>
      <c r="B77" s="2" t="s">
        <v>56</v>
      </c>
      <c r="C77" s="2" t="s">
        <v>56</v>
      </c>
      <c r="D77" s="2">
        <v>0.98399999999999999</v>
      </c>
      <c r="E77" s="2">
        <v>1.6E-2</v>
      </c>
    </row>
    <row r="78" spans="1:5">
      <c r="A78" s="2">
        <v>77</v>
      </c>
      <c r="B78" s="2" t="s">
        <v>18</v>
      </c>
      <c r="C78" s="2" t="s">
        <v>18</v>
      </c>
      <c r="D78" s="2">
        <v>0</v>
      </c>
      <c r="E78" s="2">
        <v>1</v>
      </c>
    </row>
    <row r="79" spans="1:5">
      <c r="A79" s="2">
        <v>78</v>
      </c>
      <c r="B79" s="2" t="s">
        <v>18</v>
      </c>
      <c r="C79" s="2" t="s">
        <v>18</v>
      </c>
      <c r="D79" s="2">
        <v>0</v>
      </c>
      <c r="E79" s="2">
        <v>1</v>
      </c>
    </row>
    <row r="80" spans="1:5">
      <c r="A80" s="2">
        <v>79</v>
      </c>
      <c r="B80" s="2" t="s">
        <v>18</v>
      </c>
      <c r="C80" s="2" t="s">
        <v>18</v>
      </c>
      <c r="D80" s="2">
        <v>0</v>
      </c>
      <c r="E80" s="2">
        <v>1</v>
      </c>
    </row>
    <row r="81" spans="1:5">
      <c r="A81" s="2">
        <v>80</v>
      </c>
      <c r="B81" s="2" t="s">
        <v>18</v>
      </c>
      <c r="C81" s="2" t="s">
        <v>18</v>
      </c>
      <c r="D81" s="2">
        <v>0</v>
      </c>
      <c r="E81" s="2">
        <v>1</v>
      </c>
    </row>
    <row r="82" spans="1:5">
      <c r="A82" s="2">
        <v>81</v>
      </c>
      <c r="B82" s="2" t="s">
        <v>18</v>
      </c>
      <c r="C82" s="2" t="s">
        <v>18</v>
      </c>
      <c r="D82" s="2">
        <v>0</v>
      </c>
      <c r="E82" s="2">
        <v>1</v>
      </c>
    </row>
    <row r="83" spans="1:5">
      <c r="A83" s="2">
        <v>82</v>
      </c>
      <c r="B83" s="2" t="s">
        <v>18</v>
      </c>
      <c r="C83" s="2" t="s">
        <v>18</v>
      </c>
      <c r="D83" s="2">
        <v>0</v>
      </c>
      <c r="E83" s="2">
        <v>1</v>
      </c>
    </row>
    <row r="84" spans="1:5">
      <c r="A84" s="2">
        <v>83</v>
      </c>
      <c r="B84" s="2" t="s">
        <v>18</v>
      </c>
      <c r="C84" s="2" t="s">
        <v>18</v>
      </c>
      <c r="D84" s="2">
        <v>0</v>
      </c>
      <c r="E84" s="2">
        <v>1</v>
      </c>
    </row>
    <row r="85" spans="1:5">
      <c r="A85" s="2">
        <v>84</v>
      </c>
      <c r="B85" s="2" t="s">
        <v>18</v>
      </c>
      <c r="C85" s="2" t="s">
        <v>18</v>
      </c>
      <c r="D85" s="2">
        <v>0</v>
      </c>
      <c r="E85" s="2">
        <v>1</v>
      </c>
    </row>
    <row r="86" spans="1:5">
      <c r="A86" s="2">
        <v>85</v>
      </c>
      <c r="B86" s="2" t="s">
        <v>18</v>
      </c>
      <c r="C86" s="2" t="s">
        <v>18</v>
      </c>
      <c r="D86" s="2">
        <v>0</v>
      </c>
      <c r="E86" s="2">
        <v>1</v>
      </c>
    </row>
    <row r="87" spans="1:5">
      <c r="A87" s="2">
        <v>86</v>
      </c>
      <c r="B87" s="2" t="s">
        <v>18</v>
      </c>
      <c r="C87" s="2" t="s">
        <v>18</v>
      </c>
      <c r="D87" s="2">
        <v>0</v>
      </c>
      <c r="E87" s="2">
        <v>1</v>
      </c>
    </row>
    <row r="88" spans="1:5">
      <c r="A88" s="2">
        <v>87</v>
      </c>
      <c r="B88" s="2" t="s">
        <v>18</v>
      </c>
      <c r="C88" s="2" t="s">
        <v>18</v>
      </c>
      <c r="D88" s="2">
        <v>0</v>
      </c>
      <c r="E88" s="2">
        <v>1</v>
      </c>
    </row>
    <row r="89" spans="1:5">
      <c r="A89" s="2">
        <v>88</v>
      </c>
      <c r="B89" s="2" t="s">
        <v>18</v>
      </c>
      <c r="C89" s="2" t="s">
        <v>18</v>
      </c>
      <c r="D89" s="2">
        <v>2.5999999999999999E-2</v>
      </c>
      <c r="E89" s="2">
        <v>0.97399999999999998</v>
      </c>
    </row>
    <row r="90" spans="1:5">
      <c r="A90" s="2">
        <v>89</v>
      </c>
      <c r="B90" s="2" t="s">
        <v>18</v>
      </c>
      <c r="C90" s="2" t="s">
        <v>18</v>
      </c>
      <c r="D90" s="2">
        <v>0</v>
      </c>
      <c r="E90" s="2">
        <v>1</v>
      </c>
    </row>
    <row r="91" spans="1:5">
      <c r="A91" s="2">
        <v>90</v>
      </c>
      <c r="B91" s="2" t="s">
        <v>18</v>
      </c>
      <c r="C91" s="2" t="s">
        <v>18</v>
      </c>
      <c r="D91" s="2">
        <v>0</v>
      </c>
      <c r="E91" s="2">
        <v>1</v>
      </c>
    </row>
    <row r="92" spans="1:5">
      <c r="A92" s="2">
        <v>91</v>
      </c>
      <c r="B92" s="2" t="s">
        <v>18</v>
      </c>
      <c r="C92" s="2" t="s">
        <v>18</v>
      </c>
      <c r="D92" s="2">
        <v>0</v>
      </c>
      <c r="E92" s="2">
        <v>1</v>
      </c>
    </row>
    <row r="93" spans="1:5">
      <c r="A93" s="2">
        <v>92</v>
      </c>
      <c r="B93" s="2" t="s">
        <v>18</v>
      </c>
      <c r="C93" s="2" t="s">
        <v>18</v>
      </c>
      <c r="D93" s="2">
        <v>0</v>
      </c>
      <c r="E93" s="2">
        <v>1</v>
      </c>
    </row>
    <row r="94" spans="1:5">
      <c r="A94" s="2">
        <v>93</v>
      </c>
      <c r="B94" s="2" t="s">
        <v>18</v>
      </c>
      <c r="C94" s="2" t="s">
        <v>18</v>
      </c>
      <c r="D94" s="2">
        <v>0</v>
      </c>
      <c r="E94" s="2">
        <v>1</v>
      </c>
    </row>
    <row r="95" spans="1:5">
      <c r="A95" s="2">
        <v>94</v>
      </c>
      <c r="B95" s="2" t="s">
        <v>18</v>
      </c>
      <c r="C95" s="2" t="s">
        <v>18</v>
      </c>
      <c r="D95" s="2">
        <v>0</v>
      </c>
      <c r="E95" s="2">
        <v>1</v>
      </c>
    </row>
    <row r="96" spans="1:5">
      <c r="A96" s="2">
        <v>95</v>
      </c>
      <c r="B96" s="2" t="s">
        <v>56</v>
      </c>
      <c r="C96" s="2" t="s">
        <v>56</v>
      </c>
      <c r="D96" s="2">
        <v>0.998</v>
      </c>
      <c r="E96" s="2">
        <v>2E-3</v>
      </c>
    </row>
    <row r="97" spans="1:5">
      <c r="A97" s="2">
        <v>96</v>
      </c>
      <c r="B97" s="2" t="s">
        <v>18</v>
      </c>
      <c r="C97" s="2" t="s">
        <v>18</v>
      </c>
      <c r="D97" s="2">
        <v>0</v>
      </c>
      <c r="E97" s="2">
        <v>1</v>
      </c>
    </row>
    <row r="98" spans="1:5">
      <c r="A98" s="2">
        <v>97</v>
      </c>
      <c r="B98" s="2" t="s">
        <v>18</v>
      </c>
      <c r="C98" s="2" t="s">
        <v>18</v>
      </c>
      <c r="D98" s="2">
        <v>0</v>
      </c>
      <c r="E98" s="2">
        <v>1</v>
      </c>
    </row>
    <row r="99" spans="1:5">
      <c r="A99" s="2">
        <v>98</v>
      </c>
      <c r="B99" s="2" t="s">
        <v>18</v>
      </c>
      <c r="C99" s="2" t="s">
        <v>18</v>
      </c>
      <c r="D99" s="2">
        <v>0</v>
      </c>
      <c r="E99" s="2">
        <v>1</v>
      </c>
    </row>
    <row r="100" spans="1:5">
      <c r="A100" s="2">
        <v>99</v>
      </c>
      <c r="B100" s="2" t="s">
        <v>18</v>
      </c>
      <c r="C100" s="2" t="s">
        <v>18</v>
      </c>
      <c r="D100" s="2">
        <v>0</v>
      </c>
      <c r="E100" s="2">
        <v>1</v>
      </c>
    </row>
    <row r="101" spans="1:5">
      <c r="A101" s="2">
        <v>100</v>
      </c>
      <c r="B101" s="2" t="s">
        <v>18</v>
      </c>
      <c r="C101" s="2" t="s">
        <v>18</v>
      </c>
      <c r="D101" s="2">
        <v>0</v>
      </c>
      <c r="E101" s="2">
        <v>1</v>
      </c>
    </row>
    <row r="102" spans="1:5">
      <c r="A102" s="2">
        <v>101</v>
      </c>
      <c r="B102" s="2" t="s">
        <v>18</v>
      </c>
      <c r="C102" s="2" t="s">
        <v>18</v>
      </c>
      <c r="D102" s="2">
        <v>0</v>
      </c>
      <c r="E102" s="2">
        <v>1</v>
      </c>
    </row>
    <row r="103" spans="1:5">
      <c r="A103" s="2">
        <v>102</v>
      </c>
      <c r="B103" s="2" t="s">
        <v>18</v>
      </c>
      <c r="C103" s="2" t="s">
        <v>18</v>
      </c>
      <c r="D103" s="2">
        <v>0</v>
      </c>
      <c r="E103" s="2">
        <v>1</v>
      </c>
    </row>
    <row r="104" spans="1:5">
      <c r="A104" s="2">
        <v>103</v>
      </c>
      <c r="B104" s="2" t="s">
        <v>18</v>
      </c>
      <c r="C104" s="2" t="s">
        <v>18</v>
      </c>
      <c r="D104" s="2">
        <v>0</v>
      </c>
      <c r="E104" s="2">
        <v>1</v>
      </c>
    </row>
    <row r="105" spans="1:5">
      <c r="A105" s="2">
        <v>104</v>
      </c>
      <c r="B105" s="2" t="s">
        <v>18</v>
      </c>
      <c r="C105" s="2" t="s">
        <v>18</v>
      </c>
      <c r="D105" s="2">
        <v>0</v>
      </c>
      <c r="E105" s="2">
        <v>1</v>
      </c>
    </row>
    <row r="106" spans="1:5">
      <c r="A106" s="2">
        <v>105</v>
      </c>
      <c r="B106" s="2" t="s">
        <v>18</v>
      </c>
      <c r="C106" s="2" t="s">
        <v>18</v>
      </c>
      <c r="D106" s="2">
        <v>0</v>
      </c>
      <c r="E106" s="2">
        <v>1</v>
      </c>
    </row>
    <row r="107" spans="1:5">
      <c r="A107" s="2">
        <v>106</v>
      </c>
      <c r="B107" s="2" t="s">
        <v>18</v>
      </c>
      <c r="C107" s="2" t="s">
        <v>18</v>
      </c>
      <c r="D107" s="2">
        <v>0</v>
      </c>
      <c r="E107" s="2">
        <v>1</v>
      </c>
    </row>
    <row r="108" spans="1:5">
      <c r="A108" s="2">
        <v>107</v>
      </c>
      <c r="B108" s="2" t="s">
        <v>18</v>
      </c>
      <c r="C108" s="2" t="s">
        <v>18</v>
      </c>
      <c r="D108" s="2">
        <v>4.0000000000000001E-3</v>
      </c>
      <c r="E108" s="2">
        <v>0.996</v>
      </c>
    </row>
    <row r="109" spans="1:5">
      <c r="A109" s="2">
        <v>108</v>
      </c>
      <c r="B109" s="2" t="s">
        <v>18</v>
      </c>
      <c r="C109" s="2" t="s">
        <v>18</v>
      </c>
      <c r="D109" s="2">
        <v>0</v>
      </c>
      <c r="E109" s="2">
        <v>1</v>
      </c>
    </row>
    <row r="110" spans="1:5">
      <c r="A110" s="2">
        <v>109</v>
      </c>
      <c r="B110" s="2" t="s">
        <v>18</v>
      </c>
      <c r="C110" s="2" t="s">
        <v>18</v>
      </c>
      <c r="D110" s="2">
        <v>0</v>
      </c>
      <c r="E110" s="2">
        <v>1</v>
      </c>
    </row>
    <row r="111" spans="1:5">
      <c r="A111" s="2">
        <v>110</v>
      </c>
      <c r="B111" s="2" t="s">
        <v>18</v>
      </c>
      <c r="C111" s="2" t="s">
        <v>18</v>
      </c>
      <c r="D111" s="2">
        <v>0</v>
      </c>
      <c r="E111" s="2">
        <v>1</v>
      </c>
    </row>
    <row r="112" spans="1:5">
      <c r="A112" s="2">
        <v>111</v>
      </c>
      <c r="B112" s="2" t="s">
        <v>18</v>
      </c>
      <c r="C112" s="2" t="s">
        <v>18</v>
      </c>
      <c r="D112" s="2">
        <v>0</v>
      </c>
      <c r="E112" s="2">
        <v>1</v>
      </c>
    </row>
    <row r="113" spans="1:5">
      <c r="A113" s="2">
        <v>112</v>
      </c>
      <c r="B113" s="2" t="s">
        <v>18</v>
      </c>
      <c r="C113" s="2" t="s">
        <v>18</v>
      </c>
      <c r="D113" s="2">
        <v>2E-3</v>
      </c>
      <c r="E113" s="2">
        <v>0.998</v>
      </c>
    </row>
    <row r="114" spans="1:5">
      <c r="A114" s="2">
        <v>113</v>
      </c>
      <c r="B114" s="2" t="s">
        <v>18</v>
      </c>
      <c r="C114" s="2" t="s">
        <v>18</v>
      </c>
      <c r="D114" s="2">
        <v>0</v>
      </c>
      <c r="E114" s="2">
        <v>1</v>
      </c>
    </row>
    <row r="115" spans="1:5">
      <c r="A115" s="2">
        <v>114</v>
      </c>
      <c r="B115" s="2" t="s">
        <v>18</v>
      </c>
      <c r="C115" s="2" t="s">
        <v>18</v>
      </c>
      <c r="D115" s="2">
        <v>0</v>
      </c>
      <c r="E115" s="2">
        <v>1</v>
      </c>
    </row>
    <row r="116" spans="1:5">
      <c r="A116" s="2">
        <v>115</v>
      </c>
      <c r="B116" s="2" t="s">
        <v>56</v>
      </c>
      <c r="C116" s="2" t="s">
        <v>56</v>
      </c>
      <c r="D116" s="2">
        <v>0.98</v>
      </c>
      <c r="E116" s="2">
        <v>0.02</v>
      </c>
    </row>
    <row r="117" spans="1:5">
      <c r="A117" s="2">
        <v>116</v>
      </c>
      <c r="B117" s="2" t="s">
        <v>18</v>
      </c>
      <c r="C117" s="2" t="s">
        <v>18</v>
      </c>
      <c r="D117" s="2">
        <v>0</v>
      </c>
      <c r="E117" s="2">
        <v>1</v>
      </c>
    </row>
    <row r="118" spans="1:5">
      <c r="A118" s="2">
        <v>117</v>
      </c>
      <c r="B118" s="2" t="s">
        <v>18</v>
      </c>
      <c r="C118" s="2" t="s">
        <v>18</v>
      </c>
      <c r="D118" s="2">
        <v>0</v>
      </c>
      <c r="E118" s="2">
        <v>1</v>
      </c>
    </row>
    <row r="119" spans="1:5">
      <c r="A119" s="2">
        <v>118</v>
      </c>
      <c r="B119" s="2" t="s">
        <v>18</v>
      </c>
      <c r="C119" s="2" t="s">
        <v>18</v>
      </c>
      <c r="D119" s="2">
        <v>0</v>
      </c>
      <c r="E119" s="2">
        <v>1</v>
      </c>
    </row>
    <row r="120" spans="1:5">
      <c r="A120" s="2">
        <v>119</v>
      </c>
      <c r="B120" s="2" t="s">
        <v>18</v>
      </c>
      <c r="C120" s="2" t="s">
        <v>18</v>
      </c>
      <c r="D120" s="2">
        <v>0</v>
      </c>
      <c r="E120" s="2">
        <v>1</v>
      </c>
    </row>
    <row r="121" spans="1:5">
      <c r="A121" s="2">
        <v>120</v>
      </c>
      <c r="B121" s="2" t="s">
        <v>18</v>
      </c>
      <c r="C121" s="2" t="s">
        <v>18</v>
      </c>
      <c r="D121" s="2">
        <v>0</v>
      </c>
      <c r="E121" s="2">
        <v>1</v>
      </c>
    </row>
    <row r="122" spans="1:5">
      <c r="A122" s="2">
        <v>121</v>
      </c>
      <c r="B122" s="2" t="s">
        <v>18</v>
      </c>
      <c r="C122" s="2" t="s">
        <v>18</v>
      </c>
      <c r="D122" s="2">
        <v>0</v>
      </c>
      <c r="E122" s="2">
        <v>1</v>
      </c>
    </row>
    <row r="123" spans="1:5">
      <c r="A123" s="2">
        <v>122</v>
      </c>
      <c r="B123" s="2" t="s">
        <v>18</v>
      </c>
      <c r="C123" s="2" t="s">
        <v>18</v>
      </c>
      <c r="D123" s="2">
        <v>0</v>
      </c>
      <c r="E123" s="2">
        <v>1</v>
      </c>
    </row>
    <row r="124" spans="1:5">
      <c r="A124" s="2">
        <v>123</v>
      </c>
      <c r="B124" s="2" t="s">
        <v>18</v>
      </c>
      <c r="C124" s="2" t="s">
        <v>18</v>
      </c>
      <c r="D124" s="2">
        <v>0</v>
      </c>
      <c r="E124" s="2">
        <v>1</v>
      </c>
    </row>
    <row r="125" spans="1:5">
      <c r="A125" s="2">
        <v>124</v>
      </c>
      <c r="B125" s="2" t="s">
        <v>18</v>
      </c>
      <c r="C125" s="2" t="s">
        <v>18</v>
      </c>
      <c r="D125" s="2">
        <v>0</v>
      </c>
      <c r="E125" s="2">
        <v>1</v>
      </c>
    </row>
    <row r="126" spans="1:5">
      <c r="A126" s="2">
        <v>125</v>
      </c>
      <c r="B126" s="2" t="s">
        <v>18</v>
      </c>
      <c r="C126" s="2" t="s">
        <v>18</v>
      </c>
      <c r="D126" s="2">
        <v>0</v>
      </c>
      <c r="E126" s="2">
        <v>1</v>
      </c>
    </row>
    <row r="127" spans="1:5">
      <c r="A127" s="2">
        <v>126</v>
      </c>
      <c r="B127" s="2" t="s">
        <v>18</v>
      </c>
      <c r="C127" s="2" t="s">
        <v>18</v>
      </c>
      <c r="D127" s="2">
        <v>0</v>
      </c>
      <c r="E127" s="2">
        <v>1</v>
      </c>
    </row>
    <row r="128" spans="1:5">
      <c r="A128" s="2">
        <v>127</v>
      </c>
      <c r="B128" s="2" t="s">
        <v>18</v>
      </c>
      <c r="C128" s="2" t="s">
        <v>18</v>
      </c>
      <c r="D128" s="2">
        <v>0</v>
      </c>
      <c r="E128" s="2">
        <v>1</v>
      </c>
    </row>
    <row r="129" spans="1:5">
      <c r="A129" s="2">
        <v>128</v>
      </c>
      <c r="B129" s="2" t="s">
        <v>18</v>
      </c>
      <c r="C129" s="2" t="s">
        <v>18</v>
      </c>
      <c r="D129" s="2">
        <v>0</v>
      </c>
      <c r="E129" s="2">
        <v>1</v>
      </c>
    </row>
    <row r="130" spans="1:5">
      <c r="A130" s="2">
        <v>129</v>
      </c>
      <c r="B130" s="2" t="s">
        <v>18</v>
      </c>
      <c r="C130" s="2" t="s">
        <v>18</v>
      </c>
      <c r="D130" s="2">
        <v>0</v>
      </c>
      <c r="E130" s="2">
        <v>1</v>
      </c>
    </row>
    <row r="131" spans="1:5">
      <c r="A131" s="2">
        <v>130</v>
      </c>
      <c r="B131" s="2" t="s">
        <v>18</v>
      </c>
      <c r="C131" s="2" t="s">
        <v>18</v>
      </c>
      <c r="D131" s="2">
        <v>0</v>
      </c>
      <c r="E131" s="2">
        <v>1</v>
      </c>
    </row>
    <row r="132" spans="1:5">
      <c r="A132" s="2">
        <v>131</v>
      </c>
      <c r="B132" s="2" t="s">
        <v>18</v>
      </c>
      <c r="C132" s="2" t="s">
        <v>18</v>
      </c>
      <c r="D132" s="2">
        <v>0</v>
      </c>
      <c r="E132" s="2">
        <v>1</v>
      </c>
    </row>
    <row r="133" spans="1:5">
      <c r="A133" s="2">
        <v>132</v>
      </c>
      <c r="B133" s="2" t="s">
        <v>18</v>
      </c>
      <c r="C133" s="2" t="s">
        <v>18</v>
      </c>
      <c r="D133" s="2">
        <v>0</v>
      </c>
      <c r="E133" s="2">
        <v>1</v>
      </c>
    </row>
    <row r="134" spans="1:5">
      <c r="A134" s="2">
        <v>133</v>
      </c>
      <c r="B134" s="2" t="s">
        <v>18</v>
      </c>
      <c r="C134" s="2" t="s">
        <v>18</v>
      </c>
      <c r="D134" s="2">
        <v>0</v>
      </c>
      <c r="E134" s="2">
        <v>1</v>
      </c>
    </row>
    <row r="135" spans="1:5">
      <c r="A135" s="2">
        <v>134</v>
      </c>
      <c r="B135" s="2" t="s">
        <v>18</v>
      </c>
      <c r="C135" s="2" t="s">
        <v>18</v>
      </c>
      <c r="D135" s="2">
        <v>0</v>
      </c>
      <c r="E135" s="2">
        <v>1</v>
      </c>
    </row>
    <row r="136" spans="1:5">
      <c r="A136" s="2">
        <v>135</v>
      </c>
      <c r="B136" s="2" t="s">
        <v>18</v>
      </c>
      <c r="C136" s="2" t="s">
        <v>18</v>
      </c>
      <c r="D136" s="2">
        <v>0</v>
      </c>
      <c r="E136" s="2">
        <v>1</v>
      </c>
    </row>
    <row r="137" spans="1:5">
      <c r="A137" s="2">
        <v>136</v>
      </c>
      <c r="B137" s="2" t="s">
        <v>18</v>
      </c>
      <c r="C137" s="2" t="s">
        <v>18</v>
      </c>
      <c r="D137" s="2">
        <v>4.0000000000000001E-3</v>
      </c>
      <c r="E137" s="2">
        <v>0.996</v>
      </c>
    </row>
    <row r="138" spans="1:5">
      <c r="A138" s="2">
        <v>137</v>
      </c>
      <c r="B138" s="2" t="s">
        <v>18</v>
      </c>
      <c r="C138" s="2" t="s">
        <v>18</v>
      </c>
      <c r="D138" s="2">
        <v>0</v>
      </c>
      <c r="E138" s="2">
        <v>1</v>
      </c>
    </row>
    <row r="139" spans="1:5">
      <c r="A139" s="2">
        <v>138</v>
      </c>
      <c r="B139" s="2" t="s">
        <v>18</v>
      </c>
      <c r="C139" s="2" t="s">
        <v>18</v>
      </c>
      <c r="D139" s="2">
        <v>7.8E-2</v>
      </c>
      <c r="E139" s="2">
        <v>0.92200000000000004</v>
      </c>
    </row>
    <row r="140" spans="1:5">
      <c r="A140" s="2">
        <v>139</v>
      </c>
      <c r="B140" s="2" t="s">
        <v>18</v>
      </c>
      <c r="C140" s="2" t="s">
        <v>18</v>
      </c>
      <c r="D140" s="2">
        <v>0</v>
      </c>
      <c r="E140" s="2">
        <v>1</v>
      </c>
    </row>
    <row r="141" spans="1:5">
      <c r="A141" s="2">
        <v>140</v>
      </c>
      <c r="B141" s="2" t="s">
        <v>18</v>
      </c>
      <c r="C141" s="2" t="s">
        <v>18</v>
      </c>
      <c r="D141" s="2">
        <v>4.2000000000000003E-2</v>
      </c>
      <c r="E141" s="2">
        <v>0.95799999999999996</v>
      </c>
    </row>
    <row r="142" spans="1:5">
      <c r="A142" s="2">
        <v>141</v>
      </c>
      <c r="B142" s="2" t="s">
        <v>18</v>
      </c>
      <c r="C142" s="2" t="s">
        <v>18</v>
      </c>
      <c r="D142" s="2">
        <v>0</v>
      </c>
      <c r="E142" s="2">
        <v>1</v>
      </c>
    </row>
    <row r="143" spans="1:5">
      <c r="A143" s="2">
        <v>142</v>
      </c>
      <c r="B143" s="2" t="s">
        <v>18</v>
      </c>
      <c r="C143" s="2" t="s">
        <v>18</v>
      </c>
      <c r="D143" s="2">
        <v>0</v>
      </c>
      <c r="E143" s="2">
        <v>1</v>
      </c>
    </row>
    <row r="144" spans="1:5">
      <c r="A144" s="2">
        <v>143</v>
      </c>
      <c r="B144" s="2" t="s">
        <v>18</v>
      </c>
      <c r="C144" s="2" t="s">
        <v>18</v>
      </c>
      <c r="D144" s="2">
        <v>0</v>
      </c>
      <c r="E144" s="2">
        <v>1</v>
      </c>
    </row>
    <row r="145" spans="1:5">
      <c r="A145" s="2">
        <v>144</v>
      </c>
      <c r="B145" s="2" t="s">
        <v>18</v>
      </c>
      <c r="C145" s="2" t="s">
        <v>18</v>
      </c>
      <c r="D145" s="2">
        <v>0</v>
      </c>
      <c r="E145" s="2">
        <v>1</v>
      </c>
    </row>
    <row r="146" spans="1:5">
      <c r="A146" s="2">
        <v>145</v>
      </c>
      <c r="B146" s="2" t="s">
        <v>18</v>
      </c>
      <c r="C146" s="2" t="s">
        <v>18</v>
      </c>
      <c r="D146" s="2">
        <v>0</v>
      </c>
      <c r="E146" s="2">
        <v>1</v>
      </c>
    </row>
    <row r="147" spans="1:5">
      <c r="A147" s="2">
        <v>146</v>
      </c>
      <c r="B147" s="2" t="s">
        <v>18</v>
      </c>
      <c r="C147" s="2" t="s">
        <v>18</v>
      </c>
      <c r="D147" s="2">
        <v>0</v>
      </c>
      <c r="E147" s="2">
        <v>1</v>
      </c>
    </row>
    <row r="148" spans="1:5">
      <c r="A148" s="2">
        <v>147</v>
      </c>
      <c r="B148" s="2" t="s">
        <v>18</v>
      </c>
      <c r="C148" s="2" t="s">
        <v>18</v>
      </c>
      <c r="D148" s="2">
        <v>0</v>
      </c>
      <c r="E148" s="2">
        <v>1</v>
      </c>
    </row>
    <row r="149" spans="1:5">
      <c r="A149" s="2">
        <v>148</v>
      </c>
      <c r="B149" s="2" t="s">
        <v>18</v>
      </c>
      <c r="C149" s="2" t="s">
        <v>18</v>
      </c>
      <c r="D149" s="2">
        <v>0</v>
      </c>
      <c r="E149" s="2">
        <v>1</v>
      </c>
    </row>
    <row r="150" spans="1:5">
      <c r="A150" s="2">
        <v>149</v>
      </c>
      <c r="B150" s="2" t="s">
        <v>18</v>
      </c>
      <c r="C150" s="2" t="s">
        <v>18</v>
      </c>
      <c r="D150" s="2">
        <v>0</v>
      </c>
      <c r="E150" s="2">
        <v>1</v>
      </c>
    </row>
    <row r="151" spans="1:5">
      <c r="A151" s="2">
        <v>150</v>
      </c>
      <c r="B151" s="2" t="s">
        <v>56</v>
      </c>
      <c r="C151" s="2" t="s">
        <v>56</v>
      </c>
      <c r="D151" s="2">
        <v>1</v>
      </c>
      <c r="E151" s="2">
        <v>0</v>
      </c>
    </row>
    <row r="152" spans="1:5">
      <c r="A152" s="2">
        <v>151</v>
      </c>
      <c r="B152" s="2" t="s">
        <v>18</v>
      </c>
      <c r="C152" s="2" t="s">
        <v>18</v>
      </c>
      <c r="D152" s="2">
        <v>2E-3</v>
      </c>
      <c r="E152" s="2">
        <v>0.998</v>
      </c>
    </row>
    <row r="153" spans="1:5">
      <c r="A153" s="2">
        <v>152</v>
      </c>
      <c r="B153" s="2" t="s">
        <v>18</v>
      </c>
      <c r="C153" s="2" t="s">
        <v>18</v>
      </c>
      <c r="D153" s="2">
        <v>0</v>
      </c>
      <c r="E153" s="2">
        <v>1</v>
      </c>
    </row>
    <row r="154" spans="1:5">
      <c r="A154" s="2">
        <v>153</v>
      </c>
      <c r="B154" s="2" t="s">
        <v>18</v>
      </c>
      <c r="C154" s="2" t="s">
        <v>18</v>
      </c>
      <c r="D154" s="2">
        <v>0</v>
      </c>
      <c r="E154" s="2">
        <v>1</v>
      </c>
    </row>
    <row r="155" spans="1:5">
      <c r="A155" s="2">
        <v>154</v>
      </c>
      <c r="B155" s="2" t="s">
        <v>18</v>
      </c>
      <c r="C155" s="2" t="s">
        <v>18</v>
      </c>
      <c r="D155" s="2">
        <v>0</v>
      </c>
      <c r="E155" s="2">
        <v>1</v>
      </c>
    </row>
    <row r="156" spans="1:5">
      <c r="A156" s="2">
        <v>155</v>
      </c>
      <c r="B156" s="2" t="s">
        <v>18</v>
      </c>
      <c r="C156" s="2" t="s">
        <v>18</v>
      </c>
      <c r="D156" s="2">
        <v>0</v>
      </c>
      <c r="E156" s="2">
        <v>1</v>
      </c>
    </row>
    <row r="157" spans="1:5">
      <c r="A157" s="2">
        <v>156</v>
      </c>
      <c r="B157" s="2" t="s">
        <v>18</v>
      </c>
      <c r="C157" s="2" t="s">
        <v>18</v>
      </c>
      <c r="D157" s="2">
        <v>0</v>
      </c>
      <c r="E157" s="2">
        <v>1</v>
      </c>
    </row>
    <row r="158" spans="1:5">
      <c r="A158" s="2">
        <v>157</v>
      </c>
      <c r="B158" s="2" t="s">
        <v>18</v>
      </c>
      <c r="C158" s="2" t="s">
        <v>18</v>
      </c>
      <c r="D158" s="2">
        <v>0</v>
      </c>
      <c r="E158" s="2">
        <v>1</v>
      </c>
    </row>
    <row r="159" spans="1:5">
      <c r="A159" s="2">
        <v>158</v>
      </c>
      <c r="B159" s="2" t="s">
        <v>18</v>
      </c>
      <c r="C159" s="2" t="s">
        <v>18</v>
      </c>
      <c r="D159" s="2">
        <v>0</v>
      </c>
      <c r="E159" s="2">
        <v>1</v>
      </c>
    </row>
    <row r="160" spans="1:5">
      <c r="A160" s="2">
        <v>159</v>
      </c>
      <c r="B160" s="2" t="s">
        <v>18</v>
      </c>
      <c r="C160" s="2" t="s">
        <v>18</v>
      </c>
      <c r="D160" s="2">
        <v>0</v>
      </c>
      <c r="E160" s="2">
        <v>1</v>
      </c>
    </row>
    <row r="161" spans="1:5">
      <c r="A161" s="2">
        <v>160</v>
      </c>
      <c r="B161" s="2" t="s">
        <v>18</v>
      </c>
      <c r="C161" s="2" t="s">
        <v>18</v>
      </c>
      <c r="D161" s="2">
        <v>2.4E-2</v>
      </c>
      <c r="E161" s="2">
        <v>0.97599999999999998</v>
      </c>
    </row>
    <row r="162" spans="1:5">
      <c r="A162" s="2">
        <v>161</v>
      </c>
      <c r="B162" s="2" t="s">
        <v>18</v>
      </c>
      <c r="C162" s="2" t="s">
        <v>18</v>
      </c>
      <c r="D162" s="2">
        <v>0</v>
      </c>
      <c r="E162" s="2">
        <v>1</v>
      </c>
    </row>
    <row r="163" spans="1:5">
      <c r="A163" s="2">
        <v>162</v>
      </c>
      <c r="B163" s="2" t="s">
        <v>18</v>
      </c>
      <c r="C163" s="2" t="s">
        <v>18</v>
      </c>
      <c r="D163" s="2">
        <v>0</v>
      </c>
      <c r="E163" s="2">
        <v>1</v>
      </c>
    </row>
    <row r="164" spans="1:5">
      <c r="A164" s="2">
        <v>163</v>
      </c>
      <c r="B164" s="2" t="s">
        <v>18</v>
      </c>
      <c r="C164" s="2" t="s">
        <v>18</v>
      </c>
      <c r="D164" s="2">
        <v>0</v>
      </c>
      <c r="E164" s="2">
        <v>1</v>
      </c>
    </row>
    <row r="165" spans="1:5">
      <c r="A165" s="2">
        <v>164</v>
      </c>
      <c r="B165" s="2" t="s">
        <v>18</v>
      </c>
      <c r="C165" s="2" t="s">
        <v>18</v>
      </c>
      <c r="D165" s="2">
        <v>2.1999999999999999E-2</v>
      </c>
      <c r="E165" s="2">
        <v>0.97799999999999998</v>
      </c>
    </row>
    <row r="166" spans="1:5">
      <c r="A166" s="2">
        <v>165</v>
      </c>
      <c r="B166" s="2" t="s">
        <v>18</v>
      </c>
      <c r="C166" s="2" t="s">
        <v>18</v>
      </c>
      <c r="D166" s="2">
        <v>0</v>
      </c>
      <c r="E166" s="2">
        <v>1</v>
      </c>
    </row>
    <row r="167" spans="1:5">
      <c r="A167" s="2">
        <v>166</v>
      </c>
      <c r="B167" s="2" t="s">
        <v>18</v>
      </c>
      <c r="C167" s="2" t="s">
        <v>18</v>
      </c>
      <c r="D167" s="2">
        <v>0</v>
      </c>
      <c r="E167" s="2">
        <v>1</v>
      </c>
    </row>
    <row r="168" spans="1:5">
      <c r="A168" s="2">
        <v>167</v>
      </c>
      <c r="B168" s="2" t="s">
        <v>18</v>
      </c>
      <c r="C168" s="2" t="s">
        <v>18</v>
      </c>
      <c r="D168" s="2">
        <v>0</v>
      </c>
      <c r="E168" s="2">
        <v>1</v>
      </c>
    </row>
    <row r="169" spans="1:5">
      <c r="A169" s="2">
        <v>168</v>
      </c>
      <c r="B169" s="2" t="s">
        <v>18</v>
      </c>
      <c r="C169" s="2" t="s">
        <v>18</v>
      </c>
      <c r="D169" s="2">
        <v>0</v>
      </c>
      <c r="E169" s="2">
        <v>1</v>
      </c>
    </row>
    <row r="170" spans="1:5">
      <c r="A170" s="2">
        <v>169</v>
      </c>
      <c r="B170" s="2" t="s">
        <v>18</v>
      </c>
      <c r="C170" s="2" t="s">
        <v>18</v>
      </c>
      <c r="D170" s="2">
        <v>0</v>
      </c>
      <c r="E170" s="2">
        <v>1</v>
      </c>
    </row>
    <row r="171" spans="1:5">
      <c r="A171" s="2">
        <v>170</v>
      </c>
      <c r="B171" s="2" t="s">
        <v>18</v>
      </c>
      <c r="C171" s="2" t="s">
        <v>18</v>
      </c>
      <c r="D171" s="2">
        <v>0</v>
      </c>
      <c r="E171" s="2">
        <v>1</v>
      </c>
    </row>
    <row r="172" spans="1:5">
      <c r="A172" s="2">
        <v>171</v>
      </c>
      <c r="B172" s="2" t="s">
        <v>18</v>
      </c>
      <c r="C172" s="2" t="s">
        <v>18</v>
      </c>
      <c r="D172" s="2">
        <v>0</v>
      </c>
      <c r="E172" s="2">
        <v>1</v>
      </c>
    </row>
    <row r="173" spans="1:5">
      <c r="A173" s="2">
        <v>172</v>
      </c>
      <c r="B173" s="2" t="s">
        <v>18</v>
      </c>
      <c r="C173" s="2" t="s">
        <v>18</v>
      </c>
      <c r="D173" s="2">
        <v>0</v>
      </c>
      <c r="E173" s="2">
        <v>1</v>
      </c>
    </row>
    <row r="174" spans="1:5">
      <c r="A174" s="2">
        <v>173</v>
      </c>
      <c r="B174" s="2" t="s">
        <v>18</v>
      </c>
      <c r="C174" s="2" t="s">
        <v>18</v>
      </c>
      <c r="D174" s="2">
        <v>2.5999999999999999E-2</v>
      </c>
      <c r="E174" s="2">
        <v>0.97399999999999998</v>
      </c>
    </row>
    <row r="175" spans="1:5">
      <c r="A175" s="2">
        <v>174</v>
      </c>
      <c r="B175" s="2" t="s">
        <v>18</v>
      </c>
      <c r="C175" s="2" t="s">
        <v>18</v>
      </c>
      <c r="D175" s="2">
        <v>0</v>
      </c>
      <c r="E175" s="2">
        <v>1</v>
      </c>
    </row>
    <row r="176" spans="1:5">
      <c r="A176" s="2">
        <v>175</v>
      </c>
      <c r="B176" s="2" t="s">
        <v>18</v>
      </c>
      <c r="C176" s="2" t="s">
        <v>18</v>
      </c>
      <c r="D176" s="2">
        <v>0</v>
      </c>
      <c r="E176" s="2">
        <v>1</v>
      </c>
    </row>
    <row r="177" spans="1:5">
      <c r="A177" s="2">
        <v>176</v>
      </c>
      <c r="B177" s="2" t="s">
        <v>18</v>
      </c>
      <c r="C177" s="2" t="s">
        <v>18</v>
      </c>
      <c r="D177" s="2">
        <v>0</v>
      </c>
      <c r="E177" s="2">
        <v>1</v>
      </c>
    </row>
    <row r="178" spans="1:5">
      <c r="A178" s="2">
        <v>177</v>
      </c>
      <c r="B178" s="2" t="s">
        <v>18</v>
      </c>
      <c r="C178" s="2" t="s">
        <v>18</v>
      </c>
      <c r="D178" s="2">
        <v>0</v>
      </c>
      <c r="E178" s="2">
        <v>1</v>
      </c>
    </row>
    <row r="179" spans="1:5">
      <c r="A179" s="2">
        <v>178</v>
      </c>
      <c r="B179" s="2" t="s">
        <v>18</v>
      </c>
      <c r="C179" s="2" t="s">
        <v>18</v>
      </c>
      <c r="D179" s="2">
        <v>2E-3</v>
      </c>
      <c r="E179" s="2">
        <v>0.998</v>
      </c>
    </row>
    <row r="180" spans="1:5">
      <c r="A180" s="2">
        <v>179</v>
      </c>
      <c r="B180" s="2" t="s">
        <v>18</v>
      </c>
      <c r="C180" s="2" t="s">
        <v>18</v>
      </c>
      <c r="D180" s="2">
        <v>0</v>
      </c>
      <c r="E180" s="2">
        <v>1</v>
      </c>
    </row>
    <row r="181" spans="1:5">
      <c r="A181" s="2">
        <v>180</v>
      </c>
      <c r="B181" s="2" t="s">
        <v>18</v>
      </c>
      <c r="C181" s="2" t="s">
        <v>18</v>
      </c>
      <c r="D181" s="2">
        <v>0</v>
      </c>
      <c r="E181" s="2">
        <v>1</v>
      </c>
    </row>
    <row r="182" spans="1:5">
      <c r="A182" s="2">
        <v>181</v>
      </c>
      <c r="B182" s="2" t="s">
        <v>18</v>
      </c>
      <c r="C182" s="2" t="s">
        <v>18</v>
      </c>
      <c r="D182" s="2">
        <v>0</v>
      </c>
      <c r="E182" s="2">
        <v>1</v>
      </c>
    </row>
    <row r="183" spans="1:5">
      <c r="A183" s="2">
        <v>182</v>
      </c>
      <c r="B183" s="2" t="s">
        <v>18</v>
      </c>
      <c r="C183" s="2" t="s">
        <v>18</v>
      </c>
      <c r="D183" s="2">
        <v>0</v>
      </c>
      <c r="E183" s="2">
        <v>1</v>
      </c>
    </row>
    <row r="184" spans="1:5">
      <c r="A184" s="2">
        <v>183</v>
      </c>
      <c r="B184" s="2" t="s">
        <v>18</v>
      </c>
      <c r="C184" s="2" t="s">
        <v>18</v>
      </c>
      <c r="D184" s="2">
        <v>0</v>
      </c>
      <c r="E184" s="2">
        <v>1</v>
      </c>
    </row>
    <row r="185" spans="1:5">
      <c r="A185" s="2">
        <v>184</v>
      </c>
      <c r="B185" s="2" t="s">
        <v>18</v>
      </c>
      <c r="C185" s="2" t="s">
        <v>18</v>
      </c>
      <c r="D185" s="2">
        <v>0</v>
      </c>
      <c r="E185" s="2">
        <v>1</v>
      </c>
    </row>
    <row r="186" spans="1:5">
      <c r="A186" s="2">
        <v>185</v>
      </c>
      <c r="B186" s="2" t="s">
        <v>18</v>
      </c>
      <c r="C186" s="2" t="s">
        <v>18</v>
      </c>
      <c r="D186" s="2">
        <v>0</v>
      </c>
      <c r="E186" s="2">
        <v>1</v>
      </c>
    </row>
    <row r="187" spans="1:5">
      <c r="A187" s="2">
        <v>186</v>
      </c>
      <c r="B187" s="2" t="s">
        <v>18</v>
      </c>
      <c r="C187" s="2" t="s">
        <v>18</v>
      </c>
      <c r="D187" s="2">
        <v>0</v>
      </c>
      <c r="E187" s="2">
        <v>1</v>
      </c>
    </row>
    <row r="188" spans="1:5">
      <c r="A188" s="2">
        <v>187</v>
      </c>
      <c r="B188" s="2" t="s">
        <v>18</v>
      </c>
      <c r="C188" s="2" t="s">
        <v>18</v>
      </c>
      <c r="D188" s="2">
        <v>0</v>
      </c>
      <c r="E188" s="2">
        <v>1</v>
      </c>
    </row>
    <row r="189" spans="1:5">
      <c r="A189" s="2">
        <v>188</v>
      </c>
      <c r="B189" s="2" t="s">
        <v>18</v>
      </c>
      <c r="C189" s="2" t="s">
        <v>18</v>
      </c>
      <c r="D189" s="2">
        <v>0</v>
      </c>
      <c r="E189" s="2">
        <v>1</v>
      </c>
    </row>
    <row r="190" spans="1:5">
      <c r="A190" s="2">
        <v>189</v>
      </c>
      <c r="B190" s="2" t="s">
        <v>18</v>
      </c>
      <c r="C190" s="2" t="s">
        <v>18</v>
      </c>
      <c r="D190" s="2">
        <v>0</v>
      </c>
      <c r="E190" s="2">
        <v>1</v>
      </c>
    </row>
    <row r="191" spans="1:5">
      <c r="A191" s="2">
        <v>190</v>
      </c>
      <c r="B191" s="2" t="s">
        <v>18</v>
      </c>
      <c r="C191" s="2" t="s">
        <v>18</v>
      </c>
      <c r="D191" s="2">
        <v>0</v>
      </c>
      <c r="E191" s="2">
        <v>1</v>
      </c>
    </row>
    <row r="192" spans="1:5">
      <c r="A192" s="2">
        <v>191</v>
      </c>
      <c r="B192" s="2" t="s">
        <v>18</v>
      </c>
      <c r="C192" s="2" t="s">
        <v>18</v>
      </c>
      <c r="D192" s="2">
        <v>0</v>
      </c>
      <c r="E192" s="2">
        <v>1</v>
      </c>
    </row>
    <row r="193" spans="1:5">
      <c r="A193" s="2">
        <v>192</v>
      </c>
      <c r="B193" s="2" t="s">
        <v>18</v>
      </c>
      <c r="C193" s="2" t="s">
        <v>18</v>
      </c>
      <c r="D193" s="2">
        <v>0</v>
      </c>
      <c r="E193" s="2">
        <v>1</v>
      </c>
    </row>
    <row r="194" spans="1:5">
      <c r="A194" s="2">
        <v>193</v>
      </c>
      <c r="B194" s="2" t="s">
        <v>18</v>
      </c>
      <c r="C194" s="2" t="s">
        <v>18</v>
      </c>
      <c r="D194" s="2">
        <v>0</v>
      </c>
      <c r="E194" s="2">
        <v>1</v>
      </c>
    </row>
    <row r="195" spans="1:5">
      <c r="A195" s="2">
        <v>194</v>
      </c>
      <c r="B195" s="2" t="s">
        <v>18</v>
      </c>
      <c r="C195" s="2" t="s">
        <v>18</v>
      </c>
      <c r="D195" s="2">
        <v>0</v>
      </c>
      <c r="E195" s="2">
        <v>1</v>
      </c>
    </row>
    <row r="196" spans="1:5">
      <c r="A196" s="2">
        <v>195</v>
      </c>
      <c r="B196" s="2" t="s">
        <v>18</v>
      </c>
      <c r="C196" s="2" t="s">
        <v>18</v>
      </c>
      <c r="D196" s="2">
        <v>0</v>
      </c>
      <c r="E196" s="2">
        <v>1</v>
      </c>
    </row>
    <row r="197" spans="1:5">
      <c r="A197" s="2">
        <v>196</v>
      </c>
      <c r="B197" s="2" t="s">
        <v>18</v>
      </c>
      <c r="C197" s="2" t="s">
        <v>18</v>
      </c>
      <c r="D197" s="2">
        <v>0</v>
      </c>
      <c r="E197" s="2">
        <v>1</v>
      </c>
    </row>
    <row r="198" spans="1:5">
      <c r="A198" s="2">
        <v>197</v>
      </c>
      <c r="B198" s="2" t="s">
        <v>18</v>
      </c>
      <c r="C198" s="2" t="s">
        <v>18</v>
      </c>
      <c r="D198" s="2">
        <v>0</v>
      </c>
      <c r="E198" s="2">
        <v>1</v>
      </c>
    </row>
    <row r="199" spans="1:5">
      <c r="A199" s="2">
        <v>198</v>
      </c>
      <c r="B199" s="2" t="s">
        <v>18</v>
      </c>
      <c r="C199" s="2" t="s">
        <v>18</v>
      </c>
      <c r="D199" s="2">
        <v>0</v>
      </c>
      <c r="E199" s="2">
        <v>1</v>
      </c>
    </row>
    <row r="200" spans="1:5">
      <c r="A200" s="2">
        <v>199</v>
      </c>
      <c r="B200" s="2" t="s">
        <v>18</v>
      </c>
      <c r="C200" s="2" t="s">
        <v>18</v>
      </c>
      <c r="D200" s="2">
        <v>0</v>
      </c>
      <c r="E200" s="2">
        <v>1</v>
      </c>
    </row>
    <row r="201" spans="1:5">
      <c r="A201" s="2">
        <v>200</v>
      </c>
      <c r="B201" s="2" t="s">
        <v>18</v>
      </c>
      <c r="C201" s="2" t="s">
        <v>18</v>
      </c>
      <c r="D201" s="2">
        <v>0</v>
      </c>
      <c r="E201" s="2">
        <v>1</v>
      </c>
    </row>
    <row r="202" spans="1:5">
      <c r="A202" s="2">
        <v>201</v>
      </c>
      <c r="B202" s="2" t="s">
        <v>18</v>
      </c>
      <c r="C202" s="2" t="s">
        <v>18</v>
      </c>
      <c r="D202" s="2">
        <v>0</v>
      </c>
      <c r="E202" s="2">
        <v>1</v>
      </c>
    </row>
    <row r="203" spans="1:5">
      <c r="A203" s="2">
        <v>202</v>
      </c>
      <c r="B203" s="2" t="s">
        <v>18</v>
      </c>
      <c r="C203" s="2" t="s">
        <v>18</v>
      </c>
      <c r="D203" s="2">
        <v>4.0000000000000001E-3</v>
      </c>
      <c r="E203" s="2">
        <v>0.996</v>
      </c>
    </row>
    <row r="204" spans="1:5">
      <c r="A204" s="2">
        <v>203</v>
      </c>
      <c r="B204" s="2" t="s">
        <v>18</v>
      </c>
      <c r="C204" s="2" t="s">
        <v>18</v>
      </c>
      <c r="D204" s="2">
        <v>0</v>
      </c>
      <c r="E204" s="2">
        <v>1</v>
      </c>
    </row>
    <row r="205" spans="1:5">
      <c r="A205" s="2">
        <v>204</v>
      </c>
      <c r="B205" s="2" t="s">
        <v>18</v>
      </c>
      <c r="C205" s="2" t="s">
        <v>18</v>
      </c>
      <c r="D205" s="2">
        <v>0</v>
      </c>
      <c r="E205" s="2">
        <v>1</v>
      </c>
    </row>
    <row r="206" spans="1:5">
      <c r="A206" s="2">
        <v>205</v>
      </c>
      <c r="B206" s="2" t="s">
        <v>18</v>
      </c>
      <c r="C206" s="2" t="s">
        <v>18</v>
      </c>
      <c r="D206" s="2">
        <v>0</v>
      </c>
      <c r="E206" s="2">
        <v>1</v>
      </c>
    </row>
    <row r="207" spans="1:5">
      <c r="A207" s="2">
        <v>206</v>
      </c>
      <c r="B207" s="2" t="s">
        <v>18</v>
      </c>
      <c r="C207" s="2" t="s">
        <v>18</v>
      </c>
      <c r="D207" s="2">
        <v>0</v>
      </c>
      <c r="E207" s="2">
        <v>1</v>
      </c>
    </row>
    <row r="208" spans="1:5">
      <c r="A208" s="2">
        <v>207</v>
      </c>
      <c r="B208" s="2" t="s">
        <v>18</v>
      </c>
      <c r="C208" s="2" t="s">
        <v>18</v>
      </c>
      <c r="D208" s="2">
        <v>0</v>
      </c>
      <c r="E208" s="2">
        <v>1</v>
      </c>
    </row>
    <row r="209" spans="1:5">
      <c r="A209" s="2">
        <v>208</v>
      </c>
      <c r="B209" s="2" t="s">
        <v>18</v>
      </c>
      <c r="C209" s="2" t="s">
        <v>18</v>
      </c>
      <c r="D209" s="2">
        <v>0</v>
      </c>
      <c r="E209" s="2">
        <v>1</v>
      </c>
    </row>
    <row r="210" spans="1:5">
      <c r="A210" s="2">
        <v>209</v>
      </c>
      <c r="B210" s="2" t="s">
        <v>18</v>
      </c>
      <c r="C210" s="2" t="s">
        <v>18</v>
      </c>
      <c r="D210" s="2">
        <v>0</v>
      </c>
      <c r="E210" s="2">
        <v>1</v>
      </c>
    </row>
    <row r="211" spans="1:5">
      <c r="A211" s="2">
        <v>210</v>
      </c>
      <c r="B211" s="2" t="s">
        <v>18</v>
      </c>
      <c r="C211" s="2" t="s">
        <v>18</v>
      </c>
      <c r="D211" s="2">
        <v>0</v>
      </c>
      <c r="E211" s="2">
        <v>1</v>
      </c>
    </row>
    <row r="212" spans="1:5">
      <c r="A212" s="2">
        <v>211</v>
      </c>
      <c r="B212" s="2" t="s">
        <v>18</v>
      </c>
      <c r="C212" s="2" t="s">
        <v>18</v>
      </c>
      <c r="D212" s="2">
        <v>8.0000000000000002E-3</v>
      </c>
      <c r="E212" s="2">
        <v>0.99199999999999999</v>
      </c>
    </row>
    <row r="213" spans="1:5">
      <c r="A213" s="2">
        <v>212</v>
      </c>
      <c r="B213" s="2" t="s">
        <v>18</v>
      </c>
      <c r="C213" s="2" t="s">
        <v>18</v>
      </c>
      <c r="D213" s="2">
        <v>0</v>
      </c>
      <c r="E213" s="2">
        <v>1</v>
      </c>
    </row>
    <row r="214" spans="1:5">
      <c r="A214" s="2">
        <v>213</v>
      </c>
      <c r="B214" s="2" t="s">
        <v>18</v>
      </c>
      <c r="C214" s="2" t="s">
        <v>18</v>
      </c>
      <c r="D214" s="2">
        <v>0</v>
      </c>
      <c r="E214" s="2">
        <v>1</v>
      </c>
    </row>
    <row r="215" spans="1:5">
      <c r="A215" s="2">
        <v>214</v>
      </c>
      <c r="B215" s="2" t="s">
        <v>18</v>
      </c>
      <c r="C215" s="2" t="s">
        <v>18</v>
      </c>
      <c r="D215" s="2">
        <v>0</v>
      </c>
      <c r="E215" s="2">
        <v>1</v>
      </c>
    </row>
    <row r="216" spans="1:5">
      <c r="A216" s="2">
        <v>215</v>
      </c>
      <c r="B216" s="2" t="s">
        <v>18</v>
      </c>
      <c r="C216" s="2" t="s">
        <v>18</v>
      </c>
      <c r="D216" s="2">
        <v>0</v>
      </c>
      <c r="E216" s="2">
        <v>1</v>
      </c>
    </row>
    <row r="217" spans="1:5">
      <c r="A217" s="2">
        <v>216</v>
      </c>
      <c r="B217" s="2" t="s">
        <v>18</v>
      </c>
      <c r="C217" s="2" t="s">
        <v>18</v>
      </c>
      <c r="D217" s="2">
        <v>0</v>
      </c>
      <c r="E217" s="2">
        <v>1</v>
      </c>
    </row>
    <row r="218" spans="1:5">
      <c r="A218" s="2">
        <v>217</v>
      </c>
      <c r="B218" s="2" t="s">
        <v>18</v>
      </c>
      <c r="C218" s="2" t="s">
        <v>18</v>
      </c>
      <c r="D218" s="2">
        <v>0</v>
      </c>
      <c r="E218" s="2">
        <v>1</v>
      </c>
    </row>
    <row r="219" spans="1:5">
      <c r="A219" s="2">
        <v>218</v>
      </c>
      <c r="B219" s="2" t="s">
        <v>18</v>
      </c>
      <c r="C219" s="2" t="s">
        <v>18</v>
      </c>
      <c r="D219" s="2">
        <v>0</v>
      </c>
      <c r="E219" s="2">
        <v>1</v>
      </c>
    </row>
    <row r="220" spans="1:5">
      <c r="A220" s="2">
        <v>219</v>
      </c>
      <c r="B220" s="2" t="s">
        <v>18</v>
      </c>
      <c r="C220" s="2" t="s">
        <v>18</v>
      </c>
      <c r="D220" s="2">
        <v>2.4E-2</v>
      </c>
      <c r="E220" s="2">
        <v>0.97599999999999998</v>
      </c>
    </row>
    <row r="221" spans="1:5">
      <c r="A221" s="2">
        <v>220</v>
      </c>
      <c r="B221" s="2" t="s">
        <v>18</v>
      </c>
      <c r="C221" s="2" t="s">
        <v>18</v>
      </c>
      <c r="D221" s="2">
        <v>0</v>
      </c>
      <c r="E221" s="2">
        <v>1</v>
      </c>
    </row>
    <row r="222" spans="1:5">
      <c r="A222" s="2">
        <v>221</v>
      </c>
      <c r="B222" s="2" t="s">
        <v>18</v>
      </c>
      <c r="C222" s="2" t="s">
        <v>18</v>
      </c>
      <c r="D222" s="2">
        <v>0</v>
      </c>
      <c r="E222" s="2">
        <v>1</v>
      </c>
    </row>
    <row r="223" spans="1:5">
      <c r="A223" s="2">
        <v>222</v>
      </c>
      <c r="B223" s="2" t="s">
        <v>18</v>
      </c>
      <c r="C223" s="2" t="s">
        <v>18</v>
      </c>
      <c r="D223" s="2">
        <v>0</v>
      </c>
      <c r="E223" s="2">
        <v>1</v>
      </c>
    </row>
    <row r="224" spans="1:5">
      <c r="A224" s="2">
        <v>223</v>
      </c>
      <c r="B224" s="2" t="s">
        <v>18</v>
      </c>
      <c r="C224" s="2" t="s">
        <v>18</v>
      </c>
      <c r="D224" s="2">
        <v>0</v>
      </c>
      <c r="E224" s="2">
        <v>1</v>
      </c>
    </row>
    <row r="225" spans="1:5">
      <c r="A225" s="2">
        <v>224</v>
      </c>
      <c r="B225" s="2" t="s">
        <v>18</v>
      </c>
      <c r="C225" s="2" t="s">
        <v>18</v>
      </c>
      <c r="D225" s="2">
        <v>0</v>
      </c>
      <c r="E225" s="2">
        <v>1</v>
      </c>
    </row>
    <row r="226" spans="1:5">
      <c r="A226" s="2">
        <v>225</v>
      </c>
      <c r="B226" s="2" t="s">
        <v>18</v>
      </c>
      <c r="C226" s="2" t="s">
        <v>18</v>
      </c>
      <c r="D226" s="2">
        <v>0</v>
      </c>
      <c r="E226" s="2">
        <v>1</v>
      </c>
    </row>
    <row r="227" spans="1:5">
      <c r="A227" s="2">
        <v>226</v>
      </c>
      <c r="B227" s="2" t="s">
        <v>18</v>
      </c>
      <c r="C227" s="2" t="s">
        <v>18</v>
      </c>
      <c r="D227" s="2">
        <v>0</v>
      </c>
      <c r="E227" s="2">
        <v>1</v>
      </c>
    </row>
    <row r="228" spans="1:5">
      <c r="A228" s="2">
        <v>227</v>
      </c>
      <c r="B228" s="2" t="s">
        <v>18</v>
      </c>
      <c r="C228" s="2" t="s">
        <v>18</v>
      </c>
      <c r="D228" s="2">
        <v>0</v>
      </c>
      <c r="E228" s="2">
        <v>1</v>
      </c>
    </row>
    <row r="229" spans="1:5">
      <c r="A229" s="2">
        <v>228</v>
      </c>
      <c r="B229" s="2" t="s">
        <v>18</v>
      </c>
      <c r="C229" s="2" t="s">
        <v>18</v>
      </c>
      <c r="D229" s="2">
        <v>0</v>
      </c>
      <c r="E229" s="2">
        <v>1</v>
      </c>
    </row>
    <row r="230" spans="1:5">
      <c r="A230" s="2">
        <v>229</v>
      </c>
      <c r="B230" s="2" t="s">
        <v>18</v>
      </c>
      <c r="C230" s="2" t="s">
        <v>18</v>
      </c>
      <c r="D230" s="2">
        <v>0</v>
      </c>
      <c r="E230" s="2">
        <v>1</v>
      </c>
    </row>
    <row r="231" spans="1:5">
      <c r="A231" s="2">
        <v>230</v>
      </c>
      <c r="B231" s="2" t="s">
        <v>18</v>
      </c>
      <c r="C231" s="2" t="s">
        <v>18</v>
      </c>
      <c r="D231" s="2">
        <v>0</v>
      </c>
      <c r="E231" s="2">
        <v>1</v>
      </c>
    </row>
    <row r="232" spans="1:5">
      <c r="A232" s="2">
        <v>231</v>
      </c>
      <c r="B232" s="2" t="s">
        <v>18</v>
      </c>
      <c r="C232" s="2" t="s">
        <v>18</v>
      </c>
      <c r="D232" s="2">
        <v>0</v>
      </c>
      <c r="E232" s="2">
        <v>1</v>
      </c>
    </row>
    <row r="233" spans="1:5">
      <c r="A233" s="2">
        <v>232</v>
      </c>
      <c r="B233" s="2" t="s">
        <v>18</v>
      </c>
      <c r="C233" s="2" t="s">
        <v>18</v>
      </c>
      <c r="D233" s="2">
        <v>0</v>
      </c>
      <c r="E233" s="2">
        <v>1</v>
      </c>
    </row>
    <row r="234" spans="1:5">
      <c r="A234" s="2">
        <v>233</v>
      </c>
      <c r="B234" s="2" t="s">
        <v>18</v>
      </c>
      <c r="C234" s="2" t="s">
        <v>18</v>
      </c>
      <c r="D234" s="2">
        <v>0</v>
      </c>
      <c r="E234" s="2">
        <v>1</v>
      </c>
    </row>
    <row r="235" spans="1:5">
      <c r="A235" s="2">
        <v>234</v>
      </c>
      <c r="B235" s="2" t="s">
        <v>18</v>
      </c>
      <c r="C235" s="2" t="s">
        <v>18</v>
      </c>
      <c r="D235" s="2">
        <v>0</v>
      </c>
      <c r="E235" s="2">
        <v>1</v>
      </c>
    </row>
    <row r="236" spans="1:5">
      <c r="A236" s="2">
        <v>235</v>
      </c>
      <c r="B236" s="2" t="s">
        <v>18</v>
      </c>
      <c r="C236" s="2" t="s">
        <v>18</v>
      </c>
      <c r="D236" s="2">
        <v>0</v>
      </c>
      <c r="E236" s="2">
        <v>1</v>
      </c>
    </row>
    <row r="237" spans="1:5">
      <c r="A237" s="2">
        <v>236</v>
      </c>
      <c r="B237" s="2" t="s">
        <v>18</v>
      </c>
      <c r="C237" s="2" t="s">
        <v>18</v>
      </c>
      <c r="D237" s="2">
        <v>0</v>
      </c>
      <c r="E237" s="2">
        <v>1</v>
      </c>
    </row>
    <row r="238" spans="1:5">
      <c r="A238" s="2">
        <v>237</v>
      </c>
      <c r="B238" s="2" t="s">
        <v>18</v>
      </c>
      <c r="C238" s="2" t="s">
        <v>18</v>
      </c>
      <c r="D238" s="2">
        <v>0</v>
      </c>
      <c r="E238" s="2">
        <v>1</v>
      </c>
    </row>
    <row r="239" spans="1:5">
      <c r="A239" s="2">
        <v>238</v>
      </c>
      <c r="B239" s="2" t="s">
        <v>18</v>
      </c>
      <c r="C239" s="2" t="s">
        <v>18</v>
      </c>
      <c r="D239" s="2">
        <v>0</v>
      </c>
      <c r="E239" s="2">
        <v>1</v>
      </c>
    </row>
    <row r="240" spans="1:5">
      <c r="A240" s="2">
        <v>239</v>
      </c>
      <c r="B240" s="2" t="s">
        <v>18</v>
      </c>
      <c r="C240" s="2" t="s">
        <v>18</v>
      </c>
      <c r="D240" s="2">
        <v>0</v>
      </c>
      <c r="E240" s="2">
        <v>1</v>
      </c>
    </row>
    <row r="241" spans="1:5">
      <c r="A241" s="2">
        <v>240</v>
      </c>
      <c r="B241" s="2" t="s">
        <v>18</v>
      </c>
      <c r="C241" s="2" t="s">
        <v>18</v>
      </c>
      <c r="D241" s="2">
        <v>0</v>
      </c>
      <c r="E241" s="2">
        <v>1</v>
      </c>
    </row>
    <row r="242" spans="1:5">
      <c r="A242" s="2">
        <v>241</v>
      </c>
      <c r="B242" s="2" t="s">
        <v>18</v>
      </c>
      <c r="C242" s="2" t="s">
        <v>18</v>
      </c>
      <c r="D242" s="2">
        <v>0</v>
      </c>
      <c r="E242" s="2">
        <v>1</v>
      </c>
    </row>
    <row r="243" spans="1:5">
      <c r="A243" s="2">
        <v>242</v>
      </c>
      <c r="B243" s="2" t="s">
        <v>18</v>
      </c>
      <c r="C243" s="2" t="s">
        <v>18</v>
      </c>
      <c r="D243" s="2">
        <v>0</v>
      </c>
      <c r="E243" s="2">
        <v>1</v>
      </c>
    </row>
    <row r="244" spans="1:5">
      <c r="A244" s="2">
        <v>243</v>
      </c>
      <c r="B244" s="2" t="s">
        <v>18</v>
      </c>
      <c r="C244" s="2" t="s">
        <v>18</v>
      </c>
      <c r="D244" s="2">
        <v>0</v>
      </c>
      <c r="E244" s="2">
        <v>1</v>
      </c>
    </row>
    <row r="245" spans="1:5">
      <c r="A245" s="2">
        <v>244</v>
      </c>
      <c r="B245" s="2" t="s">
        <v>18</v>
      </c>
      <c r="C245" s="2" t="s">
        <v>18</v>
      </c>
      <c r="D245" s="2">
        <v>0</v>
      </c>
      <c r="E245" s="2">
        <v>1</v>
      </c>
    </row>
    <row r="246" spans="1:5">
      <c r="A246" s="2">
        <v>245</v>
      </c>
      <c r="B246" s="2" t="s">
        <v>18</v>
      </c>
      <c r="C246" s="2" t="s">
        <v>18</v>
      </c>
      <c r="D246" s="2">
        <v>0</v>
      </c>
      <c r="E246" s="2">
        <v>1</v>
      </c>
    </row>
    <row r="247" spans="1:5">
      <c r="A247" s="2">
        <v>246</v>
      </c>
      <c r="B247" s="2" t="s">
        <v>18</v>
      </c>
      <c r="C247" s="2" t="s">
        <v>18</v>
      </c>
      <c r="D247" s="2">
        <v>0</v>
      </c>
      <c r="E247" s="2">
        <v>1</v>
      </c>
    </row>
    <row r="248" spans="1:5">
      <c r="A248" s="2">
        <v>247</v>
      </c>
      <c r="B248" s="2" t="s">
        <v>18</v>
      </c>
      <c r="C248" s="2" t="s">
        <v>18</v>
      </c>
      <c r="D248" s="2">
        <v>0</v>
      </c>
      <c r="E248" s="2">
        <v>1</v>
      </c>
    </row>
    <row r="249" spans="1:5">
      <c r="A249" s="2">
        <v>248</v>
      </c>
      <c r="B249" s="2" t="s">
        <v>18</v>
      </c>
      <c r="C249" s="2" t="s">
        <v>18</v>
      </c>
      <c r="D249" s="2">
        <v>0</v>
      </c>
      <c r="E249" s="2">
        <v>1</v>
      </c>
    </row>
    <row r="250" spans="1:5">
      <c r="A250" s="2">
        <v>249</v>
      </c>
      <c r="B250" s="2" t="s">
        <v>18</v>
      </c>
      <c r="C250" s="2" t="s">
        <v>18</v>
      </c>
      <c r="D250" s="2">
        <v>1.2E-2</v>
      </c>
      <c r="E250" s="2">
        <v>0.98799999999999999</v>
      </c>
    </row>
    <row r="251" spans="1:5">
      <c r="A251" s="2">
        <v>250</v>
      </c>
      <c r="B251" s="2" t="s">
        <v>18</v>
      </c>
      <c r="C251" s="2" t="s">
        <v>18</v>
      </c>
      <c r="D251" s="2">
        <v>0</v>
      </c>
      <c r="E251" s="2">
        <v>1</v>
      </c>
    </row>
    <row r="252" spans="1:5">
      <c r="A252" s="2">
        <v>251</v>
      </c>
      <c r="B252" s="2" t="s">
        <v>18</v>
      </c>
      <c r="C252" s="2" t="s">
        <v>18</v>
      </c>
      <c r="D252" s="2">
        <v>0</v>
      </c>
      <c r="E252" s="2">
        <v>1</v>
      </c>
    </row>
    <row r="253" spans="1:5">
      <c r="A253" s="2">
        <v>252</v>
      </c>
      <c r="B253" s="2" t="s">
        <v>18</v>
      </c>
      <c r="C253" s="2" t="s">
        <v>18</v>
      </c>
      <c r="D253" s="2">
        <v>0</v>
      </c>
      <c r="E253" s="2">
        <v>1</v>
      </c>
    </row>
    <row r="254" spans="1:5">
      <c r="A254" s="2">
        <v>253</v>
      </c>
      <c r="B254" s="2" t="s">
        <v>18</v>
      </c>
      <c r="C254" s="2" t="s">
        <v>18</v>
      </c>
      <c r="D254" s="2">
        <v>0</v>
      </c>
      <c r="E254" s="2">
        <v>1</v>
      </c>
    </row>
    <row r="255" spans="1:5">
      <c r="A255" s="2">
        <v>254</v>
      </c>
      <c r="B255" s="2" t="s">
        <v>18</v>
      </c>
      <c r="C255" s="2" t="s">
        <v>18</v>
      </c>
      <c r="D255" s="2">
        <v>0</v>
      </c>
      <c r="E255" s="2">
        <v>1</v>
      </c>
    </row>
    <row r="256" spans="1:5">
      <c r="A256" s="2">
        <v>255</v>
      </c>
      <c r="B256" s="2" t="s">
        <v>18</v>
      </c>
      <c r="C256" s="2" t="s">
        <v>18</v>
      </c>
      <c r="D256" s="2">
        <v>0</v>
      </c>
      <c r="E256" s="2">
        <v>1</v>
      </c>
    </row>
    <row r="257" spans="1:5">
      <c r="A257" s="2">
        <v>256</v>
      </c>
      <c r="B257" s="2" t="s">
        <v>18</v>
      </c>
      <c r="C257" s="2" t="s">
        <v>18</v>
      </c>
      <c r="D257" s="2">
        <v>0</v>
      </c>
      <c r="E257" s="2">
        <v>1</v>
      </c>
    </row>
    <row r="258" spans="1:5">
      <c r="A258" s="2">
        <v>257</v>
      </c>
      <c r="B258" s="2" t="s">
        <v>18</v>
      </c>
      <c r="C258" s="2" t="s">
        <v>18</v>
      </c>
      <c r="D258" s="2">
        <v>2E-3</v>
      </c>
      <c r="E258" s="2">
        <v>0.998</v>
      </c>
    </row>
    <row r="259" spans="1:5">
      <c r="A259" s="2">
        <v>258</v>
      </c>
      <c r="B259" s="2" t="s">
        <v>18</v>
      </c>
      <c r="C259" s="2" t="s">
        <v>18</v>
      </c>
      <c r="D259" s="2">
        <v>0</v>
      </c>
      <c r="E259" s="2">
        <v>1</v>
      </c>
    </row>
    <row r="260" spans="1:5">
      <c r="A260" s="2">
        <v>259</v>
      </c>
      <c r="B260" s="2" t="s">
        <v>18</v>
      </c>
      <c r="C260" s="2" t="s">
        <v>18</v>
      </c>
      <c r="D260" s="2">
        <v>0</v>
      </c>
      <c r="E260" s="2">
        <v>1</v>
      </c>
    </row>
    <row r="261" spans="1:5">
      <c r="A261" s="2">
        <v>260</v>
      </c>
      <c r="B261" s="2" t="s">
        <v>18</v>
      </c>
      <c r="C261" s="2" t="s">
        <v>18</v>
      </c>
      <c r="D261" s="2">
        <v>0</v>
      </c>
      <c r="E261" s="2">
        <v>1</v>
      </c>
    </row>
    <row r="262" spans="1:5">
      <c r="A262" s="2">
        <v>261</v>
      </c>
      <c r="B262" s="2" t="s">
        <v>18</v>
      </c>
      <c r="C262" s="2" t="s">
        <v>18</v>
      </c>
      <c r="D262" s="2">
        <v>0</v>
      </c>
      <c r="E262" s="2">
        <v>1</v>
      </c>
    </row>
    <row r="263" spans="1:5">
      <c r="A263" s="2">
        <v>262</v>
      </c>
      <c r="B263" s="2" t="s">
        <v>18</v>
      </c>
      <c r="C263" s="2" t="s">
        <v>18</v>
      </c>
      <c r="D263" s="2">
        <v>0</v>
      </c>
      <c r="E263" s="2">
        <v>1</v>
      </c>
    </row>
    <row r="264" spans="1:5">
      <c r="A264" s="2">
        <v>263</v>
      </c>
      <c r="B264" s="2" t="s">
        <v>18</v>
      </c>
      <c r="C264" s="2" t="s">
        <v>18</v>
      </c>
      <c r="D264" s="2">
        <v>0</v>
      </c>
      <c r="E264" s="2">
        <v>1</v>
      </c>
    </row>
    <row r="265" spans="1:5">
      <c r="A265" s="2">
        <v>264</v>
      </c>
      <c r="B265" s="2" t="s">
        <v>18</v>
      </c>
      <c r="C265" s="2" t="s">
        <v>18</v>
      </c>
      <c r="D265" s="2">
        <v>0</v>
      </c>
      <c r="E265" s="2">
        <v>1</v>
      </c>
    </row>
    <row r="266" spans="1:5">
      <c r="A266" s="2">
        <v>265</v>
      </c>
      <c r="B266" s="2" t="s">
        <v>18</v>
      </c>
      <c r="C266" s="2" t="s">
        <v>18</v>
      </c>
      <c r="D266" s="2">
        <v>0</v>
      </c>
      <c r="E266" s="2">
        <v>1</v>
      </c>
    </row>
    <row r="267" spans="1:5">
      <c r="A267" s="2">
        <v>266</v>
      </c>
      <c r="B267" s="2" t="s">
        <v>18</v>
      </c>
      <c r="C267" s="2" t="s">
        <v>18</v>
      </c>
      <c r="D267" s="2">
        <v>0</v>
      </c>
      <c r="E267" s="2">
        <v>1</v>
      </c>
    </row>
    <row r="268" spans="1:5">
      <c r="A268" s="2">
        <v>267</v>
      </c>
      <c r="B268" s="2" t="s">
        <v>18</v>
      </c>
      <c r="C268" s="2" t="s">
        <v>18</v>
      </c>
      <c r="D268" s="2">
        <v>0</v>
      </c>
      <c r="E268" s="2">
        <v>1</v>
      </c>
    </row>
    <row r="269" spans="1:5">
      <c r="A269" s="2">
        <v>268</v>
      </c>
      <c r="B269" s="2" t="s">
        <v>18</v>
      </c>
      <c r="C269" s="2" t="s">
        <v>18</v>
      </c>
      <c r="D269" s="2">
        <v>0</v>
      </c>
      <c r="E269" s="2">
        <v>1</v>
      </c>
    </row>
    <row r="270" spans="1:5">
      <c r="A270" s="2">
        <v>269</v>
      </c>
      <c r="B270" s="2" t="s">
        <v>18</v>
      </c>
      <c r="C270" s="2" t="s">
        <v>18</v>
      </c>
      <c r="D270" s="2">
        <v>0</v>
      </c>
      <c r="E270" s="2">
        <v>1</v>
      </c>
    </row>
    <row r="271" spans="1:5">
      <c r="A271" s="2">
        <v>270</v>
      </c>
      <c r="B271" s="2" t="s">
        <v>18</v>
      </c>
      <c r="C271" s="2" t="s">
        <v>18</v>
      </c>
      <c r="D271" s="2">
        <v>0</v>
      </c>
      <c r="E271" s="2">
        <v>1</v>
      </c>
    </row>
    <row r="272" spans="1:5">
      <c r="A272" s="2">
        <v>271</v>
      </c>
      <c r="B272" s="2" t="s">
        <v>18</v>
      </c>
      <c r="C272" s="2" t="s">
        <v>18</v>
      </c>
      <c r="D272" s="2">
        <v>0</v>
      </c>
      <c r="E272" s="2">
        <v>1</v>
      </c>
    </row>
    <row r="273" spans="1:5">
      <c r="A273" s="2">
        <v>272</v>
      </c>
      <c r="B273" s="2" t="s">
        <v>18</v>
      </c>
      <c r="C273" s="2" t="s">
        <v>18</v>
      </c>
      <c r="D273" s="2">
        <v>0</v>
      </c>
      <c r="E273" s="2">
        <v>1</v>
      </c>
    </row>
    <row r="274" spans="1:5">
      <c r="A274" s="2">
        <v>273</v>
      </c>
      <c r="B274" s="2" t="s">
        <v>18</v>
      </c>
      <c r="C274" s="2" t="s">
        <v>18</v>
      </c>
      <c r="D274" s="2">
        <v>0</v>
      </c>
      <c r="E274" s="2">
        <v>1</v>
      </c>
    </row>
    <row r="275" spans="1:5">
      <c r="A275" s="2">
        <v>274</v>
      </c>
      <c r="B275" s="2" t="s">
        <v>18</v>
      </c>
      <c r="C275" s="2" t="s">
        <v>18</v>
      </c>
      <c r="D275" s="2">
        <v>0</v>
      </c>
      <c r="E275" s="2">
        <v>1</v>
      </c>
    </row>
    <row r="276" spans="1:5">
      <c r="A276" s="2">
        <v>275</v>
      </c>
      <c r="B276" s="2" t="s">
        <v>18</v>
      </c>
      <c r="C276" s="2" t="s">
        <v>18</v>
      </c>
      <c r="D276" s="2">
        <v>0</v>
      </c>
      <c r="E276" s="2">
        <v>1</v>
      </c>
    </row>
    <row r="277" spans="1:5">
      <c r="A277" s="2">
        <v>276</v>
      </c>
      <c r="B277" s="2" t="s">
        <v>18</v>
      </c>
      <c r="C277" s="2" t="s">
        <v>18</v>
      </c>
      <c r="D277" s="2">
        <v>8.0000000000000002E-3</v>
      </c>
      <c r="E277" s="2">
        <v>0.99199999999999999</v>
      </c>
    </row>
    <row r="278" spans="1:5">
      <c r="A278" s="2">
        <v>277</v>
      </c>
      <c r="B278" s="2" t="s">
        <v>18</v>
      </c>
      <c r="C278" s="2" t="s">
        <v>18</v>
      </c>
      <c r="D278" s="2">
        <v>0</v>
      </c>
      <c r="E278" s="2">
        <v>1</v>
      </c>
    </row>
    <row r="279" spans="1:5">
      <c r="A279" s="2">
        <v>278</v>
      </c>
      <c r="B279" s="2" t="s">
        <v>18</v>
      </c>
      <c r="C279" s="2" t="s">
        <v>18</v>
      </c>
      <c r="D279" s="2">
        <v>0</v>
      </c>
      <c r="E279" s="2">
        <v>1</v>
      </c>
    </row>
    <row r="280" spans="1:5">
      <c r="A280" s="2">
        <v>279</v>
      </c>
      <c r="B280" s="2" t="s">
        <v>18</v>
      </c>
      <c r="C280" s="2" t="s">
        <v>18</v>
      </c>
      <c r="D280" s="2">
        <v>0</v>
      </c>
      <c r="E280" s="2">
        <v>1</v>
      </c>
    </row>
    <row r="281" spans="1:5">
      <c r="A281" s="2">
        <v>280</v>
      </c>
      <c r="B281" s="2" t="s">
        <v>18</v>
      </c>
      <c r="C281" s="2" t="s">
        <v>18</v>
      </c>
      <c r="D281" s="2">
        <v>0</v>
      </c>
      <c r="E281" s="2">
        <v>1</v>
      </c>
    </row>
    <row r="282" spans="1:5">
      <c r="A282" s="2">
        <v>281</v>
      </c>
      <c r="B282" s="2" t="s">
        <v>18</v>
      </c>
      <c r="C282" s="2" t="s">
        <v>18</v>
      </c>
      <c r="D282" s="2">
        <v>0</v>
      </c>
      <c r="E282" s="2">
        <v>1</v>
      </c>
    </row>
    <row r="283" spans="1:5">
      <c r="A283" s="2">
        <v>282</v>
      </c>
      <c r="B283" s="2" t="s">
        <v>18</v>
      </c>
      <c r="C283" s="2" t="s">
        <v>18</v>
      </c>
      <c r="D283" s="2">
        <v>0</v>
      </c>
      <c r="E283" s="2">
        <v>1</v>
      </c>
    </row>
    <row r="284" spans="1:5">
      <c r="A284" s="2">
        <v>283</v>
      </c>
      <c r="B284" s="2" t="s">
        <v>18</v>
      </c>
      <c r="C284" s="2" t="s">
        <v>18</v>
      </c>
      <c r="D284" s="2">
        <v>0</v>
      </c>
      <c r="E284" s="2">
        <v>1</v>
      </c>
    </row>
    <row r="285" spans="1:5">
      <c r="A285" s="2">
        <v>284</v>
      </c>
      <c r="B285" s="2" t="s">
        <v>18</v>
      </c>
      <c r="C285" s="2" t="s">
        <v>18</v>
      </c>
      <c r="D285" s="2">
        <v>0</v>
      </c>
      <c r="E285" s="2">
        <v>1</v>
      </c>
    </row>
    <row r="286" spans="1:5">
      <c r="A286" s="2">
        <v>285</v>
      </c>
      <c r="B286" s="2" t="s">
        <v>18</v>
      </c>
      <c r="C286" s="2" t="s">
        <v>18</v>
      </c>
      <c r="D286" s="2">
        <v>0</v>
      </c>
      <c r="E286" s="2">
        <v>1</v>
      </c>
    </row>
    <row r="287" spans="1:5">
      <c r="A287" s="2">
        <v>286</v>
      </c>
      <c r="B287" s="2" t="s">
        <v>18</v>
      </c>
      <c r="C287" s="2" t="s">
        <v>18</v>
      </c>
      <c r="D287" s="2">
        <v>2E-3</v>
      </c>
      <c r="E287" s="2">
        <v>0.998</v>
      </c>
    </row>
    <row r="288" spans="1:5">
      <c r="A288" s="2">
        <v>287</v>
      </c>
      <c r="B288" s="2" t="s">
        <v>18</v>
      </c>
      <c r="C288" s="2" t="s">
        <v>18</v>
      </c>
      <c r="D288" s="2">
        <v>0</v>
      </c>
      <c r="E288" s="2">
        <v>1</v>
      </c>
    </row>
    <row r="289" spans="1:5">
      <c r="A289" s="2">
        <v>288</v>
      </c>
      <c r="B289" s="2" t="s">
        <v>18</v>
      </c>
      <c r="C289" s="2" t="s">
        <v>18</v>
      </c>
      <c r="D289" s="2">
        <v>0</v>
      </c>
      <c r="E289" s="2">
        <v>1</v>
      </c>
    </row>
    <row r="290" spans="1:5">
      <c r="A290" s="2">
        <v>289</v>
      </c>
      <c r="B290" s="2" t="s">
        <v>18</v>
      </c>
      <c r="C290" s="2" t="s">
        <v>18</v>
      </c>
      <c r="D290" s="2">
        <v>0</v>
      </c>
      <c r="E290" s="2">
        <v>1</v>
      </c>
    </row>
    <row r="291" spans="1:5">
      <c r="A291" s="2">
        <v>290</v>
      </c>
      <c r="B291" s="2" t="s">
        <v>18</v>
      </c>
      <c r="C291" s="2" t="s">
        <v>18</v>
      </c>
      <c r="D291" s="2">
        <v>0</v>
      </c>
      <c r="E291" s="2">
        <v>1</v>
      </c>
    </row>
    <row r="292" spans="1:5">
      <c r="A292" s="2">
        <v>291</v>
      </c>
      <c r="B292" s="2" t="s">
        <v>18</v>
      </c>
      <c r="C292" s="2" t="s">
        <v>18</v>
      </c>
      <c r="D292" s="2">
        <v>0</v>
      </c>
      <c r="E292" s="2">
        <v>1</v>
      </c>
    </row>
    <row r="293" spans="1:5">
      <c r="A293" s="2">
        <v>292</v>
      </c>
      <c r="B293" s="2" t="s">
        <v>18</v>
      </c>
      <c r="C293" s="2" t="s">
        <v>18</v>
      </c>
      <c r="D293" s="2">
        <v>0</v>
      </c>
      <c r="E293" s="2">
        <v>1</v>
      </c>
    </row>
    <row r="294" spans="1:5">
      <c r="A294" s="2">
        <v>293</v>
      </c>
      <c r="B294" s="2" t="s">
        <v>18</v>
      </c>
      <c r="C294" s="2" t="s">
        <v>18</v>
      </c>
      <c r="D294" s="2">
        <v>0</v>
      </c>
      <c r="E294" s="2">
        <v>1</v>
      </c>
    </row>
    <row r="295" spans="1:5">
      <c r="A295" s="2">
        <v>294</v>
      </c>
      <c r="B295" s="2" t="s">
        <v>18</v>
      </c>
      <c r="C295" s="2" t="s">
        <v>18</v>
      </c>
      <c r="D295" s="2">
        <v>0</v>
      </c>
      <c r="E295" s="2">
        <v>1</v>
      </c>
    </row>
    <row r="296" spans="1:5">
      <c r="A296" s="2">
        <v>295</v>
      </c>
      <c r="B296" s="2" t="s">
        <v>18</v>
      </c>
      <c r="C296" s="2" t="s">
        <v>18</v>
      </c>
      <c r="D296" s="2">
        <v>0</v>
      </c>
      <c r="E296" s="2">
        <v>1</v>
      </c>
    </row>
    <row r="297" spans="1:5">
      <c r="A297" s="2">
        <v>296</v>
      </c>
      <c r="B297" s="2" t="s">
        <v>18</v>
      </c>
      <c r="C297" s="2" t="s">
        <v>18</v>
      </c>
      <c r="D297" s="2">
        <v>0</v>
      </c>
      <c r="E297" s="2">
        <v>1</v>
      </c>
    </row>
    <row r="298" spans="1:5">
      <c r="A298" s="2">
        <v>297</v>
      </c>
      <c r="B298" s="2" t="s">
        <v>18</v>
      </c>
      <c r="C298" s="2" t="s">
        <v>18</v>
      </c>
      <c r="D298" s="2">
        <v>0</v>
      </c>
      <c r="E298" s="2">
        <v>1</v>
      </c>
    </row>
    <row r="299" spans="1:5">
      <c r="A299" s="2">
        <v>298</v>
      </c>
      <c r="B299" s="2" t="s">
        <v>18</v>
      </c>
      <c r="C299" s="2" t="s">
        <v>18</v>
      </c>
      <c r="D299" s="2">
        <v>0</v>
      </c>
      <c r="E299" s="2">
        <v>1</v>
      </c>
    </row>
    <row r="300" spans="1:5">
      <c r="A300" s="2">
        <v>299</v>
      </c>
      <c r="B300" s="2" t="s">
        <v>18</v>
      </c>
      <c r="C300" s="2" t="s">
        <v>18</v>
      </c>
      <c r="D300" s="2">
        <v>0</v>
      </c>
      <c r="E300" s="2">
        <v>1</v>
      </c>
    </row>
    <row r="301" spans="1:5">
      <c r="A301" s="2">
        <v>300</v>
      </c>
      <c r="B301" s="2" t="s">
        <v>18</v>
      </c>
      <c r="C301" s="2" t="s">
        <v>18</v>
      </c>
      <c r="D301" s="2">
        <v>0</v>
      </c>
      <c r="E301" s="2">
        <v>1</v>
      </c>
    </row>
    <row r="302" spans="1:5">
      <c r="A302" s="2">
        <v>301</v>
      </c>
      <c r="B302" s="2" t="s">
        <v>18</v>
      </c>
      <c r="C302" s="2" t="s">
        <v>18</v>
      </c>
      <c r="D302" s="2">
        <v>0</v>
      </c>
      <c r="E302" s="2">
        <v>1</v>
      </c>
    </row>
    <row r="303" spans="1:5">
      <c r="A303" s="2">
        <v>302</v>
      </c>
      <c r="B303" s="2" t="s">
        <v>18</v>
      </c>
      <c r="C303" s="2" t="s">
        <v>18</v>
      </c>
      <c r="D303" s="2">
        <v>0</v>
      </c>
      <c r="E303" s="2">
        <v>1</v>
      </c>
    </row>
    <row r="304" spans="1:5">
      <c r="A304" s="2">
        <v>303</v>
      </c>
      <c r="B304" s="2" t="s">
        <v>18</v>
      </c>
      <c r="C304" s="2" t="s">
        <v>18</v>
      </c>
      <c r="D304" s="2">
        <v>0</v>
      </c>
      <c r="E304" s="2">
        <v>1</v>
      </c>
    </row>
    <row r="305" spans="1:5">
      <c r="A305" s="2">
        <v>304</v>
      </c>
      <c r="B305" s="2" t="s">
        <v>18</v>
      </c>
      <c r="C305" s="2" t="s">
        <v>18</v>
      </c>
      <c r="D305" s="2">
        <v>0</v>
      </c>
      <c r="E305" s="2">
        <v>1</v>
      </c>
    </row>
    <row r="306" spans="1:5">
      <c r="A306" s="2">
        <v>305</v>
      </c>
      <c r="B306" s="2" t="s">
        <v>18</v>
      </c>
      <c r="C306" s="2" t="s">
        <v>18</v>
      </c>
      <c r="D306" s="2">
        <v>0</v>
      </c>
      <c r="E306" s="2">
        <v>1</v>
      </c>
    </row>
    <row r="307" spans="1:5">
      <c r="A307" s="2">
        <v>306</v>
      </c>
      <c r="B307" s="2" t="s">
        <v>18</v>
      </c>
      <c r="C307" s="2" t="s">
        <v>18</v>
      </c>
      <c r="D307" s="2">
        <v>0</v>
      </c>
      <c r="E307" s="2">
        <v>1</v>
      </c>
    </row>
    <row r="308" spans="1:5">
      <c r="A308" s="2">
        <v>307</v>
      </c>
      <c r="B308" s="2" t="s">
        <v>18</v>
      </c>
      <c r="C308" s="2" t="s">
        <v>18</v>
      </c>
      <c r="D308" s="2">
        <v>0</v>
      </c>
      <c r="E308" s="2">
        <v>1</v>
      </c>
    </row>
    <row r="309" spans="1:5">
      <c r="A309" s="2">
        <v>308</v>
      </c>
      <c r="B309" s="2" t="s">
        <v>18</v>
      </c>
      <c r="C309" s="2" t="s">
        <v>18</v>
      </c>
      <c r="D309" s="2">
        <v>0</v>
      </c>
      <c r="E309" s="2">
        <v>1</v>
      </c>
    </row>
    <row r="310" spans="1:5">
      <c r="A310" s="2">
        <v>309</v>
      </c>
      <c r="B310" s="2" t="s">
        <v>18</v>
      </c>
      <c r="C310" s="2" t="s">
        <v>18</v>
      </c>
      <c r="D310" s="2">
        <v>0</v>
      </c>
      <c r="E310" s="2">
        <v>1</v>
      </c>
    </row>
    <row r="311" spans="1:5">
      <c r="A311" s="2">
        <v>310</v>
      </c>
      <c r="B311" s="2" t="s">
        <v>18</v>
      </c>
      <c r="C311" s="2" t="s">
        <v>18</v>
      </c>
      <c r="D311" s="2">
        <v>0</v>
      </c>
      <c r="E311" s="2">
        <v>1</v>
      </c>
    </row>
    <row r="312" spans="1:5">
      <c r="A312" s="2">
        <v>311</v>
      </c>
      <c r="B312" s="2" t="s">
        <v>18</v>
      </c>
      <c r="C312" s="2" t="s">
        <v>18</v>
      </c>
      <c r="D312" s="2">
        <v>0</v>
      </c>
      <c r="E312" s="2">
        <v>1</v>
      </c>
    </row>
    <row r="313" spans="1:5">
      <c r="A313" s="2">
        <v>312</v>
      </c>
      <c r="B313" s="2" t="s">
        <v>18</v>
      </c>
      <c r="C313" s="2" t="s">
        <v>18</v>
      </c>
      <c r="D313" s="2">
        <v>0</v>
      </c>
      <c r="E313" s="2">
        <v>1</v>
      </c>
    </row>
    <row r="314" spans="1:5">
      <c r="A314" s="2">
        <v>313</v>
      </c>
      <c r="B314" s="2" t="s">
        <v>18</v>
      </c>
      <c r="C314" s="2" t="s">
        <v>18</v>
      </c>
      <c r="D314" s="2">
        <v>0.02</v>
      </c>
      <c r="E314" s="2">
        <v>0.98</v>
      </c>
    </row>
    <row r="315" spans="1:5">
      <c r="A315" s="2">
        <v>314</v>
      </c>
      <c r="B315" s="2" t="s">
        <v>18</v>
      </c>
      <c r="C315" s="2" t="s">
        <v>18</v>
      </c>
      <c r="D315" s="2">
        <v>2E-3</v>
      </c>
      <c r="E315" s="2">
        <v>0.998</v>
      </c>
    </row>
    <row r="316" spans="1:5">
      <c r="A316" s="2">
        <v>315</v>
      </c>
      <c r="B316" s="2" t="s">
        <v>18</v>
      </c>
      <c r="C316" s="2" t="s">
        <v>18</v>
      </c>
      <c r="D316" s="2">
        <v>0</v>
      </c>
      <c r="E316" s="2">
        <v>1</v>
      </c>
    </row>
    <row r="317" spans="1:5">
      <c r="A317" s="2">
        <v>316</v>
      </c>
      <c r="B317" s="2" t="s">
        <v>18</v>
      </c>
      <c r="C317" s="2" t="s">
        <v>18</v>
      </c>
      <c r="D317" s="2">
        <v>0</v>
      </c>
      <c r="E317" s="2">
        <v>1</v>
      </c>
    </row>
    <row r="318" spans="1:5">
      <c r="A318" s="2">
        <v>317</v>
      </c>
      <c r="B318" s="2" t="s">
        <v>18</v>
      </c>
      <c r="C318" s="2" t="s">
        <v>18</v>
      </c>
      <c r="D318" s="2">
        <v>0</v>
      </c>
      <c r="E318" s="2">
        <v>1</v>
      </c>
    </row>
    <row r="319" spans="1:5">
      <c r="A319" s="2">
        <v>318</v>
      </c>
      <c r="B319" s="2" t="s">
        <v>18</v>
      </c>
      <c r="C319" s="2" t="s">
        <v>18</v>
      </c>
      <c r="D319" s="2">
        <v>0</v>
      </c>
      <c r="E319" s="2">
        <v>1</v>
      </c>
    </row>
    <row r="320" spans="1:5">
      <c r="A320" s="2">
        <v>319</v>
      </c>
      <c r="B320" s="2" t="s">
        <v>18</v>
      </c>
      <c r="C320" s="2" t="s">
        <v>18</v>
      </c>
      <c r="D320" s="2">
        <v>0</v>
      </c>
      <c r="E320" s="2">
        <v>1</v>
      </c>
    </row>
    <row r="321" spans="1:5">
      <c r="A321" s="2">
        <v>320</v>
      </c>
      <c r="B321" s="2" t="s">
        <v>18</v>
      </c>
      <c r="C321" s="2" t="s">
        <v>18</v>
      </c>
      <c r="D321" s="2">
        <v>0</v>
      </c>
      <c r="E321" s="2">
        <v>1</v>
      </c>
    </row>
    <row r="322" spans="1:5">
      <c r="A322" s="2">
        <v>321</v>
      </c>
      <c r="B322" s="2" t="s">
        <v>18</v>
      </c>
      <c r="C322" s="2" t="s">
        <v>18</v>
      </c>
      <c r="D322" s="2">
        <v>0</v>
      </c>
      <c r="E322" s="2">
        <v>1</v>
      </c>
    </row>
    <row r="323" spans="1:5">
      <c r="A323" s="2">
        <v>322</v>
      </c>
      <c r="B323" s="2" t="s">
        <v>18</v>
      </c>
      <c r="C323" s="2" t="s">
        <v>18</v>
      </c>
      <c r="D323" s="2">
        <v>6.0000000000000001E-3</v>
      </c>
      <c r="E323" s="2">
        <v>0.99399999999999999</v>
      </c>
    </row>
    <row r="324" spans="1:5">
      <c r="A324" s="2">
        <v>323</v>
      </c>
      <c r="B324" s="2" t="s">
        <v>18</v>
      </c>
      <c r="C324" s="2" t="s">
        <v>18</v>
      </c>
      <c r="D324" s="2">
        <v>0</v>
      </c>
      <c r="E324" s="2">
        <v>1</v>
      </c>
    </row>
    <row r="325" spans="1:5">
      <c r="A325" s="2">
        <v>324</v>
      </c>
      <c r="B325" s="2" t="s">
        <v>18</v>
      </c>
      <c r="C325" s="2" t="s">
        <v>18</v>
      </c>
      <c r="D325" s="2">
        <v>0</v>
      </c>
      <c r="E325" s="2">
        <v>1</v>
      </c>
    </row>
    <row r="326" spans="1:5">
      <c r="A326" s="2">
        <v>325</v>
      </c>
      <c r="B326" s="2" t="s">
        <v>18</v>
      </c>
      <c r="C326" s="2" t="s">
        <v>18</v>
      </c>
      <c r="D326" s="2">
        <v>0</v>
      </c>
      <c r="E326" s="2">
        <v>1</v>
      </c>
    </row>
    <row r="327" spans="1:5">
      <c r="A327" s="2">
        <v>326</v>
      </c>
      <c r="B327" s="2" t="s">
        <v>18</v>
      </c>
      <c r="C327" s="2" t="s">
        <v>18</v>
      </c>
      <c r="D327" s="2">
        <v>0</v>
      </c>
      <c r="E327" s="2">
        <v>1</v>
      </c>
    </row>
    <row r="328" spans="1:5">
      <c r="A328" s="2">
        <v>327</v>
      </c>
      <c r="B328" s="2" t="s">
        <v>18</v>
      </c>
      <c r="C328" s="2" t="s">
        <v>18</v>
      </c>
      <c r="D328" s="2">
        <v>0</v>
      </c>
      <c r="E328" s="2">
        <v>1</v>
      </c>
    </row>
    <row r="329" spans="1:5">
      <c r="A329" s="2">
        <v>328</v>
      </c>
      <c r="B329" s="2" t="s">
        <v>18</v>
      </c>
      <c r="C329" s="2" t="s">
        <v>18</v>
      </c>
      <c r="D329" s="2">
        <v>0</v>
      </c>
      <c r="E329" s="2">
        <v>1</v>
      </c>
    </row>
    <row r="330" spans="1:5">
      <c r="A330" s="2">
        <v>329</v>
      </c>
      <c r="B330" s="2" t="s">
        <v>18</v>
      </c>
      <c r="C330" s="2" t="s">
        <v>18</v>
      </c>
      <c r="D330" s="2">
        <v>0.01</v>
      </c>
      <c r="E330" s="2">
        <v>0.99</v>
      </c>
    </row>
    <row r="331" spans="1:5">
      <c r="A331" s="2">
        <v>330</v>
      </c>
      <c r="B331" s="2" t="s">
        <v>18</v>
      </c>
      <c r="C331" s="2" t="s">
        <v>18</v>
      </c>
      <c r="D331" s="2">
        <v>0</v>
      </c>
      <c r="E331" s="2">
        <v>1</v>
      </c>
    </row>
    <row r="332" spans="1:5">
      <c r="A332" s="2">
        <v>331</v>
      </c>
      <c r="B332" s="2" t="s">
        <v>56</v>
      </c>
      <c r="C332" s="2" t="s">
        <v>56</v>
      </c>
      <c r="D332" s="2">
        <v>1</v>
      </c>
      <c r="E332" s="2">
        <v>0</v>
      </c>
    </row>
    <row r="333" spans="1:5">
      <c r="A333" s="2">
        <v>332</v>
      </c>
      <c r="B333" s="2" t="s">
        <v>18</v>
      </c>
      <c r="C333" s="2" t="s">
        <v>18</v>
      </c>
      <c r="D333" s="2">
        <v>0</v>
      </c>
      <c r="E333" s="2">
        <v>1</v>
      </c>
    </row>
    <row r="334" spans="1:5">
      <c r="A334" s="2">
        <v>333</v>
      </c>
      <c r="B334" s="2" t="s">
        <v>18</v>
      </c>
      <c r="C334" s="2" t="s">
        <v>18</v>
      </c>
      <c r="D334" s="2">
        <v>0</v>
      </c>
      <c r="E334" s="2">
        <v>1</v>
      </c>
    </row>
    <row r="335" spans="1:5">
      <c r="A335" s="2">
        <v>334</v>
      </c>
      <c r="B335" s="2" t="s">
        <v>18</v>
      </c>
      <c r="C335" s="2" t="s">
        <v>18</v>
      </c>
      <c r="D335" s="2">
        <v>0</v>
      </c>
      <c r="E335" s="2">
        <v>1</v>
      </c>
    </row>
    <row r="336" spans="1:5">
      <c r="A336" s="2">
        <v>335</v>
      </c>
      <c r="B336" s="2" t="s">
        <v>18</v>
      </c>
      <c r="C336" s="2" t="s">
        <v>18</v>
      </c>
      <c r="D336" s="2">
        <v>0</v>
      </c>
      <c r="E336" s="2">
        <v>1</v>
      </c>
    </row>
    <row r="337" spans="1:5">
      <c r="A337" s="2">
        <v>336</v>
      </c>
      <c r="B337" s="2" t="s">
        <v>18</v>
      </c>
      <c r="C337" s="2" t="s">
        <v>18</v>
      </c>
      <c r="D337" s="2">
        <v>0</v>
      </c>
      <c r="E337" s="2">
        <v>1</v>
      </c>
    </row>
    <row r="338" spans="1:5">
      <c r="A338" s="2">
        <v>337</v>
      </c>
      <c r="B338" s="2" t="s">
        <v>18</v>
      </c>
      <c r="C338" s="2" t="s">
        <v>18</v>
      </c>
      <c r="D338" s="2">
        <v>0</v>
      </c>
      <c r="E338" s="2">
        <v>1</v>
      </c>
    </row>
    <row r="339" spans="1:5">
      <c r="A339" s="2">
        <v>338</v>
      </c>
      <c r="B339" s="2" t="s">
        <v>18</v>
      </c>
      <c r="C339" s="2" t="s">
        <v>18</v>
      </c>
      <c r="D339" s="2">
        <v>0</v>
      </c>
      <c r="E339" s="2">
        <v>1</v>
      </c>
    </row>
    <row r="340" spans="1:5">
      <c r="A340" s="2">
        <v>339</v>
      </c>
      <c r="B340" s="2" t="s">
        <v>18</v>
      </c>
      <c r="C340" s="2" t="s">
        <v>18</v>
      </c>
      <c r="D340" s="2">
        <v>0</v>
      </c>
      <c r="E340" s="2">
        <v>1</v>
      </c>
    </row>
    <row r="341" spans="1:5">
      <c r="A341" s="2">
        <v>340</v>
      </c>
      <c r="B341" s="2" t="s">
        <v>18</v>
      </c>
      <c r="C341" s="2" t="s">
        <v>18</v>
      </c>
      <c r="D341" s="2">
        <v>0</v>
      </c>
      <c r="E341" s="2">
        <v>1</v>
      </c>
    </row>
    <row r="342" spans="1:5">
      <c r="A342" s="2">
        <v>341</v>
      </c>
      <c r="B342" s="2" t="s">
        <v>18</v>
      </c>
      <c r="C342" s="2" t="s">
        <v>18</v>
      </c>
      <c r="D342" s="2">
        <v>0</v>
      </c>
      <c r="E342" s="2">
        <v>1</v>
      </c>
    </row>
    <row r="343" spans="1:5">
      <c r="A343" s="2">
        <v>342</v>
      </c>
      <c r="B343" s="2" t="s">
        <v>18</v>
      </c>
      <c r="C343" s="2" t="s">
        <v>18</v>
      </c>
      <c r="D343" s="2">
        <v>0</v>
      </c>
      <c r="E343" s="2">
        <v>1</v>
      </c>
    </row>
    <row r="344" spans="1:5">
      <c r="A344" s="2">
        <v>343</v>
      </c>
      <c r="B344" s="2" t="s">
        <v>18</v>
      </c>
      <c r="C344" s="2" t="s">
        <v>18</v>
      </c>
      <c r="D344" s="2">
        <v>0</v>
      </c>
      <c r="E344" s="2">
        <v>1</v>
      </c>
    </row>
    <row r="345" spans="1:5">
      <c r="A345" s="2">
        <v>344</v>
      </c>
      <c r="B345" s="2" t="s">
        <v>18</v>
      </c>
      <c r="C345" s="2" t="s">
        <v>18</v>
      </c>
      <c r="D345" s="2">
        <v>0</v>
      </c>
      <c r="E345" s="2">
        <v>1</v>
      </c>
    </row>
    <row r="346" spans="1:5">
      <c r="A346" s="2">
        <v>345</v>
      </c>
      <c r="B346" s="2" t="s">
        <v>18</v>
      </c>
      <c r="C346" s="2" t="s">
        <v>18</v>
      </c>
      <c r="D346" s="2">
        <v>0</v>
      </c>
      <c r="E346" s="2">
        <v>1</v>
      </c>
    </row>
    <row r="347" spans="1:5">
      <c r="A347" s="2">
        <v>346</v>
      </c>
      <c r="B347" s="2" t="s">
        <v>18</v>
      </c>
      <c r="C347" s="2" t="s">
        <v>18</v>
      </c>
      <c r="D347" s="2">
        <v>0</v>
      </c>
      <c r="E347" s="2">
        <v>1</v>
      </c>
    </row>
    <row r="348" spans="1:5">
      <c r="A348" s="2">
        <v>347</v>
      </c>
      <c r="B348" s="2" t="s">
        <v>18</v>
      </c>
      <c r="C348" s="2" t="s">
        <v>18</v>
      </c>
      <c r="D348" s="2">
        <v>0</v>
      </c>
      <c r="E348" s="2">
        <v>1</v>
      </c>
    </row>
    <row r="349" spans="1:5">
      <c r="A349" s="2">
        <v>348</v>
      </c>
      <c r="B349" s="2" t="s">
        <v>18</v>
      </c>
      <c r="C349" s="2" t="s">
        <v>18</v>
      </c>
      <c r="D349" s="2">
        <v>0</v>
      </c>
      <c r="E349" s="2">
        <v>1</v>
      </c>
    </row>
    <row r="350" spans="1:5">
      <c r="A350" s="2">
        <v>349</v>
      </c>
      <c r="B350" s="2" t="s">
        <v>18</v>
      </c>
      <c r="C350" s="2" t="s">
        <v>18</v>
      </c>
      <c r="D350" s="2">
        <v>0</v>
      </c>
      <c r="E350" s="2">
        <v>1</v>
      </c>
    </row>
    <row r="351" spans="1:5">
      <c r="A351" s="2">
        <v>350</v>
      </c>
      <c r="B351" s="2" t="s">
        <v>18</v>
      </c>
      <c r="C351" s="2" t="s">
        <v>18</v>
      </c>
      <c r="D351" s="2">
        <v>0</v>
      </c>
      <c r="E351" s="2">
        <v>1</v>
      </c>
    </row>
    <row r="352" spans="1:5">
      <c r="A352" s="2">
        <v>351</v>
      </c>
      <c r="B352" s="2" t="s">
        <v>18</v>
      </c>
      <c r="C352" s="2" t="s">
        <v>18</v>
      </c>
      <c r="D352" s="2">
        <v>0</v>
      </c>
      <c r="E352" s="2">
        <v>1</v>
      </c>
    </row>
    <row r="353" spans="1:5">
      <c r="A353" s="2">
        <v>352</v>
      </c>
      <c r="B353" s="2" t="s">
        <v>18</v>
      </c>
      <c r="C353" s="2" t="s">
        <v>18</v>
      </c>
      <c r="D353" s="2">
        <v>0</v>
      </c>
      <c r="E353" s="2">
        <v>1</v>
      </c>
    </row>
    <row r="354" spans="1:5">
      <c r="A354" s="2">
        <v>353</v>
      </c>
      <c r="B354" s="2" t="s">
        <v>18</v>
      </c>
      <c r="C354" s="2" t="s">
        <v>18</v>
      </c>
      <c r="D354" s="2">
        <v>0</v>
      </c>
      <c r="E354" s="2">
        <v>1</v>
      </c>
    </row>
    <row r="355" spans="1:5">
      <c r="A355" s="2">
        <v>354</v>
      </c>
      <c r="B355" s="2" t="s">
        <v>18</v>
      </c>
      <c r="C355" s="2" t="s">
        <v>18</v>
      </c>
      <c r="D355" s="2">
        <v>0</v>
      </c>
      <c r="E355" s="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R29" sqref="R29"/>
    </sheetView>
  </sheetViews>
  <sheetFormatPr baseColWidth="10" defaultRowHeight="16"/>
  <sheetData>
    <row r="1" spans="1:14">
      <c r="A1" t="s">
        <v>407</v>
      </c>
      <c r="B1" t="s">
        <v>7</v>
      </c>
      <c r="C1" t="s">
        <v>414</v>
      </c>
      <c r="D1" t="s">
        <v>35</v>
      </c>
      <c r="E1" t="s">
        <v>20</v>
      </c>
      <c r="F1" t="s">
        <v>57</v>
      </c>
      <c r="G1" t="s">
        <v>72</v>
      </c>
      <c r="H1" t="s">
        <v>31</v>
      </c>
      <c r="I1" t="s">
        <v>110</v>
      </c>
      <c r="J1" t="s">
        <v>40</v>
      </c>
      <c r="K1" t="s">
        <v>383</v>
      </c>
      <c r="L1" t="s">
        <v>27</v>
      </c>
      <c r="M1" t="s">
        <v>89</v>
      </c>
      <c r="N1" t="s">
        <v>193</v>
      </c>
    </row>
    <row r="2" spans="1:14">
      <c r="A2">
        <v>1</v>
      </c>
      <c r="B2" t="s">
        <v>20</v>
      </c>
      <c r="C2" t="s">
        <v>20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20</v>
      </c>
      <c r="C3" t="s">
        <v>20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27</v>
      </c>
      <c r="C4" t="s">
        <v>27</v>
      </c>
      <c r="D4">
        <v>0</v>
      </c>
      <c r="E4">
        <v>0.01</v>
      </c>
      <c r="F4">
        <v>0.01</v>
      </c>
      <c r="G4">
        <v>0</v>
      </c>
      <c r="H4">
        <v>0.03</v>
      </c>
      <c r="I4">
        <v>0</v>
      </c>
      <c r="J4">
        <v>0.02</v>
      </c>
      <c r="K4">
        <v>0</v>
      </c>
      <c r="L4">
        <v>0.93</v>
      </c>
      <c r="M4">
        <v>0</v>
      </c>
      <c r="N4">
        <v>0</v>
      </c>
    </row>
    <row r="5" spans="1:14">
      <c r="A5">
        <v>4</v>
      </c>
      <c r="B5" t="s">
        <v>31</v>
      </c>
      <c r="C5" t="s">
        <v>31</v>
      </c>
      <c r="D5">
        <v>0</v>
      </c>
      <c r="E5">
        <v>0</v>
      </c>
      <c r="F5">
        <v>0</v>
      </c>
      <c r="G5">
        <v>0</v>
      </c>
      <c r="H5">
        <v>0.99</v>
      </c>
      <c r="I5">
        <v>0.01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5</v>
      </c>
      <c r="B6" t="s">
        <v>35</v>
      </c>
      <c r="C6" t="s">
        <v>35</v>
      </c>
      <c r="D6">
        <v>0.65</v>
      </c>
      <c r="E6">
        <v>0.35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31</v>
      </c>
      <c r="C7" t="s">
        <v>31</v>
      </c>
      <c r="D7">
        <v>0</v>
      </c>
      <c r="E7">
        <v>0.01</v>
      </c>
      <c r="F7">
        <v>0</v>
      </c>
      <c r="G7">
        <v>0</v>
      </c>
      <c r="H7">
        <v>0.97</v>
      </c>
      <c r="I7">
        <v>0</v>
      </c>
      <c r="J7">
        <v>0.02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40</v>
      </c>
      <c r="C8" t="s">
        <v>40</v>
      </c>
      <c r="D8">
        <v>0.01</v>
      </c>
      <c r="E8">
        <v>0.03</v>
      </c>
      <c r="F8">
        <v>0</v>
      </c>
      <c r="G8">
        <v>0</v>
      </c>
      <c r="H8">
        <v>0.32</v>
      </c>
      <c r="I8">
        <v>0</v>
      </c>
      <c r="J8">
        <v>0.64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20</v>
      </c>
      <c r="C9" t="s">
        <v>20</v>
      </c>
      <c r="D9">
        <v>0</v>
      </c>
      <c r="E9">
        <v>0.91</v>
      </c>
      <c r="F9">
        <v>0</v>
      </c>
      <c r="G9">
        <v>0</v>
      </c>
      <c r="H9">
        <v>7.0000000000000007E-2</v>
      </c>
      <c r="I9">
        <v>0</v>
      </c>
      <c r="J9">
        <v>0.02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31</v>
      </c>
      <c r="C10" t="s">
        <v>31</v>
      </c>
      <c r="D10">
        <v>0.24</v>
      </c>
      <c r="E10">
        <v>0</v>
      </c>
      <c r="F10">
        <v>0</v>
      </c>
      <c r="G10">
        <v>0</v>
      </c>
      <c r="H10">
        <v>0.7</v>
      </c>
      <c r="I10">
        <v>0</v>
      </c>
      <c r="J10">
        <v>0.03</v>
      </c>
      <c r="K10">
        <v>0</v>
      </c>
      <c r="L10">
        <v>0</v>
      </c>
      <c r="M10">
        <v>0.03</v>
      </c>
      <c r="N10">
        <v>0</v>
      </c>
    </row>
    <row r="11" spans="1:14">
      <c r="A11">
        <v>10</v>
      </c>
      <c r="B11" t="s">
        <v>20</v>
      </c>
      <c r="C11" t="s">
        <v>20</v>
      </c>
      <c r="D11">
        <v>0</v>
      </c>
      <c r="E11">
        <v>0.99</v>
      </c>
      <c r="F11">
        <v>0</v>
      </c>
      <c r="G11">
        <v>0</v>
      </c>
      <c r="H11">
        <v>0.01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20</v>
      </c>
      <c r="C12" t="s">
        <v>20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31</v>
      </c>
      <c r="C13" t="s">
        <v>31</v>
      </c>
      <c r="D13">
        <v>0</v>
      </c>
      <c r="E13">
        <v>0</v>
      </c>
      <c r="F13">
        <v>0</v>
      </c>
      <c r="G13">
        <v>0</v>
      </c>
      <c r="H13">
        <v>0.87</v>
      </c>
      <c r="I13">
        <v>0</v>
      </c>
      <c r="J13">
        <v>0.13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40</v>
      </c>
      <c r="C14" t="s">
        <v>40</v>
      </c>
      <c r="D14">
        <v>0</v>
      </c>
      <c r="E14">
        <v>0.01</v>
      </c>
      <c r="F14">
        <v>0</v>
      </c>
      <c r="G14">
        <v>0</v>
      </c>
      <c r="H14">
        <v>7.0000000000000007E-2</v>
      </c>
      <c r="I14">
        <v>0</v>
      </c>
      <c r="J14">
        <v>0.86</v>
      </c>
      <c r="K14">
        <v>0</v>
      </c>
      <c r="L14">
        <v>0</v>
      </c>
      <c r="M14">
        <v>0.06</v>
      </c>
      <c r="N14">
        <v>0</v>
      </c>
    </row>
    <row r="15" spans="1:14">
      <c r="A15">
        <v>14</v>
      </c>
      <c r="B15" t="s">
        <v>20</v>
      </c>
      <c r="C15" t="s">
        <v>20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57</v>
      </c>
      <c r="C16" t="s">
        <v>57</v>
      </c>
      <c r="D16">
        <v>0.02</v>
      </c>
      <c r="E16">
        <v>0</v>
      </c>
      <c r="F16">
        <v>0.96</v>
      </c>
      <c r="G16">
        <v>0</v>
      </c>
      <c r="H16">
        <v>0</v>
      </c>
      <c r="I16">
        <v>0</v>
      </c>
      <c r="J16">
        <v>0.02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20</v>
      </c>
      <c r="C17" t="s">
        <v>20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31</v>
      </c>
      <c r="C18" t="s">
        <v>31</v>
      </c>
      <c r="D18">
        <v>0</v>
      </c>
      <c r="E18">
        <v>0</v>
      </c>
      <c r="F18">
        <v>0</v>
      </c>
      <c r="G18">
        <v>0</v>
      </c>
      <c r="H18">
        <v>0.99</v>
      </c>
      <c r="I18">
        <v>0</v>
      </c>
      <c r="J18">
        <v>0</v>
      </c>
      <c r="K18">
        <v>0</v>
      </c>
      <c r="L18">
        <v>0</v>
      </c>
      <c r="M18">
        <v>0.01</v>
      </c>
      <c r="N18">
        <v>0</v>
      </c>
    </row>
    <row r="19" spans="1:14">
      <c r="A19">
        <v>18</v>
      </c>
      <c r="B19" t="s">
        <v>31</v>
      </c>
      <c r="C19" t="s">
        <v>31</v>
      </c>
      <c r="D19">
        <v>0</v>
      </c>
      <c r="E19">
        <v>0.03</v>
      </c>
      <c r="F19">
        <v>0</v>
      </c>
      <c r="G19">
        <v>0</v>
      </c>
      <c r="H19">
        <v>0.96</v>
      </c>
      <c r="I19">
        <v>0</v>
      </c>
      <c r="J19">
        <v>0.01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35</v>
      </c>
      <c r="C20" t="s">
        <v>35</v>
      </c>
      <c r="D20">
        <v>0.8</v>
      </c>
      <c r="E20">
        <v>0</v>
      </c>
      <c r="F20">
        <v>0</v>
      </c>
      <c r="G20">
        <v>0</v>
      </c>
      <c r="H20">
        <v>0.01</v>
      </c>
      <c r="I20">
        <v>0</v>
      </c>
      <c r="J20">
        <v>0.05</v>
      </c>
      <c r="K20">
        <v>0</v>
      </c>
      <c r="L20">
        <v>0</v>
      </c>
      <c r="M20">
        <v>0.14000000000000001</v>
      </c>
      <c r="N20">
        <v>0</v>
      </c>
    </row>
    <row r="21" spans="1:14">
      <c r="A21">
        <v>20</v>
      </c>
      <c r="B21" t="s">
        <v>40</v>
      </c>
      <c r="C21" t="s">
        <v>40</v>
      </c>
      <c r="D21">
        <v>0.04</v>
      </c>
      <c r="E21">
        <v>0</v>
      </c>
      <c r="F21">
        <v>0</v>
      </c>
      <c r="G21">
        <v>0</v>
      </c>
      <c r="H21">
        <v>0.05</v>
      </c>
      <c r="I21">
        <v>0</v>
      </c>
      <c r="J21">
        <v>0.91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57</v>
      </c>
      <c r="C22" t="s">
        <v>57</v>
      </c>
      <c r="D22">
        <v>0.02</v>
      </c>
      <c r="E22">
        <v>0</v>
      </c>
      <c r="F22">
        <v>0.98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40</v>
      </c>
      <c r="C23" t="s">
        <v>40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0.99</v>
      </c>
      <c r="K23">
        <v>0</v>
      </c>
      <c r="L23">
        <v>0</v>
      </c>
      <c r="M23">
        <v>0.01</v>
      </c>
      <c r="N23">
        <v>0</v>
      </c>
    </row>
    <row r="24" spans="1:14">
      <c r="A24">
        <v>23</v>
      </c>
      <c r="B24" t="s">
        <v>31</v>
      </c>
      <c r="C24" t="s">
        <v>31</v>
      </c>
      <c r="D24">
        <v>0</v>
      </c>
      <c r="E24">
        <v>0.38</v>
      </c>
      <c r="F24">
        <v>0</v>
      </c>
      <c r="G24">
        <v>0</v>
      </c>
      <c r="H24">
        <v>0.6</v>
      </c>
      <c r="I24">
        <v>0.02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20</v>
      </c>
      <c r="C25" t="s">
        <v>20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>
      <c r="A26">
        <v>25</v>
      </c>
      <c r="B26" t="s">
        <v>72</v>
      </c>
      <c r="C26" t="s">
        <v>72</v>
      </c>
      <c r="D26">
        <v>0</v>
      </c>
      <c r="E26">
        <v>0</v>
      </c>
      <c r="F26">
        <v>0</v>
      </c>
      <c r="G26">
        <v>0.96</v>
      </c>
      <c r="H26">
        <v>0</v>
      </c>
      <c r="I26">
        <v>0</v>
      </c>
      <c r="J26">
        <v>0.04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20</v>
      </c>
      <c r="C27" t="s">
        <v>20</v>
      </c>
      <c r="D27">
        <v>0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40</v>
      </c>
      <c r="C28" t="s">
        <v>40</v>
      </c>
      <c r="D28">
        <v>0.01</v>
      </c>
      <c r="E28">
        <v>0</v>
      </c>
      <c r="F28">
        <v>0</v>
      </c>
      <c r="G28">
        <v>0</v>
      </c>
      <c r="H28">
        <v>0.11</v>
      </c>
      <c r="I28">
        <v>0</v>
      </c>
      <c r="J28">
        <v>0.67</v>
      </c>
      <c r="K28">
        <v>0</v>
      </c>
      <c r="L28">
        <v>0</v>
      </c>
      <c r="M28">
        <v>0.21</v>
      </c>
      <c r="N28">
        <v>0</v>
      </c>
    </row>
    <row r="29" spans="1:14">
      <c r="A29">
        <v>28</v>
      </c>
      <c r="B29" t="s">
        <v>72</v>
      </c>
      <c r="C29" t="s">
        <v>72</v>
      </c>
      <c r="D29">
        <v>0</v>
      </c>
      <c r="E29">
        <v>0</v>
      </c>
      <c r="F29">
        <v>0</v>
      </c>
      <c r="G29">
        <v>0.66</v>
      </c>
      <c r="H29">
        <v>0.02</v>
      </c>
      <c r="I29">
        <v>0</v>
      </c>
      <c r="J29">
        <v>0.3</v>
      </c>
      <c r="K29">
        <v>0</v>
      </c>
      <c r="L29">
        <v>0</v>
      </c>
      <c r="M29">
        <v>0.02</v>
      </c>
      <c r="N29">
        <v>0</v>
      </c>
    </row>
    <row r="30" spans="1:14">
      <c r="A30">
        <v>29</v>
      </c>
      <c r="B30" t="s">
        <v>72</v>
      </c>
      <c r="C30" t="s">
        <v>72</v>
      </c>
      <c r="D30">
        <v>0</v>
      </c>
      <c r="E30">
        <v>0.01</v>
      </c>
      <c r="F30">
        <v>0</v>
      </c>
      <c r="G30">
        <v>0.79</v>
      </c>
      <c r="H30">
        <v>0</v>
      </c>
      <c r="I30">
        <v>0</v>
      </c>
      <c r="J30">
        <v>0.12</v>
      </c>
      <c r="K30">
        <v>0</v>
      </c>
      <c r="L30">
        <v>0</v>
      </c>
      <c r="M30">
        <v>0.08</v>
      </c>
      <c r="N30">
        <v>0</v>
      </c>
    </row>
    <row r="31" spans="1:14">
      <c r="A31">
        <v>30</v>
      </c>
      <c r="B31" t="s">
        <v>20</v>
      </c>
      <c r="C31" t="s">
        <v>20</v>
      </c>
      <c r="D31">
        <v>0</v>
      </c>
      <c r="E31">
        <v>0.99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0.01</v>
      </c>
      <c r="N31">
        <v>0</v>
      </c>
    </row>
    <row r="32" spans="1:14">
      <c r="A32">
        <v>31</v>
      </c>
      <c r="B32" t="s">
        <v>31</v>
      </c>
      <c r="C32" t="s">
        <v>31</v>
      </c>
      <c r="D32">
        <v>0.04</v>
      </c>
      <c r="E32">
        <v>0.01</v>
      </c>
      <c r="F32">
        <v>0</v>
      </c>
      <c r="G32">
        <v>0</v>
      </c>
      <c r="H32">
        <v>0.93</v>
      </c>
      <c r="I32">
        <v>0</v>
      </c>
      <c r="J32">
        <v>0</v>
      </c>
      <c r="K32">
        <v>0</v>
      </c>
      <c r="L32">
        <v>0</v>
      </c>
      <c r="M32">
        <v>0.02</v>
      </c>
      <c r="N32">
        <v>0</v>
      </c>
    </row>
    <row r="33" spans="1:14">
      <c r="A33">
        <v>32</v>
      </c>
      <c r="B33" t="s">
        <v>31</v>
      </c>
      <c r="C33" t="s">
        <v>31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20</v>
      </c>
      <c r="C34" t="s">
        <v>20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20</v>
      </c>
      <c r="C35" t="s">
        <v>20</v>
      </c>
      <c r="D35">
        <v>0</v>
      </c>
      <c r="E35">
        <v>0.97</v>
      </c>
      <c r="F35">
        <v>0</v>
      </c>
      <c r="G35">
        <v>0</v>
      </c>
      <c r="H35">
        <v>0.01</v>
      </c>
      <c r="I35">
        <v>0.01</v>
      </c>
      <c r="J35">
        <v>0</v>
      </c>
      <c r="K35">
        <v>0.01</v>
      </c>
      <c r="L35">
        <v>0</v>
      </c>
      <c r="M35">
        <v>0</v>
      </c>
      <c r="N35">
        <v>0</v>
      </c>
    </row>
    <row r="36" spans="1:14">
      <c r="A36">
        <v>35</v>
      </c>
      <c r="B36" t="s">
        <v>89</v>
      </c>
      <c r="C36" t="s">
        <v>89</v>
      </c>
      <c r="D36">
        <v>0.01</v>
      </c>
      <c r="E36">
        <v>0.02</v>
      </c>
      <c r="F36">
        <v>0</v>
      </c>
      <c r="G36">
        <v>0</v>
      </c>
      <c r="H36">
        <v>0.09</v>
      </c>
      <c r="I36">
        <v>0</v>
      </c>
      <c r="J36">
        <v>0.01</v>
      </c>
      <c r="K36">
        <v>0</v>
      </c>
      <c r="L36">
        <v>0</v>
      </c>
      <c r="M36">
        <v>0.85</v>
      </c>
      <c r="N36">
        <v>0.02</v>
      </c>
    </row>
    <row r="37" spans="1:14">
      <c r="A37">
        <v>36</v>
      </c>
      <c r="B37" t="s">
        <v>31</v>
      </c>
      <c r="C37" t="s">
        <v>31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40</v>
      </c>
      <c r="C38" t="s">
        <v>40</v>
      </c>
      <c r="D38">
        <v>0.02</v>
      </c>
      <c r="E38">
        <v>0.04</v>
      </c>
      <c r="F38">
        <v>0</v>
      </c>
      <c r="G38">
        <v>0</v>
      </c>
      <c r="H38">
        <v>0.3</v>
      </c>
      <c r="I38">
        <v>0</v>
      </c>
      <c r="J38">
        <v>0.61</v>
      </c>
      <c r="K38">
        <v>0.03</v>
      </c>
      <c r="L38">
        <v>0</v>
      </c>
      <c r="M38">
        <v>0</v>
      </c>
      <c r="N38">
        <v>0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20</v>
      </c>
      <c r="C40" t="s">
        <v>20</v>
      </c>
      <c r="D40">
        <v>0.08</v>
      </c>
      <c r="E40">
        <v>0.91</v>
      </c>
      <c r="F40">
        <v>0</v>
      </c>
      <c r="G40">
        <v>0</v>
      </c>
      <c r="H40">
        <v>0.01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35</v>
      </c>
      <c r="C41" t="s">
        <v>35</v>
      </c>
      <c r="D41">
        <v>0.99</v>
      </c>
      <c r="E41">
        <v>0</v>
      </c>
      <c r="F41">
        <v>0</v>
      </c>
      <c r="G41">
        <v>0</v>
      </c>
      <c r="H41">
        <v>0.01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35</v>
      </c>
      <c r="C42" t="s">
        <v>35</v>
      </c>
      <c r="D42">
        <v>0.66</v>
      </c>
      <c r="E42">
        <v>0</v>
      </c>
      <c r="F42">
        <v>0</v>
      </c>
      <c r="G42">
        <v>0</v>
      </c>
      <c r="H42">
        <v>0.2</v>
      </c>
      <c r="I42">
        <v>0</v>
      </c>
      <c r="J42">
        <v>0.11</v>
      </c>
      <c r="K42">
        <v>0</v>
      </c>
      <c r="L42">
        <v>0</v>
      </c>
      <c r="M42">
        <v>0.03</v>
      </c>
      <c r="N42">
        <v>0</v>
      </c>
    </row>
    <row r="43" spans="1:14">
      <c r="A43">
        <v>42</v>
      </c>
      <c r="B43" t="s">
        <v>20</v>
      </c>
      <c r="C43" t="s">
        <v>20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89</v>
      </c>
      <c r="C44" t="s">
        <v>89</v>
      </c>
      <c r="D44">
        <v>0</v>
      </c>
      <c r="E44">
        <v>0.01</v>
      </c>
      <c r="F44">
        <v>0</v>
      </c>
      <c r="G44">
        <v>0</v>
      </c>
      <c r="H44">
        <v>7.0000000000000007E-2</v>
      </c>
      <c r="I44">
        <v>0</v>
      </c>
      <c r="J44">
        <v>0.08</v>
      </c>
      <c r="K44">
        <v>0</v>
      </c>
      <c r="L44">
        <v>0</v>
      </c>
      <c r="M44">
        <v>0.84</v>
      </c>
      <c r="N44">
        <v>0</v>
      </c>
    </row>
    <row r="45" spans="1:14">
      <c r="A45">
        <v>44</v>
      </c>
      <c r="B45" t="s">
        <v>31</v>
      </c>
      <c r="C45" t="s">
        <v>31</v>
      </c>
      <c r="D45">
        <v>0.23</v>
      </c>
      <c r="E45">
        <v>0</v>
      </c>
      <c r="F45">
        <v>0.01</v>
      </c>
      <c r="G45">
        <v>0.01</v>
      </c>
      <c r="H45">
        <v>0.74</v>
      </c>
      <c r="I45">
        <v>0</v>
      </c>
      <c r="J45">
        <v>0</v>
      </c>
      <c r="K45">
        <v>0</v>
      </c>
      <c r="L45">
        <v>0.01</v>
      </c>
      <c r="M45">
        <v>0</v>
      </c>
      <c r="N45">
        <v>0</v>
      </c>
    </row>
    <row r="46" spans="1:14">
      <c r="A46">
        <v>45</v>
      </c>
      <c r="B46" t="s">
        <v>31</v>
      </c>
      <c r="C46" t="s">
        <v>31</v>
      </c>
      <c r="D46">
        <v>0</v>
      </c>
      <c r="E46">
        <v>0.15</v>
      </c>
      <c r="F46">
        <v>0</v>
      </c>
      <c r="G46">
        <v>0</v>
      </c>
      <c r="H46">
        <v>0.78</v>
      </c>
      <c r="I46">
        <v>0</v>
      </c>
      <c r="J46">
        <v>0.02</v>
      </c>
      <c r="K46">
        <v>0</v>
      </c>
      <c r="L46">
        <v>0</v>
      </c>
      <c r="M46">
        <v>0.05</v>
      </c>
      <c r="N46">
        <v>0</v>
      </c>
    </row>
    <row r="47" spans="1:14">
      <c r="A47">
        <v>46</v>
      </c>
      <c r="B47" t="s">
        <v>31</v>
      </c>
      <c r="C47" t="s">
        <v>31</v>
      </c>
      <c r="D47">
        <v>0.02</v>
      </c>
      <c r="E47">
        <v>0.05</v>
      </c>
      <c r="F47">
        <v>0</v>
      </c>
      <c r="G47">
        <v>0</v>
      </c>
      <c r="H47">
        <v>0.77</v>
      </c>
      <c r="I47">
        <v>0.01</v>
      </c>
      <c r="J47">
        <v>0.02</v>
      </c>
      <c r="K47">
        <v>0</v>
      </c>
      <c r="L47">
        <v>0</v>
      </c>
      <c r="M47">
        <v>0.13</v>
      </c>
      <c r="N47">
        <v>0</v>
      </c>
    </row>
    <row r="48" spans="1:14">
      <c r="A48">
        <v>47</v>
      </c>
      <c r="B48" t="s">
        <v>31</v>
      </c>
      <c r="C48" t="s">
        <v>31</v>
      </c>
      <c r="D48">
        <v>0</v>
      </c>
      <c r="E48">
        <v>0</v>
      </c>
      <c r="F48">
        <v>0</v>
      </c>
      <c r="G48">
        <v>0</v>
      </c>
      <c r="H48">
        <v>1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110</v>
      </c>
      <c r="C49" t="s">
        <v>110</v>
      </c>
      <c r="D49">
        <v>0</v>
      </c>
      <c r="E49">
        <v>0.28999999999999998</v>
      </c>
      <c r="F49">
        <v>0</v>
      </c>
      <c r="G49">
        <v>0</v>
      </c>
      <c r="H49">
        <v>0.02</v>
      </c>
      <c r="I49">
        <v>0.69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40</v>
      </c>
      <c r="C50" t="s">
        <v>40</v>
      </c>
      <c r="D50">
        <v>0</v>
      </c>
      <c r="E50">
        <v>0</v>
      </c>
      <c r="F50">
        <v>0</v>
      </c>
      <c r="G50">
        <v>0</v>
      </c>
      <c r="H50">
        <v>0.01</v>
      </c>
      <c r="I50">
        <v>0</v>
      </c>
      <c r="J50">
        <v>0.91</v>
      </c>
      <c r="K50">
        <v>0</v>
      </c>
      <c r="L50">
        <v>0</v>
      </c>
      <c r="M50">
        <v>0.08</v>
      </c>
      <c r="N50">
        <v>0</v>
      </c>
    </row>
    <row r="51" spans="1:14">
      <c r="A51">
        <v>50</v>
      </c>
      <c r="B51" t="s">
        <v>31</v>
      </c>
      <c r="C51" t="s">
        <v>31</v>
      </c>
      <c r="D51">
        <v>0</v>
      </c>
      <c r="E51">
        <v>0</v>
      </c>
      <c r="F51">
        <v>0</v>
      </c>
      <c r="G51">
        <v>0</v>
      </c>
      <c r="H51">
        <v>1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20</v>
      </c>
      <c r="C52" t="s">
        <v>20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31</v>
      </c>
      <c r="C53" t="s">
        <v>31</v>
      </c>
      <c r="D53">
        <v>0</v>
      </c>
      <c r="E53">
        <v>0.03</v>
      </c>
      <c r="F53">
        <v>0</v>
      </c>
      <c r="G53">
        <v>0</v>
      </c>
      <c r="H53">
        <v>0.81</v>
      </c>
      <c r="I53">
        <v>0</v>
      </c>
      <c r="J53">
        <v>0.06</v>
      </c>
      <c r="K53">
        <v>0</v>
      </c>
      <c r="L53">
        <v>0</v>
      </c>
      <c r="M53">
        <v>0.1</v>
      </c>
      <c r="N53">
        <v>0</v>
      </c>
    </row>
    <row r="54" spans="1:14">
      <c r="A54">
        <v>53</v>
      </c>
      <c r="B54" t="s">
        <v>89</v>
      </c>
      <c r="C54" t="s">
        <v>89</v>
      </c>
      <c r="D54">
        <v>0.03</v>
      </c>
      <c r="E54">
        <v>0</v>
      </c>
      <c r="F54">
        <v>0</v>
      </c>
      <c r="G54">
        <v>0</v>
      </c>
      <c r="H54">
        <v>0.22</v>
      </c>
      <c r="I54">
        <v>0.01</v>
      </c>
      <c r="J54">
        <v>0.09</v>
      </c>
      <c r="K54">
        <v>0</v>
      </c>
      <c r="L54">
        <v>0</v>
      </c>
      <c r="M54">
        <v>0.65</v>
      </c>
      <c r="N54">
        <v>0</v>
      </c>
    </row>
    <row r="55" spans="1:14">
      <c r="A55">
        <v>54</v>
      </c>
      <c r="B55" t="s">
        <v>20</v>
      </c>
      <c r="C55" t="s">
        <v>20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31</v>
      </c>
      <c r="C56" t="s">
        <v>31</v>
      </c>
      <c r="D56">
        <v>7.0000000000000007E-2</v>
      </c>
      <c r="E56">
        <v>0</v>
      </c>
      <c r="F56">
        <v>0</v>
      </c>
      <c r="G56">
        <v>0</v>
      </c>
      <c r="H56">
        <v>0.75</v>
      </c>
      <c r="I56">
        <v>0</v>
      </c>
      <c r="J56">
        <v>0.17</v>
      </c>
      <c r="K56">
        <v>0</v>
      </c>
      <c r="L56">
        <v>0</v>
      </c>
      <c r="M56">
        <v>0.01</v>
      </c>
      <c r="N56">
        <v>0</v>
      </c>
    </row>
    <row r="57" spans="1:14">
      <c r="A57">
        <v>56</v>
      </c>
      <c r="B57" t="s">
        <v>31</v>
      </c>
      <c r="C57" t="s">
        <v>31</v>
      </c>
      <c r="D57">
        <v>0</v>
      </c>
      <c r="E57">
        <v>0.01</v>
      </c>
      <c r="F57">
        <v>0</v>
      </c>
      <c r="G57">
        <v>0</v>
      </c>
      <c r="H57">
        <v>0.99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31</v>
      </c>
      <c r="C59" t="s">
        <v>31</v>
      </c>
      <c r="D59">
        <v>0.06</v>
      </c>
      <c r="E59">
        <v>0.01</v>
      </c>
      <c r="F59">
        <v>0</v>
      </c>
      <c r="G59">
        <v>0</v>
      </c>
      <c r="H59">
        <v>0.81</v>
      </c>
      <c r="I59">
        <v>0.01</v>
      </c>
      <c r="J59">
        <v>0.06</v>
      </c>
      <c r="K59">
        <v>0</v>
      </c>
      <c r="L59">
        <v>0</v>
      </c>
      <c r="M59">
        <v>0.05</v>
      </c>
      <c r="N59">
        <v>0</v>
      </c>
    </row>
    <row r="60" spans="1:14">
      <c r="A60">
        <v>59</v>
      </c>
      <c r="B60" t="s">
        <v>20</v>
      </c>
      <c r="C60" t="s">
        <v>20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35</v>
      </c>
      <c r="C61" t="s">
        <v>35</v>
      </c>
      <c r="D61">
        <v>0.95</v>
      </c>
      <c r="E61">
        <v>0</v>
      </c>
      <c r="F61">
        <v>0.01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0.04</v>
      </c>
      <c r="N61">
        <v>0</v>
      </c>
    </row>
    <row r="62" spans="1:14">
      <c r="A62">
        <v>61</v>
      </c>
      <c r="B62" t="s">
        <v>40</v>
      </c>
      <c r="C62" t="s">
        <v>40</v>
      </c>
      <c r="D62">
        <v>0.02</v>
      </c>
      <c r="E62">
        <v>0</v>
      </c>
      <c r="F62">
        <v>0</v>
      </c>
      <c r="G62">
        <v>0</v>
      </c>
      <c r="H62">
        <v>0</v>
      </c>
      <c r="I62">
        <v>0</v>
      </c>
      <c r="J62">
        <v>0.96</v>
      </c>
      <c r="K62">
        <v>0</v>
      </c>
      <c r="L62">
        <v>0</v>
      </c>
      <c r="M62">
        <v>0.02</v>
      </c>
      <c r="N62">
        <v>0</v>
      </c>
    </row>
    <row r="63" spans="1:14">
      <c r="A63">
        <v>62</v>
      </c>
      <c r="B63" t="s">
        <v>20</v>
      </c>
      <c r="C63" t="s">
        <v>20</v>
      </c>
      <c r="D63">
        <v>0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27</v>
      </c>
      <c r="C64" t="s">
        <v>27</v>
      </c>
      <c r="D64">
        <v>0</v>
      </c>
      <c r="E64">
        <v>0.03</v>
      </c>
      <c r="F64">
        <v>0</v>
      </c>
      <c r="G64">
        <v>0</v>
      </c>
      <c r="H64">
        <v>0.03</v>
      </c>
      <c r="I64">
        <v>0</v>
      </c>
      <c r="J64">
        <v>0.01</v>
      </c>
      <c r="K64">
        <v>0</v>
      </c>
      <c r="L64">
        <v>0.93</v>
      </c>
      <c r="M64">
        <v>0</v>
      </c>
      <c r="N64">
        <v>0</v>
      </c>
    </row>
    <row r="65" spans="1:14">
      <c r="A65">
        <v>64</v>
      </c>
      <c r="B65" t="s">
        <v>40</v>
      </c>
      <c r="C65" t="s">
        <v>40</v>
      </c>
      <c r="D65">
        <v>0.03</v>
      </c>
      <c r="E65">
        <v>0</v>
      </c>
      <c r="F65">
        <v>0.01</v>
      </c>
      <c r="G65">
        <v>0</v>
      </c>
      <c r="H65">
        <v>0</v>
      </c>
      <c r="I65">
        <v>0</v>
      </c>
      <c r="J65">
        <v>0.96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20</v>
      </c>
      <c r="C66" t="s">
        <v>20</v>
      </c>
      <c r="D66">
        <v>0.02</v>
      </c>
      <c r="E66">
        <v>0.98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72</v>
      </c>
      <c r="C67" t="s">
        <v>72</v>
      </c>
      <c r="D67">
        <v>0</v>
      </c>
      <c r="E67">
        <v>0</v>
      </c>
      <c r="F67">
        <v>0</v>
      </c>
      <c r="G67">
        <v>0.96</v>
      </c>
      <c r="H67">
        <v>0</v>
      </c>
      <c r="I67">
        <v>0</v>
      </c>
      <c r="J67">
        <v>0</v>
      </c>
      <c r="K67">
        <v>0</v>
      </c>
      <c r="L67">
        <v>0</v>
      </c>
      <c r="M67">
        <v>0.04</v>
      </c>
      <c r="N67">
        <v>0</v>
      </c>
    </row>
    <row r="68" spans="1:14">
      <c r="A68">
        <v>67</v>
      </c>
      <c r="B68" t="s">
        <v>20</v>
      </c>
      <c r="C68" t="s">
        <v>20</v>
      </c>
      <c r="D68">
        <v>0</v>
      </c>
      <c r="E68">
        <v>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20</v>
      </c>
      <c r="C69" t="s">
        <v>20</v>
      </c>
      <c r="D69">
        <v>0.01</v>
      </c>
      <c r="E69">
        <v>0.99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31</v>
      </c>
      <c r="C70" t="s">
        <v>31</v>
      </c>
      <c r="D70">
        <v>0</v>
      </c>
      <c r="E70">
        <v>0</v>
      </c>
      <c r="F70">
        <v>0</v>
      </c>
      <c r="G70">
        <v>0</v>
      </c>
      <c r="H70">
        <v>0.96</v>
      </c>
      <c r="I70">
        <v>0</v>
      </c>
      <c r="J70">
        <v>0.04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20</v>
      </c>
      <c r="C71" t="s">
        <v>20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110</v>
      </c>
      <c r="C72" t="s">
        <v>110</v>
      </c>
      <c r="D72">
        <v>0</v>
      </c>
      <c r="E72">
        <v>0</v>
      </c>
      <c r="F72">
        <v>0</v>
      </c>
      <c r="G72">
        <v>0</v>
      </c>
      <c r="H72">
        <v>0.04</v>
      </c>
      <c r="I72">
        <v>0.96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40</v>
      </c>
      <c r="C73" t="s">
        <v>40</v>
      </c>
      <c r="D73">
        <v>0.03</v>
      </c>
      <c r="E73">
        <v>0</v>
      </c>
      <c r="F73">
        <v>0</v>
      </c>
      <c r="G73">
        <v>0</v>
      </c>
      <c r="H73">
        <v>0.04</v>
      </c>
      <c r="I73">
        <v>0</v>
      </c>
      <c r="J73">
        <v>0.85</v>
      </c>
      <c r="K73">
        <v>0</v>
      </c>
      <c r="L73">
        <v>0</v>
      </c>
      <c r="M73">
        <v>0.08</v>
      </c>
      <c r="N73">
        <v>0</v>
      </c>
    </row>
    <row r="74" spans="1:14">
      <c r="A74">
        <v>73</v>
      </c>
      <c r="B74" t="s">
        <v>27</v>
      </c>
      <c r="C74" t="s">
        <v>27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</row>
    <row r="75" spans="1:14">
      <c r="A75">
        <v>74</v>
      </c>
      <c r="B75" t="s">
        <v>20</v>
      </c>
      <c r="C75" t="s">
        <v>20</v>
      </c>
      <c r="D75">
        <v>0</v>
      </c>
      <c r="E75">
        <v>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35</v>
      </c>
      <c r="C76" t="s">
        <v>35</v>
      </c>
      <c r="D76">
        <v>0.69</v>
      </c>
      <c r="E76">
        <v>0.03</v>
      </c>
      <c r="F76">
        <v>0</v>
      </c>
      <c r="G76">
        <v>0</v>
      </c>
      <c r="H76">
        <v>0.04</v>
      </c>
      <c r="I76">
        <v>0</v>
      </c>
      <c r="J76">
        <v>0.11</v>
      </c>
      <c r="K76">
        <v>0</v>
      </c>
      <c r="L76">
        <v>0</v>
      </c>
      <c r="M76">
        <v>0.13</v>
      </c>
      <c r="N76">
        <v>0</v>
      </c>
    </row>
    <row r="77" spans="1:14">
      <c r="A77">
        <v>76</v>
      </c>
      <c r="B77" t="s">
        <v>57</v>
      </c>
      <c r="C77" t="s">
        <v>57</v>
      </c>
      <c r="D77">
        <v>0</v>
      </c>
      <c r="E77">
        <v>0</v>
      </c>
      <c r="F77">
        <v>0.97</v>
      </c>
      <c r="G77">
        <v>0</v>
      </c>
      <c r="H77">
        <v>0</v>
      </c>
      <c r="I77">
        <v>0</v>
      </c>
      <c r="J77">
        <v>0.01</v>
      </c>
      <c r="K77">
        <v>0</v>
      </c>
      <c r="L77">
        <v>0.02</v>
      </c>
      <c r="M77">
        <v>0</v>
      </c>
      <c r="N77">
        <v>0</v>
      </c>
    </row>
    <row r="78" spans="1:14">
      <c r="A78">
        <v>77</v>
      </c>
      <c r="B78" t="s">
        <v>40</v>
      </c>
      <c r="C78" t="s">
        <v>40</v>
      </c>
      <c r="D78">
        <v>0</v>
      </c>
      <c r="E78">
        <v>7.0000000000000007E-2</v>
      </c>
      <c r="F78">
        <v>0</v>
      </c>
      <c r="G78">
        <v>0</v>
      </c>
      <c r="H78">
        <v>0.06</v>
      </c>
      <c r="I78">
        <v>0</v>
      </c>
      <c r="J78">
        <v>0.68</v>
      </c>
      <c r="K78">
        <v>0.03</v>
      </c>
      <c r="L78">
        <v>0</v>
      </c>
      <c r="M78">
        <v>0.03</v>
      </c>
      <c r="N78">
        <v>0.13</v>
      </c>
    </row>
    <row r="79" spans="1:14">
      <c r="A79">
        <v>78</v>
      </c>
      <c r="B79" t="s">
        <v>20</v>
      </c>
      <c r="C79" t="s">
        <v>20</v>
      </c>
      <c r="D79">
        <v>0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20</v>
      </c>
      <c r="C80" t="s">
        <v>20</v>
      </c>
      <c r="D80">
        <v>0</v>
      </c>
      <c r="E80">
        <v>0.98</v>
      </c>
      <c r="F80">
        <v>0</v>
      </c>
      <c r="G80">
        <v>0</v>
      </c>
      <c r="H80">
        <v>0</v>
      </c>
      <c r="I80">
        <v>0.02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20</v>
      </c>
      <c r="C81" t="s">
        <v>20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31</v>
      </c>
      <c r="C82" t="s">
        <v>31</v>
      </c>
      <c r="D82">
        <v>0</v>
      </c>
      <c r="E82">
        <v>0.01</v>
      </c>
      <c r="F82">
        <v>0</v>
      </c>
      <c r="G82">
        <v>0</v>
      </c>
      <c r="H82">
        <v>0.85</v>
      </c>
      <c r="I82">
        <v>0</v>
      </c>
      <c r="J82">
        <v>0</v>
      </c>
      <c r="K82">
        <v>0</v>
      </c>
      <c r="L82">
        <v>0</v>
      </c>
      <c r="M82">
        <v>0.14000000000000001</v>
      </c>
      <c r="N82">
        <v>0</v>
      </c>
    </row>
    <row r="83" spans="1:14">
      <c r="A83">
        <v>82</v>
      </c>
      <c r="B83" t="s">
        <v>20</v>
      </c>
      <c r="C83" t="s">
        <v>20</v>
      </c>
      <c r="D83">
        <v>0</v>
      </c>
      <c r="E83">
        <v>0.96</v>
      </c>
      <c r="F83">
        <v>0</v>
      </c>
      <c r="G83">
        <v>0</v>
      </c>
      <c r="H83">
        <v>0.02</v>
      </c>
      <c r="I83">
        <v>0</v>
      </c>
      <c r="J83">
        <v>0</v>
      </c>
      <c r="K83">
        <v>0</v>
      </c>
      <c r="L83">
        <v>0.02</v>
      </c>
      <c r="M83">
        <v>0</v>
      </c>
      <c r="N83">
        <v>0</v>
      </c>
    </row>
    <row r="84" spans="1:14">
      <c r="A84">
        <v>83</v>
      </c>
      <c r="B84" t="s">
        <v>20</v>
      </c>
      <c r="C84" t="s">
        <v>20</v>
      </c>
      <c r="D84">
        <v>0</v>
      </c>
      <c r="E84">
        <v>0.88</v>
      </c>
      <c r="F84">
        <v>0</v>
      </c>
      <c r="G84">
        <v>0</v>
      </c>
      <c r="H84">
        <v>0.1</v>
      </c>
      <c r="I84">
        <v>0</v>
      </c>
      <c r="J84">
        <v>0.02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40</v>
      </c>
      <c r="C85" t="s">
        <v>40</v>
      </c>
      <c r="D85">
        <v>0</v>
      </c>
      <c r="E85">
        <v>0.03</v>
      </c>
      <c r="F85">
        <v>0</v>
      </c>
      <c r="G85">
        <v>0</v>
      </c>
      <c r="H85">
        <v>0.09</v>
      </c>
      <c r="I85">
        <v>0</v>
      </c>
      <c r="J85">
        <v>0.88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40</v>
      </c>
      <c r="C86" t="s">
        <v>40</v>
      </c>
      <c r="D86">
        <v>0.01</v>
      </c>
      <c r="E86">
        <v>0</v>
      </c>
      <c r="F86">
        <v>0</v>
      </c>
      <c r="G86">
        <v>0</v>
      </c>
      <c r="H86">
        <v>0.04</v>
      </c>
      <c r="I86">
        <v>0.01</v>
      </c>
      <c r="J86">
        <v>0.83</v>
      </c>
      <c r="K86">
        <v>0</v>
      </c>
      <c r="L86">
        <v>0</v>
      </c>
      <c r="M86">
        <v>0.11</v>
      </c>
      <c r="N86">
        <v>0</v>
      </c>
    </row>
    <row r="87" spans="1:14">
      <c r="A87">
        <v>86</v>
      </c>
      <c r="B87" t="s">
        <v>40</v>
      </c>
      <c r="C87" t="s">
        <v>40</v>
      </c>
      <c r="D87">
        <v>0</v>
      </c>
      <c r="E87">
        <v>0.08</v>
      </c>
      <c r="F87">
        <v>0</v>
      </c>
      <c r="G87">
        <v>0</v>
      </c>
      <c r="H87">
        <v>0.14000000000000001</v>
      </c>
      <c r="I87">
        <v>0</v>
      </c>
      <c r="J87">
        <v>0.69</v>
      </c>
      <c r="K87">
        <v>0.09</v>
      </c>
      <c r="L87">
        <v>0</v>
      </c>
      <c r="M87">
        <v>0</v>
      </c>
      <c r="N87">
        <v>0</v>
      </c>
    </row>
    <row r="88" spans="1:14">
      <c r="A88">
        <v>87</v>
      </c>
      <c r="B88" t="s">
        <v>40</v>
      </c>
      <c r="C88" t="s">
        <v>40</v>
      </c>
      <c r="D88">
        <v>0</v>
      </c>
      <c r="E88">
        <v>0</v>
      </c>
      <c r="F88">
        <v>0</v>
      </c>
      <c r="G88">
        <v>0</v>
      </c>
      <c r="H88">
        <v>7.0000000000000007E-2</v>
      </c>
      <c r="I88">
        <v>0</v>
      </c>
      <c r="J88">
        <v>0.92</v>
      </c>
      <c r="K88">
        <v>0</v>
      </c>
      <c r="L88">
        <v>0</v>
      </c>
      <c r="M88">
        <v>0.01</v>
      </c>
      <c r="N88">
        <v>0</v>
      </c>
    </row>
    <row r="89" spans="1:14">
      <c r="A89">
        <v>88</v>
      </c>
      <c r="B89" t="s">
        <v>110</v>
      </c>
      <c r="C89" t="s">
        <v>110</v>
      </c>
      <c r="D89">
        <v>0</v>
      </c>
      <c r="E89">
        <v>0</v>
      </c>
      <c r="F89">
        <v>0</v>
      </c>
      <c r="G89">
        <v>0</v>
      </c>
      <c r="H89">
        <v>0.02</v>
      </c>
      <c r="I89">
        <v>0.86</v>
      </c>
      <c r="J89">
        <v>0.12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35</v>
      </c>
      <c r="C90" t="s">
        <v>35</v>
      </c>
      <c r="D90">
        <v>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20</v>
      </c>
      <c r="C91" t="s">
        <v>20</v>
      </c>
      <c r="D91">
        <v>0.19</v>
      </c>
      <c r="E91">
        <v>0.81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72</v>
      </c>
      <c r="C92" t="s">
        <v>72</v>
      </c>
      <c r="D92">
        <v>0</v>
      </c>
      <c r="E92">
        <v>0</v>
      </c>
      <c r="F92">
        <v>0.01</v>
      </c>
      <c r="G92">
        <v>0.97</v>
      </c>
      <c r="H92">
        <v>0</v>
      </c>
      <c r="I92">
        <v>0</v>
      </c>
      <c r="J92">
        <v>0.02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20</v>
      </c>
      <c r="C93" t="s">
        <v>20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31</v>
      </c>
      <c r="C94" t="s">
        <v>31</v>
      </c>
      <c r="D94">
        <v>0</v>
      </c>
      <c r="E94">
        <v>0</v>
      </c>
      <c r="F94">
        <v>0</v>
      </c>
      <c r="G94">
        <v>0</v>
      </c>
      <c r="H94">
        <v>1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72</v>
      </c>
      <c r="C95" t="s">
        <v>72</v>
      </c>
      <c r="D95">
        <v>0</v>
      </c>
      <c r="E95">
        <v>0</v>
      </c>
      <c r="F95">
        <v>0</v>
      </c>
      <c r="G95">
        <v>0.93</v>
      </c>
      <c r="H95">
        <v>0</v>
      </c>
      <c r="I95">
        <v>0</v>
      </c>
      <c r="J95">
        <v>0</v>
      </c>
      <c r="K95">
        <v>0</v>
      </c>
      <c r="L95">
        <v>0</v>
      </c>
      <c r="M95">
        <v>7.0000000000000007E-2</v>
      </c>
      <c r="N95">
        <v>0</v>
      </c>
    </row>
    <row r="96" spans="1:14">
      <c r="A96">
        <v>95</v>
      </c>
      <c r="B96" t="s">
        <v>57</v>
      </c>
      <c r="C96" t="s">
        <v>57</v>
      </c>
      <c r="D96">
        <v>0</v>
      </c>
      <c r="E96">
        <v>0</v>
      </c>
      <c r="F96">
        <v>0.92</v>
      </c>
      <c r="G96">
        <v>0</v>
      </c>
      <c r="H96">
        <v>0</v>
      </c>
      <c r="I96">
        <v>0</v>
      </c>
      <c r="J96">
        <v>0</v>
      </c>
      <c r="K96">
        <v>0</v>
      </c>
      <c r="L96">
        <v>0.08</v>
      </c>
      <c r="M96">
        <v>0</v>
      </c>
      <c r="N96">
        <v>0</v>
      </c>
    </row>
    <row r="97" spans="1:14">
      <c r="A97">
        <v>96</v>
      </c>
      <c r="B97" t="s">
        <v>20</v>
      </c>
      <c r="C97" t="s">
        <v>20</v>
      </c>
      <c r="D97">
        <v>0</v>
      </c>
      <c r="E97">
        <v>1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35</v>
      </c>
      <c r="C98" t="s">
        <v>35</v>
      </c>
      <c r="D98">
        <v>0.61</v>
      </c>
      <c r="E98">
        <v>0.01</v>
      </c>
      <c r="F98">
        <v>0</v>
      </c>
      <c r="G98">
        <v>0</v>
      </c>
      <c r="H98">
        <v>0.08</v>
      </c>
      <c r="I98">
        <v>0</v>
      </c>
      <c r="J98">
        <v>0.06</v>
      </c>
      <c r="K98">
        <v>0</v>
      </c>
      <c r="L98">
        <v>0</v>
      </c>
      <c r="M98">
        <v>0.24</v>
      </c>
      <c r="N98">
        <v>0</v>
      </c>
    </row>
    <row r="99" spans="1:14">
      <c r="A99">
        <v>98</v>
      </c>
      <c r="B99" t="s">
        <v>20</v>
      </c>
      <c r="C99" t="s">
        <v>20</v>
      </c>
      <c r="D99">
        <v>0.15</v>
      </c>
      <c r="E99">
        <v>0.59</v>
      </c>
      <c r="F99">
        <v>0</v>
      </c>
      <c r="G99">
        <v>0</v>
      </c>
      <c r="H99">
        <v>0.04</v>
      </c>
      <c r="I99">
        <v>0.01</v>
      </c>
      <c r="J99">
        <v>0.02</v>
      </c>
      <c r="K99">
        <v>0.08</v>
      </c>
      <c r="L99">
        <v>0</v>
      </c>
      <c r="M99">
        <v>0.03</v>
      </c>
      <c r="N99">
        <v>0.08</v>
      </c>
    </row>
    <row r="100" spans="1:14">
      <c r="A100">
        <v>99</v>
      </c>
      <c r="B100" t="s">
        <v>20</v>
      </c>
      <c r="C100" t="s">
        <v>20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31</v>
      </c>
      <c r="C101" t="s">
        <v>31</v>
      </c>
      <c r="D101">
        <v>0</v>
      </c>
      <c r="E101">
        <v>0.05</v>
      </c>
      <c r="F101">
        <v>0</v>
      </c>
      <c r="G101">
        <v>0</v>
      </c>
      <c r="H101">
        <v>0.92</v>
      </c>
      <c r="I101">
        <v>0</v>
      </c>
      <c r="J101">
        <v>0.03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20</v>
      </c>
      <c r="C102" t="s">
        <v>20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31</v>
      </c>
      <c r="C103" t="s">
        <v>31</v>
      </c>
      <c r="D103">
        <v>0</v>
      </c>
      <c r="E103">
        <v>0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72</v>
      </c>
      <c r="C104" t="s">
        <v>72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31</v>
      </c>
      <c r="C105" t="s">
        <v>31</v>
      </c>
      <c r="D105">
        <v>0</v>
      </c>
      <c r="E105">
        <v>0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>
      <c r="A106">
        <v>105</v>
      </c>
      <c r="B106" t="s">
        <v>89</v>
      </c>
      <c r="C106" t="s">
        <v>89</v>
      </c>
      <c r="D106">
        <v>0</v>
      </c>
      <c r="E106">
        <v>0.11</v>
      </c>
      <c r="F106">
        <v>0</v>
      </c>
      <c r="G106">
        <v>0</v>
      </c>
      <c r="H106">
        <v>0.13</v>
      </c>
      <c r="I106">
        <v>0</v>
      </c>
      <c r="J106">
        <v>0.03</v>
      </c>
      <c r="K106">
        <v>0</v>
      </c>
      <c r="L106">
        <v>0</v>
      </c>
      <c r="M106">
        <v>0.73</v>
      </c>
      <c r="N106">
        <v>0</v>
      </c>
    </row>
    <row r="107" spans="1:14">
      <c r="A107">
        <v>106</v>
      </c>
      <c r="B107" t="s">
        <v>31</v>
      </c>
      <c r="C107" t="s">
        <v>31</v>
      </c>
      <c r="D107">
        <v>0.01</v>
      </c>
      <c r="E107">
        <v>0.04</v>
      </c>
      <c r="F107">
        <v>0</v>
      </c>
      <c r="G107">
        <v>0</v>
      </c>
      <c r="H107">
        <v>0.86</v>
      </c>
      <c r="I107">
        <v>0</v>
      </c>
      <c r="J107">
        <v>0.03</v>
      </c>
      <c r="K107">
        <v>0</v>
      </c>
      <c r="L107">
        <v>0</v>
      </c>
      <c r="M107">
        <v>0.06</v>
      </c>
      <c r="N107">
        <v>0</v>
      </c>
    </row>
    <row r="108" spans="1:14">
      <c r="A108">
        <v>107</v>
      </c>
      <c r="B108" t="s">
        <v>31</v>
      </c>
      <c r="C108" t="s">
        <v>31</v>
      </c>
      <c r="D108">
        <v>0</v>
      </c>
      <c r="E108">
        <v>0</v>
      </c>
      <c r="F108">
        <v>0</v>
      </c>
      <c r="G108">
        <v>0</v>
      </c>
      <c r="H108">
        <v>0.96</v>
      </c>
      <c r="I108">
        <v>0.01</v>
      </c>
      <c r="J108">
        <v>0</v>
      </c>
      <c r="K108">
        <v>0.02</v>
      </c>
      <c r="L108">
        <v>0.01</v>
      </c>
      <c r="M108">
        <v>0</v>
      </c>
      <c r="N108">
        <v>0</v>
      </c>
    </row>
    <row r="109" spans="1:14">
      <c r="A109">
        <v>108</v>
      </c>
      <c r="B109" t="s">
        <v>40</v>
      </c>
      <c r="C109" t="s">
        <v>40</v>
      </c>
      <c r="D109">
        <v>0.01</v>
      </c>
      <c r="E109">
        <v>0</v>
      </c>
      <c r="F109">
        <v>0</v>
      </c>
      <c r="G109">
        <v>0</v>
      </c>
      <c r="H109">
        <v>0.23</v>
      </c>
      <c r="I109">
        <v>0</v>
      </c>
      <c r="J109">
        <v>0.75</v>
      </c>
      <c r="K109">
        <v>0</v>
      </c>
      <c r="L109">
        <v>0</v>
      </c>
      <c r="M109">
        <v>0</v>
      </c>
      <c r="N109">
        <v>0.01</v>
      </c>
    </row>
    <row r="110" spans="1:14">
      <c r="A110">
        <v>109</v>
      </c>
      <c r="B110" t="s">
        <v>31</v>
      </c>
      <c r="C110" t="s">
        <v>31</v>
      </c>
      <c r="D110">
        <v>0</v>
      </c>
      <c r="E110">
        <v>0</v>
      </c>
      <c r="F110">
        <v>0</v>
      </c>
      <c r="G110">
        <v>0</v>
      </c>
      <c r="H110">
        <v>1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20</v>
      </c>
      <c r="C111" t="s">
        <v>20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35</v>
      </c>
      <c r="C112" t="s">
        <v>35</v>
      </c>
      <c r="D112">
        <v>0.69</v>
      </c>
      <c r="E112">
        <v>0</v>
      </c>
      <c r="F112">
        <v>0</v>
      </c>
      <c r="G112">
        <v>0</v>
      </c>
      <c r="H112">
        <v>0.27</v>
      </c>
      <c r="I112">
        <v>0</v>
      </c>
      <c r="J112">
        <v>0.04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35</v>
      </c>
      <c r="C113" t="s">
        <v>35</v>
      </c>
      <c r="D113">
        <v>0.99</v>
      </c>
      <c r="E113">
        <v>0</v>
      </c>
      <c r="F113">
        <v>0</v>
      </c>
      <c r="G113">
        <v>0</v>
      </c>
      <c r="H113">
        <v>0.01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35</v>
      </c>
      <c r="C114" t="s">
        <v>35</v>
      </c>
      <c r="D114">
        <v>0.8</v>
      </c>
      <c r="E114">
        <v>0</v>
      </c>
      <c r="F114">
        <v>0</v>
      </c>
      <c r="G114">
        <v>0</v>
      </c>
      <c r="H114">
        <v>0.04</v>
      </c>
      <c r="I114">
        <v>0</v>
      </c>
      <c r="J114">
        <v>0.02</v>
      </c>
      <c r="K114">
        <v>0</v>
      </c>
      <c r="L114">
        <v>0</v>
      </c>
      <c r="M114">
        <v>0.14000000000000001</v>
      </c>
      <c r="N114">
        <v>0</v>
      </c>
    </row>
    <row r="115" spans="1:14">
      <c r="A115">
        <v>114</v>
      </c>
      <c r="B115" t="s">
        <v>40</v>
      </c>
      <c r="C115" t="s">
        <v>40</v>
      </c>
      <c r="D115">
        <v>0</v>
      </c>
      <c r="E115">
        <v>0.02</v>
      </c>
      <c r="F115">
        <v>0.01</v>
      </c>
      <c r="G115">
        <v>0</v>
      </c>
      <c r="H115">
        <v>0.32</v>
      </c>
      <c r="I115">
        <v>0</v>
      </c>
      <c r="J115">
        <v>0.65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57</v>
      </c>
      <c r="C116" t="s">
        <v>57</v>
      </c>
      <c r="D116">
        <v>0</v>
      </c>
      <c r="E116">
        <v>0</v>
      </c>
      <c r="F116">
        <v>0.99</v>
      </c>
      <c r="G116">
        <v>0</v>
      </c>
      <c r="H116">
        <v>0.01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20</v>
      </c>
      <c r="C117" t="s">
        <v>20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31</v>
      </c>
      <c r="C118" t="s">
        <v>31</v>
      </c>
      <c r="D118">
        <v>0</v>
      </c>
      <c r="E118">
        <v>0.02</v>
      </c>
      <c r="F118">
        <v>0</v>
      </c>
      <c r="G118">
        <v>0</v>
      </c>
      <c r="H118">
        <v>0.95</v>
      </c>
      <c r="I118">
        <v>0</v>
      </c>
      <c r="J118">
        <v>0</v>
      </c>
      <c r="K118">
        <v>0</v>
      </c>
      <c r="L118">
        <v>0</v>
      </c>
      <c r="M118">
        <v>0.03</v>
      </c>
      <c r="N118">
        <v>0</v>
      </c>
    </row>
    <row r="119" spans="1:14">
      <c r="A119">
        <v>118</v>
      </c>
      <c r="B119" t="s">
        <v>31</v>
      </c>
      <c r="C119" t="s">
        <v>31</v>
      </c>
      <c r="D119">
        <v>0</v>
      </c>
      <c r="E119">
        <v>0.26</v>
      </c>
      <c r="F119">
        <v>0</v>
      </c>
      <c r="G119">
        <v>0</v>
      </c>
      <c r="H119">
        <v>0.74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119</v>
      </c>
      <c r="B120" t="s">
        <v>193</v>
      </c>
      <c r="C120" t="s">
        <v>193</v>
      </c>
      <c r="D120">
        <v>0.32</v>
      </c>
      <c r="E120">
        <v>0</v>
      </c>
      <c r="F120">
        <v>0</v>
      </c>
      <c r="G120">
        <v>0</v>
      </c>
      <c r="H120">
        <v>0.01</v>
      </c>
      <c r="I120">
        <v>0</v>
      </c>
      <c r="J120">
        <v>0.03</v>
      </c>
      <c r="K120">
        <v>0</v>
      </c>
      <c r="L120">
        <v>0</v>
      </c>
      <c r="M120">
        <v>0</v>
      </c>
      <c r="N120">
        <v>0.64</v>
      </c>
    </row>
    <row r="121" spans="1:14">
      <c r="A121">
        <v>120</v>
      </c>
      <c r="B121" t="s">
        <v>89</v>
      </c>
      <c r="C121" t="s">
        <v>89</v>
      </c>
      <c r="D121">
        <v>0.25</v>
      </c>
      <c r="E121">
        <v>0.02</v>
      </c>
      <c r="F121">
        <v>0</v>
      </c>
      <c r="G121">
        <v>0</v>
      </c>
      <c r="H121">
        <v>0.02</v>
      </c>
      <c r="I121">
        <v>0</v>
      </c>
      <c r="J121">
        <v>0.02</v>
      </c>
      <c r="K121">
        <v>0</v>
      </c>
      <c r="L121">
        <v>0</v>
      </c>
      <c r="M121">
        <v>0.69</v>
      </c>
      <c r="N121">
        <v>0</v>
      </c>
    </row>
    <row r="122" spans="1:14">
      <c r="A122">
        <v>121</v>
      </c>
      <c r="B122" t="s">
        <v>40</v>
      </c>
      <c r="C122" t="s">
        <v>40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0.99</v>
      </c>
      <c r="K122">
        <v>0</v>
      </c>
      <c r="L122">
        <v>0</v>
      </c>
      <c r="M122">
        <v>0</v>
      </c>
      <c r="N122">
        <v>0.01</v>
      </c>
    </row>
    <row r="123" spans="1:14">
      <c r="A123">
        <v>122</v>
      </c>
      <c r="B123" t="s">
        <v>35</v>
      </c>
      <c r="C123" t="s">
        <v>35</v>
      </c>
      <c r="D123">
        <v>0.76</v>
      </c>
      <c r="E123">
        <v>0</v>
      </c>
      <c r="F123">
        <v>0</v>
      </c>
      <c r="G123">
        <v>0</v>
      </c>
      <c r="H123">
        <v>0.01</v>
      </c>
      <c r="I123">
        <v>0</v>
      </c>
      <c r="J123">
        <v>0.03</v>
      </c>
      <c r="K123">
        <v>0</v>
      </c>
      <c r="L123">
        <v>0</v>
      </c>
      <c r="M123">
        <v>0.2</v>
      </c>
      <c r="N123">
        <v>0</v>
      </c>
    </row>
    <row r="124" spans="1:14">
      <c r="A124">
        <v>123</v>
      </c>
      <c r="B124" t="s">
        <v>31</v>
      </c>
      <c r="C124" t="s">
        <v>31</v>
      </c>
      <c r="D124">
        <v>0</v>
      </c>
      <c r="E124">
        <v>0.01</v>
      </c>
      <c r="F124">
        <v>0</v>
      </c>
      <c r="G124">
        <v>0</v>
      </c>
      <c r="H124">
        <v>0.96</v>
      </c>
      <c r="I124">
        <v>0</v>
      </c>
      <c r="J124">
        <v>0.02</v>
      </c>
      <c r="K124">
        <v>0.01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31</v>
      </c>
      <c r="C125" t="s">
        <v>31</v>
      </c>
      <c r="D125">
        <v>0</v>
      </c>
      <c r="E125">
        <v>0.31</v>
      </c>
      <c r="F125">
        <v>0</v>
      </c>
      <c r="G125">
        <v>0</v>
      </c>
      <c r="H125">
        <v>0.69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31</v>
      </c>
      <c r="C126" t="s">
        <v>31</v>
      </c>
      <c r="D126">
        <v>7.0000000000000007E-2</v>
      </c>
      <c r="E126">
        <v>0</v>
      </c>
      <c r="F126">
        <v>0</v>
      </c>
      <c r="G126">
        <v>0</v>
      </c>
      <c r="H126">
        <v>0.74</v>
      </c>
      <c r="I126">
        <v>0</v>
      </c>
      <c r="J126">
        <v>0.14000000000000001</v>
      </c>
      <c r="K126">
        <v>0.01</v>
      </c>
      <c r="L126">
        <v>0</v>
      </c>
      <c r="M126">
        <v>0.04</v>
      </c>
      <c r="N126">
        <v>0</v>
      </c>
    </row>
    <row r="127" spans="1:14">
      <c r="A127">
        <v>126</v>
      </c>
      <c r="B127" t="s">
        <v>72</v>
      </c>
      <c r="C127" t="s">
        <v>72</v>
      </c>
      <c r="D127">
        <v>0</v>
      </c>
      <c r="E127">
        <v>0</v>
      </c>
      <c r="F127">
        <v>0</v>
      </c>
      <c r="G127">
        <v>0.95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0.05</v>
      </c>
      <c r="N127">
        <v>0</v>
      </c>
    </row>
    <row r="128" spans="1:14">
      <c r="A128">
        <v>127</v>
      </c>
      <c r="B128" t="s">
        <v>72</v>
      </c>
      <c r="C128" t="s">
        <v>72</v>
      </c>
      <c r="D128">
        <v>0</v>
      </c>
      <c r="E128">
        <v>0</v>
      </c>
      <c r="F128">
        <v>0</v>
      </c>
      <c r="G128">
        <v>0.92</v>
      </c>
      <c r="H128">
        <v>0</v>
      </c>
      <c r="I128">
        <v>0</v>
      </c>
      <c r="J128">
        <v>0.08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40</v>
      </c>
      <c r="C129" t="s">
        <v>40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20</v>
      </c>
      <c r="C130" t="s">
        <v>20</v>
      </c>
      <c r="D130">
        <v>0</v>
      </c>
      <c r="E130">
        <v>0.99</v>
      </c>
      <c r="F130">
        <v>0</v>
      </c>
      <c r="G130">
        <v>0</v>
      </c>
      <c r="H130">
        <v>0</v>
      </c>
      <c r="I130">
        <v>0.01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72</v>
      </c>
      <c r="C131" t="s">
        <v>72</v>
      </c>
      <c r="D131">
        <v>0.01</v>
      </c>
      <c r="E131">
        <v>0.33</v>
      </c>
      <c r="F131">
        <v>0</v>
      </c>
      <c r="G131">
        <v>0.62</v>
      </c>
      <c r="H131">
        <v>0.04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20</v>
      </c>
      <c r="C132" t="s">
        <v>20</v>
      </c>
      <c r="D132">
        <v>0</v>
      </c>
      <c r="E132">
        <v>0.76</v>
      </c>
      <c r="F132">
        <v>0.02</v>
      </c>
      <c r="G132">
        <v>0</v>
      </c>
      <c r="H132">
        <v>0.01</v>
      </c>
      <c r="I132">
        <v>0</v>
      </c>
      <c r="J132">
        <v>0.2</v>
      </c>
      <c r="K132">
        <v>0</v>
      </c>
      <c r="L132">
        <v>0.01</v>
      </c>
      <c r="M132">
        <v>0</v>
      </c>
      <c r="N132">
        <v>0</v>
      </c>
    </row>
    <row r="133" spans="1:14">
      <c r="A133">
        <v>132</v>
      </c>
      <c r="B133" t="s">
        <v>20</v>
      </c>
      <c r="C133" t="s">
        <v>20</v>
      </c>
      <c r="D133">
        <v>0</v>
      </c>
      <c r="E133">
        <v>0.96</v>
      </c>
      <c r="F133">
        <v>0</v>
      </c>
      <c r="G133">
        <v>0</v>
      </c>
      <c r="H133">
        <v>0.01</v>
      </c>
      <c r="I133">
        <v>0</v>
      </c>
      <c r="J133">
        <v>0</v>
      </c>
      <c r="K133">
        <v>0</v>
      </c>
      <c r="L133">
        <v>0</v>
      </c>
      <c r="M133">
        <v>0.03</v>
      </c>
      <c r="N133">
        <v>0</v>
      </c>
    </row>
    <row r="134" spans="1:14">
      <c r="A134">
        <v>133</v>
      </c>
      <c r="B134" t="s">
        <v>31</v>
      </c>
      <c r="C134" t="s">
        <v>31</v>
      </c>
      <c r="D134">
        <v>0</v>
      </c>
      <c r="E134">
        <v>0</v>
      </c>
      <c r="F134">
        <v>0</v>
      </c>
      <c r="G134">
        <v>0</v>
      </c>
      <c r="H134">
        <v>0.98</v>
      </c>
      <c r="I134">
        <v>0</v>
      </c>
      <c r="J134">
        <v>0.02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89</v>
      </c>
      <c r="C135" t="s">
        <v>89</v>
      </c>
      <c r="D135">
        <v>0</v>
      </c>
      <c r="E135">
        <v>0</v>
      </c>
      <c r="F135">
        <v>0</v>
      </c>
      <c r="G135">
        <v>0</v>
      </c>
      <c r="H135">
        <v>0.01</v>
      </c>
      <c r="I135">
        <v>0</v>
      </c>
      <c r="J135">
        <v>0.03</v>
      </c>
      <c r="K135">
        <v>0</v>
      </c>
      <c r="L135">
        <v>0</v>
      </c>
      <c r="M135">
        <v>0.96</v>
      </c>
      <c r="N135">
        <v>0</v>
      </c>
    </row>
    <row r="136" spans="1:14">
      <c r="A136">
        <v>135</v>
      </c>
      <c r="B136" t="s">
        <v>72</v>
      </c>
      <c r="C136" t="s">
        <v>72</v>
      </c>
      <c r="D136">
        <v>0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31</v>
      </c>
      <c r="C137" t="s">
        <v>31</v>
      </c>
      <c r="D137">
        <v>0.01</v>
      </c>
      <c r="E137">
        <v>0</v>
      </c>
      <c r="F137">
        <v>0</v>
      </c>
      <c r="G137">
        <v>7.0000000000000007E-2</v>
      </c>
      <c r="H137">
        <v>0.84</v>
      </c>
      <c r="I137">
        <v>0</v>
      </c>
      <c r="J137">
        <v>0</v>
      </c>
      <c r="K137">
        <v>0</v>
      </c>
      <c r="L137">
        <v>0.08</v>
      </c>
      <c r="M137">
        <v>0</v>
      </c>
      <c r="N137">
        <v>0</v>
      </c>
    </row>
    <row r="138" spans="1:14">
      <c r="A138">
        <v>137</v>
      </c>
      <c r="B138" t="s">
        <v>72</v>
      </c>
      <c r="C138" t="s">
        <v>72</v>
      </c>
      <c r="D138">
        <v>0</v>
      </c>
      <c r="E138">
        <v>0</v>
      </c>
      <c r="F138">
        <v>0</v>
      </c>
      <c r="G138">
        <v>0.94</v>
      </c>
      <c r="H138">
        <v>0.01</v>
      </c>
      <c r="I138">
        <v>0</v>
      </c>
      <c r="J138">
        <v>0</v>
      </c>
      <c r="K138">
        <v>0</v>
      </c>
      <c r="L138">
        <v>0</v>
      </c>
      <c r="M138">
        <v>0.05</v>
      </c>
      <c r="N138">
        <v>0</v>
      </c>
    </row>
    <row r="139" spans="1:14">
      <c r="A139">
        <v>138</v>
      </c>
      <c r="B139" t="s">
        <v>31</v>
      </c>
      <c r="C139" t="s">
        <v>31</v>
      </c>
      <c r="D139">
        <v>0.4</v>
      </c>
      <c r="E139">
        <v>0</v>
      </c>
      <c r="F139">
        <v>0.01</v>
      </c>
      <c r="G139">
        <v>0</v>
      </c>
      <c r="H139">
        <v>0.59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20</v>
      </c>
      <c r="C140" t="s">
        <v>20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27</v>
      </c>
      <c r="C141" t="s">
        <v>27</v>
      </c>
      <c r="D141">
        <v>0</v>
      </c>
      <c r="E141">
        <v>0</v>
      </c>
      <c r="F141">
        <v>0.02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0.98</v>
      </c>
      <c r="M141">
        <v>0</v>
      </c>
      <c r="N141">
        <v>0</v>
      </c>
    </row>
    <row r="142" spans="1:14">
      <c r="A142">
        <v>141</v>
      </c>
      <c r="B142" t="s">
        <v>35</v>
      </c>
      <c r="C142" t="s">
        <v>35</v>
      </c>
      <c r="D142">
        <v>0.69</v>
      </c>
      <c r="E142">
        <v>0.02</v>
      </c>
      <c r="F142">
        <v>0</v>
      </c>
      <c r="G142">
        <v>0</v>
      </c>
      <c r="H142">
        <v>0.05</v>
      </c>
      <c r="I142">
        <v>0</v>
      </c>
      <c r="J142">
        <v>0.11</v>
      </c>
      <c r="K142">
        <v>0</v>
      </c>
      <c r="L142">
        <v>0</v>
      </c>
      <c r="M142">
        <v>0.12</v>
      </c>
      <c r="N142">
        <v>0.01</v>
      </c>
    </row>
    <row r="143" spans="1:14">
      <c r="A143">
        <v>142</v>
      </c>
      <c r="B143" t="s">
        <v>31</v>
      </c>
      <c r="C143" t="s">
        <v>31</v>
      </c>
      <c r="D143">
        <v>0</v>
      </c>
      <c r="E143">
        <v>0</v>
      </c>
      <c r="F143">
        <v>0</v>
      </c>
      <c r="G143">
        <v>0</v>
      </c>
      <c r="H143">
        <v>0.99</v>
      </c>
      <c r="I143">
        <v>0.01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89</v>
      </c>
      <c r="C144" t="s">
        <v>89</v>
      </c>
      <c r="D144">
        <v>7.0000000000000007E-2</v>
      </c>
      <c r="E144">
        <v>0.08</v>
      </c>
      <c r="F144">
        <v>0</v>
      </c>
      <c r="G144">
        <v>0</v>
      </c>
      <c r="H144">
        <v>7.0000000000000007E-2</v>
      </c>
      <c r="I144">
        <v>0</v>
      </c>
      <c r="J144">
        <v>0.02</v>
      </c>
      <c r="K144">
        <v>0</v>
      </c>
      <c r="L144">
        <v>0</v>
      </c>
      <c r="M144">
        <v>0.76</v>
      </c>
      <c r="N144">
        <v>0</v>
      </c>
    </row>
    <row r="145" spans="1:14">
      <c r="A145">
        <v>144</v>
      </c>
      <c r="B145" t="s">
        <v>31</v>
      </c>
      <c r="C145" t="s">
        <v>31</v>
      </c>
      <c r="D145">
        <v>0.1</v>
      </c>
      <c r="E145">
        <v>0.01</v>
      </c>
      <c r="F145">
        <v>0</v>
      </c>
      <c r="G145">
        <v>0</v>
      </c>
      <c r="H145">
        <v>0.71</v>
      </c>
      <c r="I145">
        <v>0</v>
      </c>
      <c r="J145">
        <v>0.01</v>
      </c>
      <c r="K145">
        <v>0</v>
      </c>
      <c r="L145">
        <v>0</v>
      </c>
      <c r="M145">
        <v>0.13</v>
      </c>
      <c r="N145">
        <v>0.04</v>
      </c>
    </row>
    <row r="146" spans="1:14">
      <c r="A146">
        <v>145</v>
      </c>
      <c r="B146" t="s">
        <v>31</v>
      </c>
      <c r="C146" t="s">
        <v>31</v>
      </c>
      <c r="D146">
        <v>0</v>
      </c>
      <c r="E146">
        <v>0</v>
      </c>
      <c r="F146">
        <v>0</v>
      </c>
      <c r="G146">
        <v>0</v>
      </c>
      <c r="H146">
        <v>0.94</v>
      </c>
      <c r="I146">
        <v>0</v>
      </c>
      <c r="J146">
        <v>0.04</v>
      </c>
      <c r="K146">
        <v>0</v>
      </c>
      <c r="L146">
        <v>0</v>
      </c>
      <c r="M146">
        <v>0.02</v>
      </c>
      <c r="N146">
        <v>0</v>
      </c>
    </row>
    <row r="147" spans="1:14">
      <c r="A147">
        <v>146</v>
      </c>
      <c r="B147" t="s">
        <v>20</v>
      </c>
      <c r="C147" t="s">
        <v>20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40</v>
      </c>
      <c r="C148" t="s">
        <v>40</v>
      </c>
      <c r="D148">
        <v>0.04</v>
      </c>
      <c r="E148">
        <v>0</v>
      </c>
      <c r="F148">
        <v>0</v>
      </c>
      <c r="G148">
        <v>0.02</v>
      </c>
      <c r="H148">
        <v>0</v>
      </c>
      <c r="I148">
        <v>0</v>
      </c>
      <c r="J148">
        <v>0.91</v>
      </c>
      <c r="K148">
        <v>0</v>
      </c>
      <c r="L148">
        <v>0</v>
      </c>
      <c r="M148">
        <v>0.03</v>
      </c>
      <c r="N148">
        <v>0</v>
      </c>
    </row>
    <row r="149" spans="1:14">
      <c r="A149">
        <v>148</v>
      </c>
      <c r="B149" t="s">
        <v>89</v>
      </c>
      <c r="C149" t="s">
        <v>89</v>
      </c>
      <c r="D149">
        <v>0</v>
      </c>
      <c r="E149">
        <v>0.02</v>
      </c>
      <c r="F149">
        <v>0</v>
      </c>
      <c r="G149">
        <v>0</v>
      </c>
      <c r="H149">
        <v>0.06</v>
      </c>
      <c r="I149">
        <v>0</v>
      </c>
      <c r="J149">
        <v>0.02</v>
      </c>
      <c r="K149">
        <v>0</v>
      </c>
      <c r="L149">
        <v>0</v>
      </c>
      <c r="M149">
        <v>0.9</v>
      </c>
      <c r="N149">
        <v>0</v>
      </c>
    </row>
    <row r="150" spans="1:14">
      <c r="A150">
        <v>149</v>
      </c>
      <c r="B150" t="s">
        <v>40</v>
      </c>
      <c r="C150" t="s">
        <v>40</v>
      </c>
      <c r="D150">
        <v>0.08</v>
      </c>
      <c r="E150">
        <v>0</v>
      </c>
      <c r="F150">
        <v>0</v>
      </c>
      <c r="G150">
        <v>0</v>
      </c>
      <c r="H150">
        <v>7.0000000000000007E-2</v>
      </c>
      <c r="I150">
        <v>0</v>
      </c>
      <c r="J150">
        <v>0.83</v>
      </c>
      <c r="K150">
        <v>0</v>
      </c>
      <c r="L150">
        <v>0</v>
      </c>
      <c r="M150">
        <v>0.02</v>
      </c>
      <c r="N150">
        <v>0</v>
      </c>
    </row>
    <row r="151" spans="1:14">
      <c r="A151">
        <v>150</v>
      </c>
      <c r="B151" t="s">
        <v>57</v>
      </c>
      <c r="C151" t="s">
        <v>57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27</v>
      </c>
      <c r="C152" t="s">
        <v>27</v>
      </c>
      <c r="D152">
        <v>0</v>
      </c>
      <c r="E152">
        <v>0</v>
      </c>
      <c r="F152">
        <v>0</v>
      </c>
      <c r="G152">
        <v>0</v>
      </c>
      <c r="H152">
        <v>0.01</v>
      </c>
      <c r="I152">
        <v>0</v>
      </c>
      <c r="J152">
        <v>0</v>
      </c>
      <c r="K152">
        <v>0</v>
      </c>
      <c r="L152">
        <v>0.99</v>
      </c>
      <c r="M152">
        <v>0</v>
      </c>
      <c r="N152">
        <v>0</v>
      </c>
    </row>
    <row r="153" spans="1:14">
      <c r="A153">
        <v>152</v>
      </c>
      <c r="B153" t="s">
        <v>40</v>
      </c>
      <c r="C153" t="s">
        <v>40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0.99</v>
      </c>
      <c r="K153">
        <v>0</v>
      </c>
      <c r="L153">
        <v>0</v>
      </c>
      <c r="M153">
        <v>0.01</v>
      </c>
      <c r="N153">
        <v>0</v>
      </c>
    </row>
    <row r="154" spans="1:14">
      <c r="A154">
        <v>153</v>
      </c>
      <c r="B154" t="s">
        <v>40</v>
      </c>
      <c r="C154" t="s">
        <v>40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0.97</v>
      </c>
      <c r="K154">
        <v>0</v>
      </c>
      <c r="L154">
        <v>0</v>
      </c>
      <c r="M154">
        <v>0</v>
      </c>
      <c r="N154">
        <v>0.03</v>
      </c>
    </row>
    <row r="155" spans="1:14">
      <c r="A155">
        <v>154</v>
      </c>
      <c r="B155" t="s">
        <v>31</v>
      </c>
      <c r="C155" t="s">
        <v>31</v>
      </c>
      <c r="D155">
        <v>0</v>
      </c>
      <c r="E155">
        <v>0</v>
      </c>
      <c r="F155">
        <v>0</v>
      </c>
      <c r="G155">
        <v>0</v>
      </c>
      <c r="H155">
        <v>0.79</v>
      </c>
      <c r="I155">
        <v>0.09</v>
      </c>
      <c r="J155">
        <v>0</v>
      </c>
      <c r="K155">
        <v>0</v>
      </c>
      <c r="L155">
        <v>0</v>
      </c>
      <c r="M155">
        <v>0.12</v>
      </c>
      <c r="N155">
        <v>0</v>
      </c>
    </row>
    <row r="156" spans="1:14">
      <c r="A156">
        <v>155</v>
      </c>
      <c r="B156" t="s">
        <v>20</v>
      </c>
      <c r="C156" t="s">
        <v>20</v>
      </c>
      <c r="D156">
        <v>0.02</v>
      </c>
      <c r="E156">
        <v>0.75</v>
      </c>
      <c r="F156">
        <v>0</v>
      </c>
      <c r="G156">
        <v>0</v>
      </c>
      <c r="H156">
        <v>7.0000000000000007E-2</v>
      </c>
      <c r="I156">
        <v>0</v>
      </c>
      <c r="J156">
        <v>0.06</v>
      </c>
      <c r="K156">
        <v>0.02</v>
      </c>
      <c r="L156">
        <v>0</v>
      </c>
      <c r="M156">
        <v>0.01</v>
      </c>
      <c r="N156">
        <v>7.0000000000000007E-2</v>
      </c>
    </row>
    <row r="157" spans="1:14">
      <c r="A157">
        <v>156</v>
      </c>
      <c r="B157" t="s">
        <v>40</v>
      </c>
      <c r="C157" t="s">
        <v>40</v>
      </c>
      <c r="D157">
        <v>0</v>
      </c>
      <c r="E157">
        <v>0</v>
      </c>
      <c r="F157">
        <v>0</v>
      </c>
      <c r="G157">
        <v>0</v>
      </c>
      <c r="H157">
        <v>0.02</v>
      </c>
      <c r="I157">
        <v>0.01</v>
      </c>
      <c r="J157">
        <v>0.97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40</v>
      </c>
      <c r="C158" t="s">
        <v>40</v>
      </c>
      <c r="D158">
        <v>0</v>
      </c>
      <c r="E158">
        <v>7.0000000000000007E-2</v>
      </c>
      <c r="F158">
        <v>0</v>
      </c>
      <c r="G158">
        <v>0</v>
      </c>
      <c r="H158">
        <v>0.18</v>
      </c>
      <c r="I158">
        <v>0</v>
      </c>
      <c r="J158">
        <v>0.69</v>
      </c>
      <c r="K158">
        <v>0</v>
      </c>
      <c r="L158">
        <v>0</v>
      </c>
      <c r="M158">
        <v>0.06</v>
      </c>
      <c r="N158">
        <v>0</v>
      </c>
    </row>
    <row r="159" spans="1:14">
      <c r="A159">
        <v>158</v>
      </c>
      <c r="B159" t="s">
        <v>40</v>
      </c>
      <c r="C159" t="s">
        <v>40</v>
      </c>
      <c r="D159">
        <v>0.01</v>
      </c>
      <c r="E159">
        <v>0</v>
      </c>
      <c r="F159">
        <v>0</v>
      </c>
      <c r="G159">
        <v>0</v>
      </c>
      <c r="H159">
        <v>0.11</v>
      </c>
      <c r="I159">
        <v>0</v>
      </c>
      <c r="J159">
        <v>0.88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72</v>
      </c>
      <c r="C160" t="s">
        <v>72</v>
      </c>
      <c r="D160">
        <v>0</v>
      </c>
      <c r="E160">
        <v>0</v>
      </c>
      <c r="F160">
        <v>0</v>
      </c>
      <c r="G160">
        <v>0.99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0.01</v>
      </c>
      <c r="N160">
        <v>0</v>
      </c>
    </row>
    <row r="161" spans="1:14">
      <c r="A161">
        <v>160</v>
      </c>
      <c r="B161" t="s">
        <v>31</v>
      </c>
      <c r="C161" t="s">
        <v>31</v>
      </c>
      <c r="D161">
        <v>0</v>
      </c>
      <c r="E161">
        <v>0</v>
      </c>
      <c r="F161">
        <v>0</v>
      </c>
      <c r="G161">
        <v>0</v>
      </c>
      <c r="H161">
        <v>0.97</v>
      </c>
      <c r="I161">
        <v>0</v>
      </c>
      <c r="J161">
        <v>0.01</v>
      </c>
      <c r="K161">
        <v>0.02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40</v>
      </c>
      <c r="C162" t="s">
        <v>40</v>
      </c>
      <c r="D162">
        <v>0.17</v>
      </c>
      <c r="E162">
        <v>0</v>
      </c>
      <c r="F162">
        <v>0</v>
      </c>
      <c r="G162">
        <v>0</v>
      </c>
      <c r="H162">
        <v>0.05</v>
      </c>
      <c r="I162">
        <v>0</v>
      </c>
      <c r="J162">
        <v>0.72</v>
      </c>
      <c r="K162">
        <v>0</v>
      </c>
      <c r="L162">
        <v>0</v>
      </c>
      <c r="M162">
        <v>0.06</v>
      </c>
      <c r="N162">
        <v>0</v>
      </c>
    </row>
    <row r="163" spans="1:14">
      <c r="A163">
        <v>162</v>
      </c>
      <c r="B163" t="s">
        <v>20</v>
      </c>
      <c r="C163" t="s">
        <v>20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89</v>
      </c>
      <c r="C164" t="s">
        <v>89</v>
      </c>
      <c r="D164">
        <v>0</v>
      </c>
      <c r="E164">
        <v>0.02</v>
      </c>
      <c r="F164">
        <v>0</v>
      </c>
      <c r="G164">
        <v>0</v>
      </c>
      <c r="H164">
        <v>0.25</v>
      </c>
      <c r="I164">
        <v>0</v>
      </c>
      <c r="J164">
        <v>0.03</v>
      </c>
      <c r="K164">
        <v>0</v>
      </c>
      <c r="L164">
        <v>0</v>
      </c>
      <c r="M164">
        <v>0.7</v>
      </c>
      <c r="N164">
        <v>0</v>
      </c>
    </row>
    <row r="165" spans="1:14">
      <c r="A165">
        <v>164</v>
      </c>
      <c r="B165" t="s">
        <v>72</v>
      </c>
      <c r="C165" t="s">
        <v>72</v>
      </c>
      <c r="D165">
        <v>0</v>
      </c>
      <c r="E165">
        <v>0</v>
      </c>
      <c r="F165">
        <v>0</v>
      </c>
      <c r="G165">
        <v>0.99</v>
      </c>
      <c r="H165">
        <v>0</v>
      </c>
      <c r="I165">
        <v>0</v>
      </c>
      <c r="J165">
        <v>0.01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31</v>
      </c>
      <c r="C166" t="s">
        <v>31</v>
      </c>
      <c r="D166">
        <v>0</v>
      </c>
      <c r="E166">
        <v>0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20</v>
      </c>
      <c r="C167" t="s">
        <v>20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20</v>
      </c>
      <c r="C168" t="s">
        <v>20</v>
      </c>
      <c r="D168">
        <v>0</v>
      </c>
      <c r="E168">
        <v>0.99</v>
      </c>
      <c r="F168">
        <v>0</v>
      </c>
      <c r="G168">
        <v>0</v>
      </c>
      <c r="H168">
        <v>0</v>
      </c>
      <c r="I168">
        <v>0</v>
      </c>
      <c r="J168">
        <v>0.01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31</v>
      </c>
      <c r="C169" t="s">
        <v>31</v>
      </c>
      <c r="D169">
        <v>0</v>
      </c>
      <c r="E169">
        <v>0.11</v>
      </c>
      <c r="F169">
        <v>0</v>
      </c>
      <c r="G169">
        <v>0</v>
      </c>
      <c r="H169">
        <v>0.85</v>
      </c>
      <c r="I169">
        <v>0</v>
      </c>
      <c r="J169">
        <v>0</v>
      </c>
      <c r="K169">
        <v>0.03</v>
      </c>
      <c r="L169">
        <v>0</v>
      </c>
      <c r="M169">
        <v>0</v>
      </c>
      <c r="N169">
        <v>0.01</v>
      </c>
    </row>
    <row r="170" spans="1:14">
      <c r="A170">
        <v>169</v>
      </c>
      <c r="B170" t="s">
        <v>31</v>
      </c>
      <c r="C170" t="s">
        <v>31</v>
      </c>
      <c r="D170">
        <v>0.02</v>
      </c>
      <c r="E170">
        <v>0.05</v>
      </c>
      <c r="F170">
        <v>0</v>
      </c>
      <c r="G170">
        <v>0</v>
      </c>
      <c r="H170">
        <v>0.76</v>
      </c>
      <c r="I170">
        <v>0</v>
      </c>
      <c r="J170">
        <v>0.06</v>
      </c>
      <c r="K170">
        <v>0</v>
      </c>
      <c r="L170">
        <v>0</v>
      </c>
      <c r="M170">
        <v>0.09</v>
      </c>
      <c r="N170">
        <v>0.02</v>
      </c>
    </row>
    <row r="171" spans="1:14">
      <c r="A171">
        <v>170</v>
      </c>
      <c r="B171" t="s">
        <v>20</v>
      </c>
      <c r="C171" t="s">
        <v>20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20</v>
      </c>
      <c r="C172" t="s">
        <v>20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20</v>
      </c>
      <c r="C173" t="s">
        <v>20</v>
      </c>
      <c r="D173">
        <v>0</v>
      </c>
      <c r="E173">
        <v>0.9</v>
      </c>
      <c r="F173">
        <v>0</v>
      </c>
      <c r="G173">
        <v>0</v>
      </c>
      <c r="H173">
        <v>7.0000000000000007E-2</v>
      </c>
      <c r="I173">
        <v>0</v>
      </c>
      <c r="J173">
        <v>0.03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27</v>
      </c>
      <c r="C174" t="s">
        <v>27</v>
      </c>
      <c r="D174">
        <v>0</v>
      </c>
      <c r="E174">
        <v>0</v>
      </c>
      <c r="F174">
        <v>0.1</v>
      </c>
      <c r="G174">
        <v>0</v>
      </c>
      <c r="H174">
        <v>0.01</v>
      </c>
      <c r="I174">
        <v>0</v>
      </c>
      <c r="J174">
        <v>0</v>
      </c>
      <c r="K174">
        <v>0</v>
      </c>
      <c r="L174">
        <v>0.89</v>
      </c>
      <c r="M174">
        <v>0</v>
      </c>
      <c r="N174">
        <v>0</v>
      </c>
    </row>
    <row r="175" spans="1:14">
      <c r="A175">
        <v>174</v>
      </c>
      <c r="B175" t="s">
        <v>20</v>
      </c>
      <c r="C175" t="s">
        <v>20</v>
      </c>
      <c r="D175">
        <v>0</v>
      </c>
      <c r="E175">
        <v>0.99</v>
      </c>
      <c r="F175">
        <v>0</v>
      </c>
      <c r="G175">
        <v>0</v>
      </c>
      <c r="H175">
        <v>0.01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40</v>
      </c>
      <c r="C176" t="s">
        <v>40</v>
      </c>
      <c r="D176">
        <v>0</v>
      </c>
      <c r="E176">
        <v>0</v>
      </c>
      <c r="F176">
        <v>0</v>
      </c>
      <c r="G176">
        <v>0</v>
      </c>
      <c r="H176">
        <v>0.08</v>
      </c>
      <c r="I176">
        <v>0</v>
      </c>
      <c r="J176">
        <v>0.71</v>
      </c>
      <c r="K176">
        <v>0</v>
      </c>
      <c r="L176">
        <v>0</v>
      </c>
      <c r="M176">
        <v>0.21</v>
      </c>
      <c r="N176">
        <v>0</v>
      </c>
    </row>
    <row r="177" spans="1:14">
      <c r="A177">
        <v>176</v>
      </c>
      <c r="B177" t="s">
        <v>20</v>
      </c>
      <c r="C177" t="s">
        <v>20</v>
      </c>
      <c r="D177">
        <v>0</v>
      </c>
      <c r="E177">
        <v>0.89</v>
      </c>
      <c r="F177">
        <v>0</v>
      </c>
      <c r="G177">
        <v>0</v>
      </c>
      <c r="H177">
        <v>7.0000000000000007E-2</v>
      </c>
      <c r="I177">
        <v>0.01</v>
      </c>
      <c r="J177">
        <v>0.01</v>
      </c>
      <c r="K177">
        <v>0</v>
      </c>
      <c r="L177">
        <v>0</v>
      </c>
      <c r="M177">
        <v>0.02</v>
      </c>
      <c r="N177">
        <v>0</v>
      </c>
    </row>
    <row r="178" spans="1:14">
      <c r="A178">
        <v>177</v>
      </c>
      <c r="B178" t="s">
        <v>40</v>
      </c>
      <c r="C178" t="s">
        <v>40</v>
      </c>
      <c r="D178">
        <v>0</v>
      </c>
      <c r="E178">
        <v>0.01</v>
      </c>
      <c r="F178">
        <v>0</v>
      </c>
      <c r="G178">
        <v>0</v>
      </c>
      <c r="H178">
        <v>0.05</v>
      </c>
      <c r="I178">
        <v>0</v>
      </c>
      <c r="J178">
        <v>0.9</v>
      </c>
      <c r="K178">
        <v>0</v>
      </c>
      <c r="L178">
        <v>0</v>
      </c>
      <c r="M178">
        <v>0.04</v>
      </c>
      <c r="N178">
        <v>0</v>
      </c>
    </row>
    <row r="179" spans="1:14">
      <c r="A179">
        <v>178</v>
      </c>
      <c r="B179" t="s">
        <v>31</v>
      </c>
      <c r="C179" t="s">
        <v>31</v>
      </c>
      <c r="D179">
        <v>0</v>
      </c>
      <c r="E179">
        <v>0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20</v>
      </c>
      <c r="C180" t="s">
        <v>20</v>
      </c>
      <c r="D180">
        <v>0.01</v>
      </c>
      <c r="E180">
        <v>0.99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20</v>
      </c>
      <c r="C181" t="s">
        <v>20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40</v>
      </c>
      <c r="C182" t="s">
        <v>40</v>
      </c>
      <c r="D182">
        <v>0</v>
      </c>
      <c r="E182">
        <v>0.14000000000000001</v>
      </c>
      <c r="F182">
        <v>0</v>
      </c>
      <c r="G182">
        <v>0</v>
      </c>
      <c r="H182">
        <v>0.19</v>
      </c>
      <c r="I182">
        <v>0</v>
      </c>
      <c r="J182">
        <v>0.66</v>
      </c>
      <c r="K182">
        <v>0</v>
      </c>
      <c r="L182">
        <v>0.01</v>
      </c>
      <c r="M182">
        <v>0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72</v>
      </c>
      <c r="C184" t="s">
        <v>72</v>
      </c>
      <c r="D184">
        <v>0</v>
      </c>
      <c r="E184">
        <v>0</v>
      </c>
      <c r="F184">
        <v>0</v>
      </c>
      <c r="G184">
        <v>0.96</v>
      </c>
      <c r="H184">
        <v>0</v>
      </c>
      <c r="I184">
        <v>0</v>
      </c>
      <c r="J184">
        <v>0.02</v>
      </c>
      <c r="K184">
        <v>0</v>
      </c>
      <c r="L184">
        <v>0</v>
      </c>
      <c r="M184">
        <v>0.02</v>
      </c>
      <c r="N184">
        <v>0</v>
      </c>
    </row>
    <row r="185" spans="1:14">
      <c r="A185">
        <v>184</v>
      </c>
      <c r="B185" t="s">
        <v>20</v>
      </c>
      <c r="C185" t="s">
        <v>20</v>
      </c>
      <c r="D185">
        <v>0</v>
      </c>
      <c r="E185">
        <v>0.99</v>
      </c>
      <c r="F185">
        <v>0</v>
      </c>
      <c r="G185">
        <v>0</v>
      </c>
      <c r="H185">
        <v>0.01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20</v>
      </c>
      <c r="C186" t="s">
        <v>20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40</v>
      </c>
      <c r="C187" t="s">
        <v>40</v>
      </c>
      <c r="D187">
        <v>0</v>
      </c>
      <c r="E187">
        <v>0</v>
      </c>
      <c r="F187">
        <v>0</v>
      </c>
      <c r="G187">
        <v>0.36</v>
      </c>
      <c r="H187">
        <v>0</v>
      </c>
      <c r="I187">
        <v>0</v>
      </c>
      <c r="J187">
        <v>0.61</v>
      </c>
      <c r="K187">
        <v>0</v>
      </c>
      <c r="L187">
        <v>0</v>
      </c>
      <c r="M187">
        <v>0.03</v>
      </c>
      <c r="N187">
        <v>0</v>
      </c>
    </row>
    <row r="188" spans="1:14">
      <c r="A188">
        <v>187</v>
      </c>
      <c r="B188" t="s">
        <v>72</v>
      </c>
      <c r="C188" t="s">
        <v>72</v>
      </c>
      <c r="D188">
        <v>0</v>
      </c>
      <c r="E188">
        <v>0</v>
      </c>
      <c r="F188">
        <v>0</v>
      </c>
      <c r="G188">
        <v>0.94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0.06</v>
      </c>
      <c r="N188">
        <v>0</v>
      </c>
    </row>
    <row r="189" spans="1:14">
      <c r="A189">
        <v>188</v>
      </c>
      <c r="B189" t="s">
        <v>72</v>
      </c>
      <c r="C189" t="s">
        <v>72</v>
      </c>
      <c r="D189">
        <v>0.03</v>
      </c>
      <c r="E189">
        <v>0</v>
      </c>
      <c r="F189">
        <v>0</v>
      </c>
      <c r="G189">
        <v>0.69</v>
      </c>
      <c r="H189">
        <v>0.2</v>
      </c>
      <c r="I189">
        <v>0</v>
      </c>
      <c r="J189">
        <v>0.06</v>
      </c>
      <c r="K189">
        <v>0</v>
      </c>
      <c r="L189">
        <v>0</v>
      </c>
      <c r="M189">
        <v>0.02</v>
      </c>
      <c r="N189">
        <v>0</v>
      </c>
    </row>
    <row r="190" spans="1:14">
      <c r="A190">
        <v>189</v>
      </c>
      <c r="B190" t="s">
        <v>40</v>
      </c>
      <c r="C190" t="s">
        <v>40</v>
      </c>
      <c r="D190">
        <v>0.11</v>
      </c>
      <c r="E190">
        <v>0</v>
      </c>
      <c r="F190">
        <v>0</v>
      </c>
      <c r="G190">
        <v>0</v>
      </c>
      <c r="H190">
        <v>0.09</v>
      </c>
      <c r="I190">
        <v>0</v>
      </c>
      <c r="J190">
        <v>0.79</v>
      </c>
      <c r="K190">
        <v>0.01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40</v>
      </c>
      <c r="C191" t="s">
        <v>40</v>
      </c>
      <c r="D191">
        <v>0.01</v>
      </c>
      <c r="E191">
        <v>0.01</v>
      </c>
      <c r="F191">
        <v>0</v>
      </c>
      <c r="G191">
        <v>0</v>
      </c>
      <c r="H191">
        <v>0.06</v>
      </c>
      <c r="I191">
        <v>0</v>
      </c>
      <c r="J191">
        <v>0.92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20</v>
      </c>
      <c r="C192" t="s">
        <v>20</v>
      </c>
      <c r="D192">
        <v>0</v>
      </c>
      <c r="E192">
        <v>0.9</v>
      </c>
      <c r="F192">
        <v>0</v>
      </c>
      <c r="G192">
        <v>0</v>
      </c>
      <c r="H192">
        <v>0.09</v>
      </c>
      <c r="I192">
        <v>0</v>
      </c>
      <c r="J192">
        <v>0</v>
      </c>
      <c r="K192">
        <v>0</v>
      </c>
      <c r="L192">
        <v>0</v>
      </c>
      <c r="M192">
        <v>0.01</v>
      </c>
      <c r="N192">
        <v>0</v>
      </c>
    </row>
    <row r="193" spans="1:14">
      <c r="A193">
        <v>192</v>
      </c>
      <c r="B193" t="s">
        <v>20</v>
      </c>
      <c r="C193" t="s">
        <v>20</v>
      </c>
      <c r="D193">
        <v>0.01</v>
      </c>
      <c r="E193">
        <v>0.87</v>
      </c>
      <c r="F193">
        <v>0</v>
      </c>
      <c r="G193">
        <v>0</v>
      </c>
      <c r="H193">
        <v>7.0000000000000007E-2</v>
      </c>
      <c r="I193">
        <v>0</v>
      </c>
      <c r="J193">
        <v>0</v>
      </c>
      <c r="K193">
        <v>0</v>
      </c>
      <c r="L193">
        <v>0</v>
      </c>
      <c r="M193">
        <v>0.05</v>
      </c>
      <c r="N193">
        <v>0</v>
      </c>
    </row>
    <row r="194" spans="1:14">
      <c r="A194">
        <v>193</v>
      </c>
      <c r="B194" t="s">
        <v>72</v>
      </c>
      <c r="C194" t="s">
        <v>72</v>
      </c>
      <c r="D194">
        <v>0</v>
      </c>
      <c r="E194">
        <v>0.01</v>
      </c>
      <c r="F194">
        <v>0</v>
      </c>
      <c r="G194">
        <v>0.91</v>
      </c>
      <c r="H194">
        <v>0</v>
      </c>
      <c r="I194">
        <v>0</v>
      </c>
      <c r="J194">
        <v>0.05</v>
      </c>
      <c r="K194">
        <v>0</v>
      </c>
      <c r="L194">
        <v>0</v>
      </c>
      <c r="M194">
        <v>0.03</v>
      </c>
      <c r="N194">
        <v>0</v>
      </c>
    </row>
    <row r="195" spans="1:14">
      <c r="A195">
        <v>194</v>
      </c>
      <c r="B195" t="s">
        <v>20</v>
      </c>
      <c r="C195" t="s">
        <v>20</v>
      </c>
      <c r="D195">
        <v>0.01</v>
      </c>
      <c r="E195">
        <v>0.99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20</v>
      </c>
      <c r="C196" t="s">
        <v>20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31</v>
      </c>
      <c r="C197" t="s">
        <v>31</v>
      </c>
      <c r="D197">
        <v>0</v>
      </c>
      <c r="E197">
        <v>0</v>
      </c>
      <c r="F197">
        <v>0</v>
      </c>
      <c r="G197">
        <v>0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31</v>
      </c>
      <c r="C198" t="s">
        <v>31</v>
      </c>
      <c r="D198">
        <v>0</v>
      </c>
      <c r="E198">
        <v>0</v>
      </c>
      <c r="F198">
        <v>0</v>
      </c>
      <c r="G198">
        <v>0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40</v>
      </c>
      <c r="C199" t="s">
        <v>40</v>
      </c>
      <c r="D199">
        <v>0</v>
      </c>
      <c r="E199">
        <v>0.04</v>
      </c>
      <c r="F199">
        <v>0</v>
      </c>
      <c r="G199">
        <v>0</v>
      </c>
      <c r="H199">
        <v>0.1</v>
      </c>
      <c r="I199">
        <v>0</v>
      </c>
      <c r="J199">
        <v>0.86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20</v>
      </c>
      <c r="C200" t="s">
        <v>20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89</v>
      </c>
      <c r="C201" t="s">
        <v>89</v>
      </c>
      <c r="D201">
        <v>0.04</v>
      </c>
      <c r="E201">
        <v>0.02</v>
      </c>
      <c r="F201">
        <v>0</v>
      </c>
      <c r="G201">
        <v>0</v>
      </c>
      <c r="H201">
        <v>7.0000000000000007E-2</v>
      </c>
      <c r="I201">
        <v>0</v>
      </c>
      <c r="J201">
        <v>0.2</v>
      </c>
      <c r="K201">
        <v>0</v>
      </c>
      <c r="L201">
        <v>0</v>
      </c>
      <c r="M201">
        <v>0.67</v>
      </c>
      <c r="N201">
        <v>0</v>
      </c>
    </row>
    <row r="202" spans="1:14">
      <c r="A202">
        <v>201</v>
      </c>
      <c r="B202" t="s">
        <v>40</v>
      </c>
      <c r="C202" t="s">
        <v>40</v>
      </c>
      <c r="D202">
        <v>0</v>
      </c>
      <c r="E202">
        <v>0.01</v>
      </c>
      <c r="F202">
        <v>0</v>
      </c>
      <c r="G202">
        <v>0.08</v>
      </c>
      <c r="H202">
        <v>0.01</v>
      </c>
      <c r="I202">
        <v>0</v>
      </c>
      <c r="J202">
        <v>0.9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40</v>
      </c>
      <c r="C203" t="s">
        <v>40</v>
      </c>
      <c r="D203">
        <v>0</v>
      </c>
      <c r="E203">
        <v>0</v>
      </c>
      <c r="F203">
        <v>0</v>
      </c>
      <c r="G203">
        <v>0.05</v>
      </c>
      <c r="H203">
        <v>0.13</v>
      </c>
      <c r="I203">
        <v>0</v>
      </c>
      <c r="J203">
        <v>0.78</v>
      </c>
      <c r="K203">
        <v>0</v>
      </c>
      <c r="L203">
        <v>0</v>
      </c>
      <c r="M203">
        <v>0.03</v>
      </c>
      <c r="N203">
        <v>0.01</v>
      </c>
    </row>
    <row r="204" spans="1:14">
      <c r="A204">
        <v>203</v>
      </c>
      <c r="B204" t="s">
        <v>20</v>
      </c>
      <c r="C204" t="s">
        <v>20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72</v>
      </c>
      <c r="C205" t="s">
        <v>72</v>
      </c>
      <c r="D205">
        <v>0.05</v>
      </c>
      <c r="E205">
        <v>0</v>
      </c>
      <c r="F205">
        <v>0</v>
      </c>
      <c r="G205">
        <v>0.92</v>
      </c>
      <c r="H205">
        <v>0.02</v>
      </c>
      <c r="I205">
        <v>0</v>
      </c>
      <c r="J205">
        <v>0</v>
      </c>
      <c r="K205">
        <v>0</v>
      </c>
      <c r="L205">
        <v>0</v>
      </c>
      <c r="M205">
        <v>0.01</v>
      </c>
      <c r="N205">
        <v>0</v>
      </c>
    </row>
    <row r="206" spans="1:14">
      <c r="A206">
        <v>205</v>
      </c>
      <c r="B206" t="s">
        <v>89</v>
      </c>
      <c r="C206" t="s">
        <v>89</v>
      </c>
      <c r="D206">
        <v>0</v>
      </c>
      <c r="E206">
        <v>7.0000000000000007E-2</v>
      </c>
      <c r="F206">
        <v>0</v>
      </c>
      <c r="G206">
        <v>0</v>
      </c>
      <c r="H206">
        <v>0.06</v>
      </c>
      <c r="I206">
        <v>0</v>
      </c>
      <c r="J206">
        <v>0.23</v>
      </c>
      <c r="K206">
        <v>0</v>
      </c>
      <c r="L206">
        <v>0</v>
      </c>
      <c r="M206">
        <v>0.64</v>
      </c>
      <c r="N206">
        <v>0</v>
      </c>
    </row>
    <row r="207" spans="1:14">
      <c r="A207">
        <v>206</v>
      </c>
      <c r="B207" t="s">
        <v>40</v>
      </c>
      <c r="C207" t="s">
        <v>40</v>
      </c>
      <c r="D207">
        <v>0.01</v>
      </c>
      <c r="E207">
        <v>0</v>
      </c>
      <c r="F207">
        <v>0</v>
      </c>
      <c r="G207">
        <v>0</v>
      </c>
      <c r="H207">
        <v>0.03</v>
      </c>
      <c r="I207">
        <v>0</v>
      </c>
      <c r="J207">
        <v>0.93</v>
      </c>
      <c r="K207">
        <v>0</v>
      </c>
      <c r="L207">
        <v>0</v>
      </c>
      <c r="M207">
        <v>0.03</v>
      </c>
      <c r="N207">
        <v>0</v>
      </c>
    </row>
    <row r="208" spans="1:14">
      <c r="A208">
        <v>207</v>
      </c>
      <c r="B208" t="s">
        <v>31</v>
      </c>
      <c r="C208" t="s">
        <v>31</v>
      </c>
      <c r="D208">
        <v>0.14000000000000001</v>
      </c>
      <c r="E208">
        <v>0</v>
      </c>
      <c r="F208">
        <v>0.01</v>
      </c>
      <c r="G208">
        <v>0</v>
      </c>
      <c r="H208">
        <v>0.76</v>
      </c>
      <c r="I208">
        <v>0</v>
      </c>
      <c r="J208">
        <v>0.05</v>
      </c>
      <c r="K208">
        <v>0</v>
      </c>
      <c r="L208">
        <v>0</v>
      </c>
      <c r="M208">
        <v>0.04</v>
      </c>
      <c r="N208">
        <v>0</v>
      </c>
    </row>
    <row r="209" spans="1:14">
      <c r="A209">
        <v>208</v>
      </c>
      <c r="B209" t="s">
        <v>72</v>
      </c>
      <c r="C209" t="s">
        <v>72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20</v>
      </c>
      <c r="C210" t="s">
        <v>20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20</v>
      </c>
      <c r="C211" t="s">
        <v>20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27</v>
      </c>
      <c r="C212" t="s">
        <v>27</v>
      </c>
      <c r="D212">
        <v>0</v>
      </c>
      <c r="E212">
        <v>0</v>
      </c>
      <c r="F212">
        <v>0</v>
      </c>
      <c r="G212">
        <v>0</v>
      </c>
      <c r="H212">
        <v>0.04</v>
      </c>
      <c r="I212">
        <v>0</v>
      </c>
      <c r="J212">
        <v>0</v>
      </c>
      <c r="K212">
        <v>0</v>
      </c>
      <c r="L212">
        <v>0.96</v>
      </c>
      <c r="M212">
        <v>0</v>
      </c>
      <c r="N212">
        <v>0</v>
      </c>
    </row>
    <row r="213" spans="1:14">
      <c r="A213">
        <v>212</v>
      </c>
      <c r="B213" t="s">
        <v>31</v>
      </c>
      <c r="C213" t="s">
        <v>31</v>
      </c>
      <c r="D213">
        <v>0</v>
      </c>
      <c r="E213">
        <v>0</v>
      </c>
      <c r="F213">
        <v>0</v>
      </c>
      <c r="G213">
        <v>0</v>
      </c>
      <c r="H213">
        <v>0.98</v>
      </c>
      <c r="I213">
        <v>0.01</v>
      </c>
      <c r="J213">
        <v>0</v>
      </c>
      <c r="K213">
        <v>0.01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40</v>
      </c>
      <c r="C214" t="s">
        <v>40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0.95</v>
      </c>
      <c r="K214">
        <v>0</v>
      </c>
      <c r="L214">
        <v>0</v>
      </c>
      <c r="M214">
        <v>0.05</v>
      </c>
      <c r="N214">
        <v>0</v>
      </c>
    </row>
    <row r="215" spans="1:14">
      <c r="A215">
        <v>214</v>
      </c>
      <c r="B215" t="s">
        <v>31</v>
      </c>
      <c r="C215" t="s">
        <v>31</v>
      </c>
      <c r="D215">
        <v>0.04</v>
      </c>
      <c r="E215">
        <v>0</v>
      </c>
      <c r="F215">
        <v>0</v>
      </c>
      <c r="G215">
        <v>0</v>
      </c>
      <c r="H215">
        <v>0.91</v>
      </c>
      <c r="I215">
        <v>0</v>
      </c>
      <c r="J215">
        <v>0.01</v>
      </c>
      <c r="K215">
        <v>0</v>
      </c>
      <c r="L215">
        <v>0</v>
      </c>
      <c r="M215">
        <v>0.04</v>
      </c>
      <c r="N215">
        <v>0</v>
      </c>
    </row>
    <row r="216" spans="1:14">
      <c r="A216">
        <v>215</v>
      </c>
      <c r="B216" t="s">
        <v>40</v>
      </c>
      <c r="C216" t="s">
        <v>40</v>
      </c>
      <c r="D216">
        <v>0.01</v>
      </c>
      <c r="E216">
        <v>0.11</v>
      </c>
      <c r="F216">
        <v>0</v>
      </c>
      <c r="G216">
        <v>0</v>
      </c>
      <c r="H216">
        <v>0.01</v>
      </c>
      <c r="I216">
        <v>0</v>
      </c>
      <c r="J216">
        <v>0.64</v>
      </c>
      <c r="K216">
        <v>0</v>
      </c>
      <c r="L216">
        <v>0</v>
      </c>
      <c r="M216">
        <v>0.23</v>
      </c>
      <c r="N216">
        <v>0</v>
      </c>
    </row>
    <row r="217" spans="1:14">
      <c r="A217">
        <v>216</v>
      </c>
      <c r="B217" t="s">
        <v>35</v>
      </c>
      <c r="C217" t="s">
        <v>35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20</v>
      </c>
      <c r="C218" t="s">
        <v>20</v>
      </c>
      <c r="D218">
        <v>0</v>
      </c>
      <c r="E218">
        <v>0.98</v>
      </c>
      <c r="F218">
        <v>0</v>
      </c>
      <c r="G218">
        <v>0</v>
      </c>
      <c r="H218">
        <v>0.02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89</v>
      </c>
      <c r="C219" t="s">
        <v>89</v>
      </c>
      <c r="D219">
        <v>0.02</v>
      </c>
      <c r="E219">
        <v>0</v>
      </c>
      <c r="F219">
        <v>0</v>
      </c>
      <c r="G219">
        <v>0</v>
      </c>
      <c r="H219">
        <v>0.17</v>
      </c>
      <c r="I219">
        <v>0</v>
      </c>
      <c r="J219">
        <v>0</v>
      </c>
      <c r="K219">
        <v>0</v>
      </c>
      <c r="L219">
        <v>0</v>
      </c>
      <c r="M219">
        <v>0.81</v>
      </c>
      <c r="N219">
        <v>0</v>
      </c>
    </row>
    <row r="220" spans="1:14">
      <c r="A220">
        <v>219</v>
      </c>
      <c r="B220" t="s">
        <v>27</v>
      </c>
      <c r="C220" t="s">
        <v>27</v>
      </c>
      <c r="D220">
        <v>0.03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0.97</v>
      </c>
      <c r="M220">
        <v>0</v>
      </c>
      <c r="N220">
        <v>0</v>
      </c>
    </row>
    <row r="221" spans="1:14">
      <c r="A221">
        <v>220</v>
      </c>
      <c r="B221" t="s">
        <v>72</v>
      </c>
      <c r="C221" t="s">
        <v>72</v>
      </c>
      <c r="D221">
        <v>0</v>
      </c>
      <c r="E221">
        <v>0</v>
      </c>
      <c r="F221">
        <v>0</v>
      </c>
      <c r="G221">
        <v>0.97</v>
      </c>
      <c r="H221">
        <v>0.01</v>
      </c>
      <c r="I221">
        <v>0</v>
      </c>
      <c r="J221">
        <v>0.02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35</v>
      </c>
      <c r="C222" t="s">
        <v>35</v>
      </c>
      <c r="D222">
        <v>0.66</v>
      </c>
      <c r="E222">
        <v>0.09</v>
      </c>
      <c r="F222">
        <v>0</v>
      </c>
      <c r="G222">
        <v>0</v>
      </c>
      <c r="H222">
        <v>0.16</v>
      </c>
      <c r="I222">
        <v>0</v>
      </c>
      <c r="J222">
        <v>0.03</v>
      </c>
      <c r="K222">
        <v>0.02</v>
      </c>
      <c r="L222">
        <v>0</v>
      </c>
      <c r="M222">
        <v>0.02</v>
      </c>
      <c r="N222">
        <v>0.02</v>
      </c>
    </row>
    <row r="223" spans="1:14">
      <c r="A223">
        <v>222</v>
      </c>
      <c r="B223" t="s">
        <v>89</v>
      </c>
      <c r="C223" t="s">
        <v>89</v>
      </c>
      <c r="D223">
        <v>0.03</v>
      </c>
      <c r="E223">
        <v>0</v>
      </c>
      <c r="F223">
        <v>0</v>
      </c>
      <c r="G223">
        <v>0</v>
      </c>
      <c r="H223">
        <v>0.02</v>
      </c>
      <c r="I223">
        <v>0</v>
      </c>
      <c r="J223">
        <v>0.02</v>
      </c>
      <c r="K223">
        <v>0</v>
      </c>
      <c r="L223">
        <v>0</v>
      </c>
      <c r="M223">
        <v>0.93</v>
      </c>
      <c r="N223">
        <v>0</v>
      </c>
    </row>
    <row r="224" spans="1:14">
      <c r="A224">
        <v>223</v>
      </c>
      <c r="B224" t="s">
        <v>35</v>
      </c>
      <c r="C224" t="s">
        <v>35</v>
      </c>
      <c r="D224">
        <v>1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31</v>
      </c>
      <c r="C225" t="s">
        <v>31</v>
      </c>
      <c r="D225">
        <v>0.05</v>
      </c>
      <c r="E225">
        <v>0</v>
      </c>
      <c r="F225">
        <v>0</v>
      </c>
      <c r="G225">
        <v>0</v>
      </c>
      <c r="H225">
        <v>0.82</v>
      </c>
      <c r="I225">
        <v>0</v>
      </c>
      <c r="J225">
        <v>0.04</v>
      </c>
      <c r="K225">
        <v>0</v>
      </c>
      <c r="L225">
        <v>0</v>
      </c>
      <c r="M225">
        <v>0.09</v>
      </c>
      <c r="N225">
        <v>0</v>
      </c>
    </row>
    <row r="226" spans="1:14">
      <c r="A226">
        <v>225</v>
      </c>
      <c r="B226" t="s">
        <v>31</v>
      </c>
      <c r="C226" t="s">
        <v>31</v>
      </c>
      <c r="D226">
        <v>0</v>
      </c>
      <c r="E226">
        <v>0.38</v>
      </c>
      <c r="F226">
        <v>0</v>
      </c>
      <c r="G226">
        <v>0</v>
      </c>
      <c r="H226">
        <v>0.62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20</v>
      </c>
      <c r="C227" t="s">
        <v>20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20</v>
      </c>
      <c r="C228" t="s">
        <v>20</v>
      </c>
      <c r="D228">
        <v>0</v>
      </c>
      <c r="E228">
        <v>0.98</v>
      </c>
      <c r="F228">
        <v>0</v>
      </c>
      <c r="G228">
        <v>0</v>
      </c>
      <c r="H228">
        <v>0</v>
      </c>
      <c r="I228">
        <v>0.02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89</v>
      </c>
      <c r="C229" t="s">
        <v>89</v>
      </c>
      <c r="D229">
        <v>0</v>
      </c>
      <c r="E229">
        <v>0</v>
      </c>
      <c r="F229">
        <v>0</v>
      </c>
      <c r="G229">
        <v>0</v>
      </c>
      <c r="H229">
        <v>0.02</v>
      </c>
      <c r="I229">
        <v>0.03</v>
      </c>
      <c r="J229">
        <v>0.11</v>
      </c>
      <c r="K229">
        <v>0</v>
      </c>
      <c r="L229">
        <v>0</v>
      </c>
      <c r="M229">
        <v>0.84</v>
      </c>
      <c r="N229">
        <v>0</v>
      </c>
    </row>
    <row r="230" spans="1:14">
      <c r="A230">
        <v>229</v>
      </c>
      <c r="B230" t="s">
        <v>40</v>
      </c>
      <c r="C230" t="s">
        <v>40</v>
      </c>
      <c r="D230">
        <v>0</v>
      </c>
      <c r="E230">
        <v>0</v>
      </c>
      <c r="F230">
        <v>0</v>
      </c>
      <c r="G230">
        <v>0</v>
      </c>
      <c r="H230">
        <v>0.08</v>
      </c>
      <c r="I230">
        <v>0</v>
      </c>
      <c r="J230">
        <v>0.85</v>
      </c>
      <c r="K230">
        <v>0</v>
      </c>
      <c r="L230">
        <v>0</v>
      </c>
      <c r="M230">
        <v>7.0000000000000007E-2</v>
      </c>
      <c r="N230">
        <v>0</v>
      </c>
    </row>
    <row r="231" spans="1:14">
      <c r="A231">
        <v>230</v>
      </c>
      <c r="B231" t="s">
        <v>31</v>
      </c>
      <c r="C231" t="s">
        <v>31</v>
      </c>
      <c r="D231">
        <v>0.03</v>
      </c>
      <c r="E231">
        <v>0.15</v>
      </c>
      <c r="F231">
        <v>0</v>
      </c>
      <c r="G231">
        <v>0.02</v>
      </c>
      <c r="H231">
        <v>0.73</v>
      </c>
      <c r="I231">
        <v>0</v>
      </c>
      <c r="J231">
        <v>7.0000000000000007E-2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35</v>
      </c>
      <c r="C232" t="s">
        <v>35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20</v>
      </c>
      <c r="C233" t="s">
        <v>20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20</v>
      </c>
      <c r="C234" t="s">
        <v>20</v>
      </c>
      <c r="D234">
        <v>0</v>
      </c>
      <c r="E234">
        <v>0.98</v>
      </c>
      <c r="F234">
        <v>0</v>
      </c>
      <c r="G234">
        <v>0</v>
      </c>
      <c r="H234">
        <v>0</v>
      </c>
      <c r="I234">
        <v>0</v>
      </c>
      <c r="J234">
        <v>0.02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20</v>
      </c>
      <c r="C235" t="s">
        <v>20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31</v>
      </c>
      <c r="C236" t="s">
        <v>31</v>
      </c>
      <c r="D236">
        <v>0.01</v>
      </c>
      <c r="E236">
        <v>0</v>
      </c>
      <c r="F236">
        <v>0</v>
      </c>
      <c r="G236">
        <v>0</v>
      </c>
      <c r="H236">
        <v>0.88</v>
      </c>
      <c r="I236">
        <v>0</v>
      </c>
      <c r="J236">
        <v>0.04</v>
      </c>
      <c r="K236">
        <v>7.0000000000000007E-2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31</v>
      </c>
      <c r="C237" t="s">
        <v>31</v>
      </c>
      <c r="D237">
        <v>0</v>
      </c>
      <c r="E237">
        <v>0.35</v>
      </c>
      <c r="F237">
        <v>0</v>
      </c>
      <c r="G237">
        <v>0</v>
      </c>
      <c r="H237">
        <v>0.64</v>
      </c>
      <c r="I237">
        <v>0</v>
      </c>
      <c r="J237">
        <v>0.01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20</v>
      </c>
      <c r="C238" t="s">
        <v>20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20</v>
      </c>
      <c r="C239" t="s">
        <v>20</v>
      </c>
      <c r="D239">
        <v>0</v>
      </c>
      <c r="E239">
        <v>0.99</v>
      </c>
      <c r="F239">
        <v>0</v>
      </c>
      <c r="G239">
        <v>0</v>
      </c>
      <c r="H239">
        <v>0.01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35</v>
      </c>
      <c r="C240" t="s">
        <v>35</v>
      </c>
      <c r="D240">
        <v>0.82</v>
      </c>
      <c r="E240">
        <v>0.05</v>
      </c>
      <c r="F240">
        <v>0</v>
      </c>
      <c r="G240">
        <v>0</v>
      </c>
      <c r="H240">
        <v>0.06</v>
      </c>
      <c r="I240">
        <v>0</v>
      </c>
      <c r="J240">
        <v>0.01</v>
      </c>
      <c r="K240">
        <v>0</v>
      </c>
      <c r="L240">
        <v>0</v>
      </c>
      <c r="M240">
        <v>0.06</v>
      </c>
      <c r="N240">
        <v>0</v>
      </c>
    </row>
    <row r="241" spans="1:14">
      <c r="A241">
        <v>240</v>
      </c>
      <c r="B241" t="s">
        <v>31</v>
      </c>
      <c r="C241" t="s">
        <v>31</v>
      </c>
      <c r="D241">
        <v>0.03</v>
      </c>
      <c r="E241">
        <v>0</v>
      </c>
      <c r="F241">
        <v>0</v>
      </c>
      <c r="G241">
        <v>0</v>
      </c>
      <c r="H241">
        <v>0.86</v>
      </c>
      <c r="I241">
        <v>0</v>
      </c>
      <c r="J241">
        <v>0.11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40</v>
      </c>
      <c r="C242" t="s">
        <v>40</v>
      </c>
      <c r="D242">
        <v>0.01</v>
      </c>
      <c r="E242">
        <v>0</v>
      </c>
      <c r="F242">
        <v>0</v>
      </c>
      <c r="G242">
        <v>0.02</v>
      </c>
      <c r="H242">
        <v>0.05</v>
      </c>
      <c r="I242">
        <v>0</v>
      </c>
      <c r="J242">
        <v>0.91</v>
      </c>
      <c r="K242">
        <v>0</v>
      </c>
      <c r="L242">
        <v>0.01</v>
      </c>
      <c r="M242">
        <v>0</v>
      </c>
      <c r="N242">
        <v>0</v>
      </c>
    </row>
    <row r="243" spans="1:14">
      <c r="A243">
        <v>242</v>
      </c>
      <c r="B243" t="s">
        <v>72</v>
      </c>
      <c r="C243" t="s">
        <v>72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20</v>
      </c>
      <c r="C244" t="s">
        <v>20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20</v>
      </c>
      <c r="C245" t="s">
        <v>20</v>
      </c>
      <c r="D245">
        <v>0</v>
      </c>
      <c r="E245">
        <v>0.68</v>
      </c>
      <c r="F245">
        <v>0</v>
      </c>
      <c r="G245">
        <v>0</v>
      </c>
      <c r="H245">
        <v>0.24</v>
      </c>
      <c r="I245">
        <v>0</v>
      </c>
      <c r="J245">
        <v>0.08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20</v>
      </c>
      <c r="C246" t="s">
        <v>20</v>
      </c>
      <c r="D246">
        <v>0.01</v>
      </c>
      <c r="E246">
        <v>0.98</v>
      </c>
      <c r="F246">
        <v>0</v>
      </c>
      <c r="G246">
        <v>0</v>
      </c>
      <c r="H246">
        <v>0.01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20</v>
      </c>
      <c r="C247" t="s">
        <v>20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31</v>
      </c>
      <c r="C248" t="s">
        <v>31</v>
      </c>
      <c r="D248">
        <v>0</v>
      </c>
      <c r="E248">
        <v>0.05</v>
      </c>
      <c r="F248">
        <v>0</v>
      </c>
      <c r="G248">
        <v>0</v>
      </c>
      <c r="H248">
        <v>0.86</v>
      </c>
      <c r="I248">
        <v>0</v>
      </c>
      <c r="J248">
        <v>0.06</v>
      </c>
      <c r="K248">
        <v>0</v>
      </c>
      <c r="L248">
        <v>0</v>
      </c>
      <c r="M248">
        <v>0.02</v>
      </c>
      <c r="N248">
        <v>0.01</v>
      </c>
    </row>
    <row r="249" spans="1:14">
      <c r="A249">
        <v>248</v>
      </c>
      <c r="B249" t="s">
        <v>20</v>
      </c>
      <c r="C249" t="s">
        <v>20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110</v>
      </c>
      <c r="C250" t="s">
        <v>110</v>
      </c>
      <c r="D250">
        <v>0</v>
      </c>
      <c r="E250">
        <v>0</v>
      </c>
      <c r="F250">
        <v>0</v>
      </c>
      <c r="G250">
        <v>0</v>
      </c>
      <c r="H250">
        <v>0.02</v>
      </c>
      <c r="I250">
        <v>0.96</v>
      </c>
      <c r="J250">
        <v>0</v>
      </c>
      <c r="K250">
        <v>0</v>
      </c>
      <c r="L250">
        <v>0</v>
      </c>
      <c r="M250">
        <v>0.02</v>
      </c>
      <c r="N250">
        <v>0</v>
      </c>
    </row>
    <row r="251" spans="1:14">
      <c r="A251">
        <v>250</v>
      </c>
      <c r="B251" t="s">
        <v>20</v>
      </c>
      <c r="C251" t="s">
        <v>20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40</v>
      </c>
      <c r="C252" t="s">
        <v>40</v>
      </c>
      <c r="D252">
        <v>0</v>
      </c>
      <c r="E252">
        <v>0</v>
      </c>
      <c r="F252">
        <v>0</v>
      </c>
      <c r="G252">
        <v>0</v>
      </c>
      <c r="H252">
        <v>0.02</v>
      </c>
      <c r="I252">
        <v>0.01</v>
      </c>
      <c r="J252">
        <v>0.97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20</v>
      </c>
      <c r="C253" t="s">
        <v>20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35</v>
      </c>
      <c r="C254" t="s">
        <v>35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20</v>
      </c>
      <c r="C255" t="s">
        <v>20</v>
      </c>
      <c r="D255">
        <v>0</v>
      </c>
      <c r="E255">
        <v>0.96</v>
      </c>
      <c r="F255">
        <v>0</v>
      </c>
      <c r="G255">
        <v>0</v>
      </c>
      <c r="H255">
        <v>0</v>
      </c>
      <c r="I255">
        <v>0</v>
      </c>
      <c r="J255">
        <v>0.04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31</v>
      </c>
      <c r="C256" t="s">
        <v>31</v>
      </c>
      <c r="D256">
        <v>0</v>
      </c>
      <c r="E256">
        <v>0.01</v>
      </c>
      <c r="F256">
        <v>0</v>
      </c>
      <c r="G256">
        <v>0</v>
      </c>
      <c r="H256">
        <v>0.99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31</v>
      </c>
      <c r="C257" t="s">
        <v>31</v>
      </c>
      <c r="D257">
        <v>0</v>
      </c>
      <c r="E257">
        <v>0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27</v>
      </c>
      <c r="C258" t="s">
        <v>27</v>
      </c>
      <c r="D258">
        <v>0</v>
      </c>
      <c r="E258">
        <v>0</v>
      </c>
      <c r="F258">
        <v>0.01</v>
      </c>
      <c r="G258">
        <v>0</v>
      </c>
      <c r="H258">
        <v>0.05</v>
      </c>
      <c r="I258">
        <v>0</v>
      </c>
      <c r="J258">
        <v>0.02</v>
      </c>
      <c r="K258">
        <v>0</v>
      </c>
      <c r="L258">
        <v>0.92</v>
      </c>
      <c r="M258">
        <v>0</v>
      </c>
      <c r="N258">
        <v>0</v>
      </c>
    </row>
    <row r="259" spans="1:14">
      <c r="A259">
        <v>258</v>
      </c>
      <c r="B259" t="s">
        <v>20</v>
      </c>
      <c r="C259" t="s">
        <v>20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110</v>
      </c>
      <c r="C260" t="s">
        <v>110</v>
      </c>
      <c r="D260">
        <v>0.03</v>
      </c>
      <c r="E260">
        <v>0.28999999999999998</v>
      </c>
      <c r="F260">
        <v>0</v>
      </c>
      <c r="G260">
        <v>0</v>
      </c>
      <c r="H260">
        <v>0.03</v>
      </c>
      <c r="I260">
        <v>0.65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20</v>
      </c>
      <c r="C261" t="s">
        <v>20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20</v>
      </c>
      <c r="C262" t="s">
        <v>20</v>
      </c>
      <c r="D262">
        <v>0</v>
      </c>
      <c r="E262">
        <v>0.98</v>
      </c>
      <c r="F262">
        <v>0</v>
      </c>
      <c r="G262">
        <v>0</v>
      </c>
      <c r="H262">
        <v>0.02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40</v>
      </c>
      <c r="C263" t="s">
        <v>40</v>
      </c>
      <c r="D263">
        <v>0</v>
      </c>
      <c r="E263">
        <v>0.01</v>
      </c>
      <c r="F263">
        <v>0</v>
      </c>
      <c r="G263">
        <v>0</v>
      </c>
      <c r="H263">
        <v>0.06</v>
      </c>
      <c r="I263">
        <v>0</v>
      </c>
      <c r="J263">
        <v>0.78</v>
      </c>
      <c r="K263">
        <v>0</v>
      </c>
      <c r="L263">
        <v>0</v>
      </c>
      <c r="M263">
        <v>0.15</v>
      </c>
      <c r="N263">
        <v>0</v>
      </c>
    </row>
    <row r="264" spans="1:14">
      <c r="A264">
        <v>263</v>
      </c>
      <c r="B264" t="s">
        <v>89</v>
      </c>
      <c r="C264" t="s">
        <v>89</v>
      </c>
      <c r="D264">
        <v>0</v>
      </c>
      <c r="E264">
        <v>0</v>
      </c>
      <c r="F264">
        <v>0</v>
      </c>
      <c r="G264">
        <v>0</v>
      </c>
      <c r="H264">
        <v>0.25</v>
      </c>
      <c r="I264">
        <v>0</v>
      </c>
      <c r="J264">
        <v>0.01</v>
      </c>
      <c r="K264">
        <v>0</v>
      </c>
      <c r="L264">
        <v>0</v>
      </c>
      <c r="M264">
        <v>0.74</v>
      </c>
      <c r="N264">
        <v>0</v>
      </c>
    </row>
    <row r="265" spans="1:14">
      <c r="A265">
        <v>264</v>
      </c>
      <c r="B265" t="s">
        <v>20</v>
      </c>
      <c r="C265" t="s">
        <v>20</v>
      </c>
      <c r="D265">
        <v>0</v>
      </c>
      <c r="E265">
        <v>0.99</v>
      </c>
      <c r="F265">
        <v>0</v>
      </c>
      <c r="G265">
        <v>0</v>
      </c>
      <c r="H265">
        <v>0</v>
      </c>
      <c r="I265">
        <v>0.01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40</v>
      </c>
      <c r="C266" t="s">
        <v>40</v>
      </c>
      <c r="D266">
        <v>0</v>
      </c>
      <c r="E266">
        <v>0</v>
      </c>
      <c r="F266">
        <v>0</v>
      </c>
      <c r="G266">
        <v>0.01</v>
      </c>
      <c r="H266">
        <v>0</v>
      </c>
      <c r="I266">
        <v>0</v>
      </c>
      <c r="J266">
        <v>0.97</v>
      </c>
      <c r="K266">
        <v>0</v>
      </c>
      <c r="L266">
        <v>0</v>
      </c>
      <c r="M266">
        <v>0.02</v>
      </c>
      <c r="N266">
        <v>0</v>
      </c>
    </row>
    <row r="267" spans="1:14">
      <c r="A267">
        <v>266</v>
      </c>
      <c r="B267" t="s">
        <v>72</v>
      </c>
      <c r="C267" t="s">
        <v>72</v>
      </c>
      <c r="D267">
        <v>0</v>
      </c>
      <c r="E267">
        <v>0</v>
      </c>
      <c r="F267">
        <v>0</v>
      </c>
      <c r="G267">
        <v>0.99</v>
      </c>
      <c r="H267">
        <v>0</v>
      </c>
      <c r="I267">
        <v>0</v>
      </c>
      <c r="J267">
        <v>0.01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20</v>
      </c>
      <c r="C268" t="s">
        <v>20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20</v>
      </c>
      <c r="C269" t="s">
        <v>20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31</v>
      </c>
      <c r="C270" t="s">
        <v>31</v>
      </c>
      <c r="D270">
        <v>0</v>
      </c>
      <c r="E270">
        <v>0</v>
      </c>
      <c r="F270">
        <v>0</v>
      </c>
      <c r="G270">
        <v>0</v>
      </c>
      <c r="H270">
        <v>0.92</v>
      </c>
      <c r="I270">
        <v>0.01</v>
      </c>
      <c r="J270">
        <v>0</v>
      </c>
      <c r="K270">
        <v>0</v>
      </c>
      <c r="L270">
        <v>0</v>
      </c>
      <c r="M270">
        <v>7.0000000000000007E-2</v>
      </c>
      <c r="N270">
        <v>0</v>
      </c>
    </row>
    <row r="271" spans="1:14">
      <c r="A271">
        <v>270</v>
      </c>
      <c r="B271" t="s">
        <v>72</v>
      </c>
      <c r="C271" t="s">
        <v>72</v>
      </c>
      <c r="D271">
        <v>0</v>
      </c>
      <c r="E271">
        <v>0</v>
      </c>
      <c r="F271">
        <v>0</v>
      </c>
      <c r="G271">
        <v>0.9</v>
      </c>
      <c r="H271">
        <v>0</v>
      </c>
      <c r="I271">
        <v>0</v>
      </c>
      <c r="J271">
        <v>0.06</v>
      </c>
      <c r="K271">
        <v>0</v>
      </c>
      <c r="L271">
        <v>0</v>
      </c>
      <c r="M271">
        <v>0.04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20</v>
      </c>
      <c r="C273" t="s">
        <v>20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31</v>
      </c>
      <c r="C274" t="s">
        <v>31</v>
      </c>
      <c r="D274">
        <v>0.02</v>
      </c>
      <c r="E274">
        <v>0.01</v>
      </c>
      <c r="F274">
        <v>0</v>
      </c>
      <c r="G274">
        <v>0</v>
      </c>
      <c r="H274">
        <v>0.81</v>
      </c>
      <c r="I274">
        <v>0</v>
      </c>
      <c r="J274">
        <v>0.03</v>
      </c>
      <c r="K274">
        <v>0</v>
      </c>
      <c r="L274">
        <v>0</v>
      </c>
      <c r="M274">
        <v>0.13</v>
      </c>
      <c r="N274">
        <v>0</v>
      </c>
    </row>
    <row r="275" spans="1:14">
      <c r="A275">
        <v>274</v>
      </c>
      <c r="B275" t="s">
        <v>31</v>
      </c>
      <c r="C275" t="s">
        <v>31</v>
      </c>
      <c r="D275">
        <v>0.08</v>
      </c>
      <c r="E275">
        <v>0.02</v>
      </c>
      <c r="F275">
        <v>0</v>
      </c>
      <c r="G275">
        <v>0</v>
      </c>
      <c r="H275">
        <v>0.81</v>
      </c>
      <c r="I275">
        <v>0</v>
      </c>
      <c r="J275">
        <v>7.0000000000000007E-2</v>
      </c>
      <c r="K275">
        <v>0</v>
      </c>
      <c r="L275">
        <v>0</v>
      </c>
      <c r="M275">
        <v>0.02</v>
      </c>
      <c r="N275">
        <v>0</v>
      </c>
    </row>
    <row r="276" spans="1:14">
      <c r="A276">
        <v>275</v>
      </c>
      <c r="B276" t="s">
        <v>20</v>
      </c>
      <c r="C276" t="s">
        <v>20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>
      <c r="A277">
        <v>276</v>
      </c>
      <c r="B277" t="s">
        <v>35</v>
      </c>
      <c r="C277" t="s">
        <v>35</v>
      </c>
      <c r="D277">
        <v>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20</v>
      </c>
      <c r="C278" t="s">
        <v>20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20</v>
      </c>
      <c r="C279" t="s">
        <v>20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20</v>
      </c>
      <c r="C280" t="s">
        <v>20</v>
      </c>
      <c r="D280">
        <v>0.02</v>
      </c>
      <c r="E280">
        <v>0.98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20</v>
      </c>
      <c r="C282" t="s">
        <v>20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31</v>
      </c>
      <c r="C283" t="s">
        <v>31</v>
      </c>
      <c r="D283">
        <v>0</v>
      </c>
      <c r="E283">
        <v>0.11</v>
      </c>
      <c r="F283">
        <v>0</v>
      </c>
      <c r="G283">
        <v>0</v>
      </c>
      <c r="H283">
        <v>0.86</v>
      </c>
      <c r="I283">
        <v>0.03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89</v>
      </c>
      <c r="C284" t="s">
        <v>89</v>
      </c>
      <c r="D284">
        <v>0</v>
      </c>
      <c r="E284">
        <v>0</v>
      </c>
      <c r="F284">
        <v>0</v>
      </c>
      <c r="G284">
        <v>0.34</v>
      </c>
      <c r="H284">
        <v>0</v>
      </c>
      <c r="I284">
        <v>0</v>
      </c>
      <c r="J284">
        <v>0.03</v>
      </c>
      <c r="K284">
        <v>0</v>
      </c>
      <c r="L284">
        <v>0</v>
      </c>
      <c r="M284">
        <v>0.63</v>
      </c>
      <c r="N284">
        <v>0</v>
      </c>
    </row>
    <row r="285" spans="1:14">
      <c r="A285">
        <v>284</v>
      </c>
      <c r="B285" t="s">
        <v>89</v>
      </c>
      <c r="C285" t="s">
        <v>89</v>
      </c>
      <c r="D285">
        <v>0</v>
      </c>
      <c r="E285">
        <v>0</v>
      </c>
      <c r="F285">
        <v>0</v>
      </c>
      <c r="G285">
        <v>0</v>
      </c>
      <c r="H285">
        <v>0.23</v>
      </c>
      <c r="I285">
        <v>0</v>
      </c>
      <c r="J285">
        <v>0.08</v>
      </c>
      <c r="K285">
        <v>0</v>
      </c>
      <c r="L285">
        <v>0</v>
      </c>
      <c r="M285">
        <v>0.69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31</v>
      </c>
      <c r="C287" t="s">
        <v>31</v>
      </c>
      <c r="D287">
        <v>0</v>
      </c>
      <c r="E287">
        <v>0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40</v>
      </c>
      <c r="C288" t="s">
        <v>40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0.99</v>
      </c>
      <c r="K288">
        <v>0</v>
      </c>
      <c r="L288">
        <v>0</v>
      </c>
      <c r="M288">
        <v>0</v>
      </c>
      <c r="N288">
        <v>0.01</v>
      </c>
    </row>
    <row r="289" spans="1:14">
      <c r="A289">
        <v>288</v>
      </c>
      <c r="B289" t="s">
        <v>89</v>
      </c>
      <c r="C289" t="s">
        <v>89</v>
      </c>
      <c r="D289">
        <v>0.16</v>
      </c>
      <c r="E289">
        <v>0.01</v>
      </c>
      <c r="F289">
        <v>0</v>
      </c>
      <c r="G289">
        <v>0</v>
      </c>
      <c r="H289">
        <v>0.22</v>
      </c>
      <c r="I289">
        <v>0</v>
      </c>
      <c r="J289">
        <v>0.01</v>
      </c>
      <c r="K289">
        <v>0</v>
      </c>
      <c r="L289">
        <v>0</v>
      </c>
      <c r="M289">
        <v>0.6</v>
      </c>
      <c r="N289">
        <v>0</v>
      </c>
    </row>
    <row r="290" spans="1:14">
      <c r="A290">
        <v>289</v>
      </c>
      <c r="B290" t="s">
        <v>35</v>
      </c>
      <c r="C290" t="s">
        <v>35</v>
      </c>
      <c r="D290">
        <v>0.8</v>
      </c>
      <c r="E290">
        <v>0</v>
      </c>
      <c r="F290">
        <v>0</v>
      </c>
      <c r="G290">
        <v>0</v>
      </c>
      <c r="H290">
        <v>0.05</v>
      </c>
      <c r="I290">
        <v>0</v>
      </c>
      <c r="J290">
        <v>0.09</v>
      </c>
      <c r="K290">
        <v>0</v>
      </c>
      <c r="L290">
        <v>0</v>
      </c>
      <c r="M290">
        <v>0.06</v>
      </c>
      <c r="N290">
        <v>0</v>
      </c>
    </row>
    <row r="291" spans="1:14">
      <c r="A291">
        <v>290</v>
      </c>
      <c r="B291" t="s">
        <v>89</v>
      </c>
      <c r="C291" t="s">
        <v>89</v>
      </c>
      <c r="D291">
        <v>0</v>
      </c>
      <c r="E291">
        <v>0.01</v>
      </c>
      <c r="F291">
        <v>0</v>
      </c>
      <c r="G291">
        <v>0</v>
      </c>
      <c r="H291">
        <v>0.22</v>
      </c>
      <c r="I291">
        <v>0</v>
      </c>
      <c r="J291">
        <v>0.08</v>
      </c>
      <c r="K291">
        <v>0</v>
      </c>
      <c r="L291">
        <v>0</v>
      </c>
      <c r="M291">
        <v>0.69</v>
      </c>
      <c r="N291">
        <v>0</v>
      </c>
    </row>
    <row r="292" spans="1:14">
      <c r="A292">
        <v>291</v>
      </c>
      <c r="B292" t="s">
        <v>20</v>
      </c>
      <c r="C292" t="s">
        <v>20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31</v>
      </c>
      <c r="C293" t="s">
        <v>31</v>
      </c>
      <c r="D293">
        <v>0</v>
      </c>
      <c r="E293">
        <v>0.14000000000000001</v>
      </c>
      <c r="F293">
        <v>0</v>
      </c>
      <c r="G293">
        <v>0</v>
      </c>
      <c r="H293">
        <v>0.84</v>
      </c>
      <c r="I293">
        <v>0</v>
      </c>
      <c r="J293">
        <v>0.02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31</v>
      </c>
      <c r="C294" t="s">
        <v>31</v>
      </c>
      <c r="D294">
        <v>0.03</v>
      </c>
      <c r="E294">
        <v>0.01</v>
      </c>
      <c r="F294">
        <v>0</v>
      </c>
      <c r="G294">
        <v>0</v>
      </c>
      <c r="H294">
        <v>0.92</v>
      </c>
      <c r="I294">
        <v>0</v>
      </c>
      <c r="J294">
        <v>0.01</v>
      </c>
      <c r="K294">
        <v>0</v>
      </c>
      <c r="L294">
        <v>0</v>
      </c>
      <c r="M294">
        <v>0.03</v>
      </c>
      <c r="N294">
        <v>0</v>
      </c>
    </row>
    <row r="295" spans="1:14">
      <c r="A295">
        <v>294</v>
      </c>
      <c r="B295" t="s">
        <v>40</v>
      </c>
      <c r="C295" t="s">
        <v>40</v>
      </c>
      <c r="D295">
        <v>0.02</v>
      </c>
      <c r="E295">
        <v>0.03</v>
      </c>
      <c r="F295">
        <v>0</v>
      </c>
      <c r="G295">
        <v>0</v>
      </c>
      <c r="H295">
        <v>0.01</v>
      </c>
      <c r="I295">
        <v>0</v>
      </c>
      <c r="J295">
        <v>0.88</v>
      </c>
      <c r="K295">
        <v>0</v>
      </c>
      <c r="L295">
        <v>0</v>
      </c>
      <c r="M295">
        <v>0.06</v>
      </c>
      <c r="N295">
        <v>0</v>
      </c>
    </row>
    <row r="296" spans="1:14">
      <c r="A296">
        <v>295</v>
      </c>
      <c r="B296" t="s">
        <v>40</v>
      </c>
      <c r="C296" t="s">
        <v>40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0.93</v>
      </c>
      <c r="K296">
        <v>0</v>
      </c>
      <c r="L296">
        <v>0</v>
      </c>
      <c r="M296">
        <v>7.0000000000000007E-2</v>
      </c>
      <c r="N296">
        <v>0</v>
      </c>
    </row>
    <row r="297" spans="1:14">
      <c r="A297">
        <v>296</v>
      </c>
      <c r="B297" t="s">
        <v>20</v>
      </c>
      <c r="C297" t="s">
        <v>20</v>
      </c>
      <c r="D297">
        <v>0.01</v>
      </c>
      <c r="E297">
        <v>0.95</v>
      </c>
      <c r="F297">
        <v>0.04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20</v>
      </c>
      <c r="C298" t="s">
        <v>20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20</v>
      </c>
      <c r="C299" t="s">
        <v>20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>
      <c r="A300">
        <v>299</v>
      </c>
      <c r="B300" t="s">
        <v>35</v>
      </c>
      <c r="C300" t="s">
        <v>35</v>
      </c>
      <c r="D300">
        <v>0.78</v>
      </c>
      <c r="E300">
        <v>0</v>
      </c>
      <c r="F300">
        <v>0</v>
      </c>
      <c r="G300">
        <v>0</v>
      </c>
      <c r="H300">
        <v>0.11</v>
      </c>
      <c r="I300">
        <v>0</v>
      </c>
      <c r="J300">
        <v>0.05</v>
      </c>
      <c r="K300">
        <v>0.01</v>
      </c>
      <c r="L300">
        <v>0</v>
      </c>
      <c r="M300">
        <v>0.05</v>
      </c>
      <c r="N300">
        <v>0</v>
      </c>
    </row>
    <row r="301" spans="1:14">
      <c r="A301">
        <v>300</v>
      </c>
      <c r="B301" t="s">
        <v>31</v>
      </c>
      <c r="C301" t="s">
        <v>31</v>
      </c>
      <c r="D301">
        <v>0</v>
      </c>
      <c r="E301">
        <v>0</v>
      </c>
      <c r="F301">
        <v>0</v>
      </c>
      <c r="G301">
        <v>0</v>
      </c>
      <c r="H301">
        <v>0.89</v>
      </c>
      <c r="I301">
        <v>0</v>
      </c>
      <c r="J301">
        <v>0.11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31</v>
      </c>
      <c r="C302" t="s">
        <v>31</v>
      </c>
      <c r="D302">
        <v>0</v>
      </c>
      <c r="E302">
        <v>0</v>
      </c>
      <c r="F302">
        <v>0</v>
      </c>
      <c r="G302">
        <v>0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31</v>
      </c>
      <c r="C303" t="s">
        <v>31</v>
      </c>
      <c r="D303">
        <v>0.02</v>
      </c>
      <c r="E303">
        <v>0.1</v>
      </c>
      <c r="F303">
        <v>0</v>
      </c>
      <c r="G303">
        <v>0</v>
      </c>
      <c r="H303">
        <v>0.71</v>
      </c>
      <c r="I303">
        <v>0</v>
      </c>
      <c r="J303">
        <v>0.01</v>
      </c>
      <c r="K303">
        <v>0</v>
      </c>
      <c r="L303">
        <v>0</v>
      </c>
      <c r="M303">
        <v>0.14000000000000001</v>
      </c>
      <c r="N303">
        <v>0.02</v>
      </c>
    </row>
    <row r="304" spans="1:14">
      <c r="A304">
        <v>303</v>
      </c>
      <c r="B304" t="s">
        <v>20</v>
      </c>
      <c r="C304" t="s">
        <v>20</v>
      </c>
      <c r="D304">
        <v>0</v>
      </c>
      <c r="E304">
        <v>0.99</v>
      </c>
      <c r="F304">
        <v>0</v>
      </c>
      <c r="G304">
        <v>0</v>
      </c>
      <c r="H304">
        <v>0.01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31</v>
      </c>
      <c r="C305" t="s">
        <v>31</v>
      </c>
      <c r="D305">
        <v>0</v>
      </c>
      <c r="E305">
        <v>0</v>
      </c>
      <c r="F305">
        <v>0</v>
      </c>
      <c r="G305">
        <v>0</v>
      </c>
      <c r="H305">
        <v>0.99</v>
      </c>
      <c r="I305">
        <v>0</v>
      </c>
      <c r="J305">
        <v>0</v>
      </c>
      <c r="K305">
        <v>0.01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20</v>
      </c>
      <c r="C306" t="s">
        <v>20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72</v>
      </c>
      <c r="C307" t="s">
        <v>72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20</v>
      </c>
      <c r="C308" t="s">
        <v>20</v>
      </c>
      <c r="D308">
        <v>0</v>
      </c>
      <c r="E308">
        <v>0.94</v>
      </c>
      <c r="F308">
        <v>0</v>
      </c>
      <c r="G308">
        <v>0</v>
      </c>
      <c r="H308">
        <v>0.01</v>
      </c>
      <c r="I308">
        <v>0</v>
      </c>
      <c r="J308">
        <v>0.05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31</v>
      </c>
      <c r="C309" t="s">
        <v>31</v>
      </c>
      <c r="D309">
        <v>0.04</v>
      </c>
      <c r="E309">
        <v>0</v>
      </c>
      <c r="F309">
        <v>0</v>
      </c>
      <c r="G309">
        <v>0</v>
      </c>
      <c r="H309">
        <v>0.9</v>
      </c>
      <c r="I309">
        <v>0</v>
      </c>
      <c r="J309">
        <v>0.03</v>
      </c>
      <c r="K309">
        <v>0.03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0.81</v>
      </c>
      <c r="F310">
        <v>0</v>
      </c>
      <c r="G310">
        <v>0</v>
      </c>
      <c r="H310">
        <v>0.16</v>
      </c>
      <c r="I310">
        <v>0.01</v>
      </c>
      <c r="J310">
        <v>0</v>
      </c>
      <c r="K310">
        <v>0.02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40</v>
      </c>
      <c r="C311" t="s">
        <v>40</v>
      </c>
      <c r="D311">
        <v>0</v>
      </c>
      <c r="E311">
        <v>0.16</v>
      </c>
      <c r="F311">
        <v>0</v>
      </c>
      <c r="G311">
        <v>0</v>
      </c>
      <c r="H311">
        <v>0.03</v>
      </c>
      <c r="I311">
        <v>0</v>
      </c>
      <c r="J311">
        <v>0.81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40</v>
      </c>
      <c r="C312" t="s">
        <v>40</v>
      </c>
      <c r="D312">
        <v>0</v>
      </c>
      <c r="E312">
        <v>0.08</v>
      </c>
      <c r="F312">
        <v>0</v>
      </c>
      <c r="G312">
        <v>0</v>
      </c>
      <c r="H312">
        <v>0.11</v>
      </c>
      <c r="I312">
        <v>0</v>
      </c>
      <c r="J312">
        <v>0.81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20</v>
      </c>
      <c r="C313" t="s">
        <v>20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31</v>
      </c>
      <c r="C314" t="s">
        <v>31</v>
      </c>
      <c r="D314">
        <v>0</v>
      </c>
      <c r="E314">
        <v>0</v>
      </c>
      <c r="F314">
        <v>0</v>
      </c>
      <c r="G314">
        <v>0</v>
      </c>
      <c r="H314">
        <v>0.9</v>
      </c>
      <c r="I314">
        <v>0.01</v>
      </c>
      <c r="J314">
        <v>0.03</v>
      </c>
      <c r="K314">
        <v>0.06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27</v>
      </c>
      <c r="C315" t="s">
        <v>27</v>
      </c>
      <c r="D315">
        <v>0</v>
      </c>
      <c r="E315">
        <v>0</v>
      </c>
      <c r="F315">
        <v>0</v>
      </c>
      <c r="G315">
        <v>0</v>
      </c>
      <c r="H315">
        <v>0.06</v>
      </c>
      <c r="I315">
        <v>0</v>
      </c>
      <c r="J315">
        <v>0</v>
      </c>
      <c r="K315">
        <v>0</v>
      </c>
      <c r="L315">
        <v>0.94</v>
      </c>
      <c r="M315">
        <v>0</v>
      </c>
      <c r="N315">
        <v>0</v>
      </c>
    </row>
    <row r="316" spans="1:14">
      <c r="A316">
        <v>315</v>
      </c>
      <c r="B316" t="s">
        <v>110</v>
      </c>
      <c r="C316" t="s">
        <v>110</v>
      </c>
      <c r="D316">
        <v>0</v>
      </c>
      <c r="E316">
        <v>0.26</v>
      </c>
      <c r="F316">
        <v>0</v>
      </c>
      <c r="G316">
        <v>0</v>
      </c>
      <c r="H316">
        <v>7.0000000000000007E-2</v>
      </c>
      <c r="I316">
        <v>0.66</v>
      </c>
      <c r="J316">
        <v>0</v>
      </c>
      <c r="K316">
        <v>0</v>
      </c>
      <c r="L316">
        <v>0</v>
      </c>
      <c r="M316">
        <v>0.01</v>
      </c>
      <c r="N316">
        <v>0</v>
      </c>
    </row>
    <row r="317" spans="1:14">
      <c r="A317">
        <v>316</v>
      </c>
      <c r="B317" t="s">
        <v>20</v>
      </c>
      <c r="C317" t="s">
        <v>20</v>
      </c>
      <c r="D317">
        <v>0</v>
      </c>
      <c r="E317">
        <v>0.91</v>
      </c>
      <c r="F317">
        <v>0</v>
      </c>
      <c r="G317">
        <v>0</v>
      </c>
      <c r="H317">
        <v>0.09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31</v>
      </c>
      <c r="C318" t="s">
        <v>31</v>
      </c>
      <c r="D318">
        <v>0.11</v>
      </c>
      <c r="E318">
        <v>0.05</v>
      </c>
      <c r="F318">
        <v>0</v>
      </c>
      <c r="G318">
        <v>0</v>
      </c>
      <c r="H318">
        <v>0.59</v>
      </c>
      <c r="I318">
        <v>0</v>
      </c>
      <c r="J318">
        <v>0.23</v>
      </c>
      <c r="K318">
        <v>0.02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20</v>
      </c>
      <c r="C319" t="s">
        <v>20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89</v>
      </c>
      <c r="C320" t="s">
        <v>89</v>
      </c>
      <c r="D320">
        <v>0.03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0.04</v>
      </c>
      <c r="K320">
        <v>0</v>
      </c>
      <c r="L320">
        <v>0</v>
      </c>
      <c r="M320">
        <v>0.92</v>
      </c>
      <c r="N320">
        <v>0.01</v>
      </c>
    </row>
    <row r="321" spans="1:14">
      <c r="A321">
        <v>320</v>
      </c>
      <c r="B321" t="s">
        <v>72</v>
      </c>
      <c r="C321" t="s">
        <v>72</v>
      </c>
      <c r="D321">
        <v>0</v>
      </c>
      <c r="E321">
        <v>0</v>
      </c>
      <c r="F321">
        <v>0</v>
      </c>
      <c r="G321">
        <v>0.96</v>
      </c>
      <c r="H321">
        <v>0.01</v>
      </c>
      <c r="I321">
        <v>0</v>
      </c>
      <c r="J321">
        <v>0</v>
      </c>
      <c r="K321">
        <v>0</v>
      </c>
      <c r="L321">
        <v>0.03</v>
      </c>
      <c r="M321">
        <v>0</v>
      </c>
      <c r="N321">
        <v>0</v>
      </c>
    </row>
    <row r="322" spans="1:14">
      <c r="A322">
        <v>321</v>
      </c>
      <c r="B322" t="s">
        <v>383</v>
      </c>
      <c r="C322" t="s">
        <v>383</v>
      </c>
      <c r="D322">
        <v>0</v>
      </c>
      <c r="E322">
        <v>0.06</v>
      </c>
      <c r="F322">
        <v>0.01</v>
      </c>
      <c r="G322">
        <v>0</v>
      </c>
      <c r="H322">
        <v>0.02</v>
      </c>
      <c r="I322">
        <v>0</v>
      </c>
      <c r="J322">
        <v>0.09</v>
      </c>
      <c r="K322">
        <v>0.82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35</v>
      </c>
      <c r="C323" t="s">
        <v>35</v>
      </c>
      <c r="D323">
        <v>1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40</v>
      </c>
      <c r="C324" t="s">
        <v>40</v>
      </c>
      <c r="D324">
        <v>0</v>
      </c>
      <c r="E324">
        <v>0</v>
      </c>
      <c r="F324">
        <v>0</v>
      </c>
      <c r="G324">
        <v>0</v>
      </c>
      <c r="H324">
        <v>0.08</v>
      </c>
      <c r="I324">
        <v>0</v>
      </c>
      <c r="J324">
        <v>0.85</v>
      </c>
      <c r="K324">
        <v>0</v>
      </c>
      <c r="L324">
        <v>7.0000000000000007E-2</v>
      </c>
      <c r="M324">
        <v>0</v>
      </c>
      <c r="N324">
        <v>0</v>
      </c>
    </row>
    <row r="325" spans="1:14">
      <c r="A325">
        <v>324</v>
      </c>
      <c r="B325" t="s">
        <v>31</v>
      </c>
      <c r="C325" t="s">
        <v>31</v>
      </c>
      <c r="D325">
        <v>0</v>
      </c>
      <c r="E325">
        <v>0.19</v>
      </c>
      <c r="F325">
        <v>0</v>
      </c>
      <c r="G325">
        <v>0</v>
      </c>
      <c r="H325">
        <v>0.72</v>
      </c>
      <c r="I325">
        <v>0</v>
      </c>
      <c r="J325">
        <v>0.01</v>
      </c>
      <c r="K325">
        <v>0</v>
      </c>
      <c r="L325">
        <v>0</v>
      </c>
      <c r="M325">
        <v>0.08</v>
      </c>
      <c r="N325">
        <v>0</v>
      </c>
    </row>
    <row r="326" spans="1:14">
      <c r="A326">
        <v>325</v>
      </c>
      <c r="B326" t="s">
        <v>40</v>
      </c>
      <c r="C326" t="s">
        <v>40</v>
      </c>
      <c r="D326">
        <v>0</v>
      </c>
      <c r="E326">
        <v>0.01</v>
      </c>
      <c r="F326">
        <v>0</v>
      </c>
      <c r="G326">
        <v>0</v>
      </c>
      <c r="H326">
        <v>0.08</v>
      </c>
      <c r="I326">
        <v>0</v>
      </c>
      <c r="J326">
        <v>0.89</v>
      </c>
      <c r="K326">
        <v>0</v>
      </c>
      <c r="L326">
        <v>0</v>
      </c>
      <c r="M326">
        <v>0.02</v>
      </c>
      <c r="N326">
        <v>0</v>
      </c>
    </row>
    <row r="327" spans="1:14">
      <c r="A327">
        <v>326</v>
      </c>
      <c r="B327" t="s">
        <v>31</v>
      </c>
      <c r="C327" t="s">
        <v>31</v>
      </c>
      <c r="D327">
        <v>0.04</v>
      </c>
      <c r="E327">
        <v>0</v>
      </c>
      <c r="F327">
        <v>0</v>
      </c>
      <c r="G327">
        <v>0</v>
      </c>
      <c r="H327">
        <v>0.94</v>
      </c>
      <c r="I327">
        <v>0</v>
      </c>
      <c r="J327">
        <v>0.01</v>
      </c>
      <c r="K327">
        <v>0</v>
      </c>
      <c r="L327">
        <v>0</v>
      </c>
      <c r="M327">
        <v>0.01</v>
      </c>
      <c r="N327">
        <v>0</v>
      </c>
    </row>
    <row r="328" spans="1:14">
      <c r="A328">
        <v>327</v>
      </c>
      <c r="B328" t="s">
        <v>40</v>
      </c>
      <c r="C328" t="s">
        <v>40</v>
      </c>
      <c r="D328">
        <v>0.08</v>
      </c>
      <c r="E328">
        <v>0.06</v>
      </c>
      <c r="F328">
        <v>0</v>
      </c>
      <c r="G328">
        <v>0</v>
      </c>
      <c r="H328">
        <v>0.06</v>
      </c>
      <c r="I328">
        <v>0</v>
      </c>
      <c r="J328">
        <v>0.77</v>
      </c>
      <c r="K328">
        <v>0.02</v>
      </c>
      <c r="L328">
        <v>0</v>
      </c>
      <c r="M328">
        <v>0.01</v>
      </c>
      <c r="N328">
        <v>0</v>
      </c>
    </row>
    <row r="329" spans="1:14">
      <c r="A329">
        <v>328</v>
      </c>
      <c r="B329" t="s">
        <v>31</v>
      </c>
      <c r="C329" t="s">
        <v>31</v>
      </c>
      <c r="D329">
        <v>0</v>
      </c>
      <c r="E329">
        <v>0</v>
      </c>
      <c r="F329">
        <v>0</v>
      </c>
      <c r="G329">
        <v>0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27</v>
      </c>
      <c r="C330" t="s">
        <v>27</v>
      </c>
      <c r="D330">
        <v>0</v>
      </c>
      <c r="E330">
        <v>0</v>
      </c>
      <c r="F330">
        <v>0</v>
      </c>
      <c r="G330">
        <v>0</v>
      </c>
      <c r="H330">
        <v>0.01</v>
      </c>
      <c r="I330">
        <v>0</v>
      </c>
      <c r="J330">
        <v>0.03</v>
      </c>
      <c r="K330">
        <v>0</v>
      </c>
      <c r="L330">
        <v>0.96</v>
      </c>
      <c r="M330">
        <v>0</v>
      </c>
      <c r="N330">
        <v>0</v>
      </c>
    </row>
    <row r="331" spans="1:14">
      <c r="A331">
        <v>330</v>
      </c>
      <c r="B331" t="s">
        <v>20</v>
      </c>
      <c r="C331" t="s">
        <v>20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57</v>
      </c>
      <c r="C332" t="s">
        <v>57</v>
      </c>
      <c r="D332">
        <v>0</v>
      </c>
      <c r="E332">
        <v>0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40</v>
      </c>
      <c r="C333" t="s">
        <v>40</v>
      </c>
      <c r="D333">
        <v>0.01</v>
      </c>
      <c r="E333">
        <v>0.01</v>
      </c>
      <c r="F333">
        <v>0</v>
      </c>
      <c r="G333">
        <v>0</v>
      </c>
      <c r="H333">
        <v>0</v>
      </c>
      <c r="I333">
        <v>0</v>
      </c>
      <c r="J333">
        <v>0.95</v>
      </c>
      <c r="K333">
        <v>0</v>
      </c>
      <c r="L333">
        <v>0</v>
      </c>
      <c r="M333">
        <v>0.03</v>
      </c>
      <c r="N333">
        <v>0</v>
      </c>
    </row>
    <row r="334" spans="1:14">
      <c r="A334">
        <v>333</v>
      </c>
      <c r="B334" t="s">
        <v>20</v>
      </c>
      <c r="C334" t="s">
        <v>20</v>
      </c>
      <c r="D334">
        <v>0.05</v>
      </c>
      <c r="E334">
        <v>0.95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31</v>
      </c>
      <c r="C335" t="s">
        <v>31</v>
      </c>
      <c r="D335">
        <v>0.01</v>
      </c>
      <c r="E335">
        <v>0</v>
      </c>
      <c r="F335">
        <v>0</v>
      </c>
      <c r="G335">
        <v>0</v>
      </c>
      <c r="H335">
        <v>0.96</v>
      </c>
      <c r="I335">
        <v>0</v>
      </c>
      <c r="J335">
        <v>0</v>
      </c>
      <c r="K335">
        <v>0</v>
      </c>
      <c r="L335">
        <v>0</v>
      </c>
      <c r="M335">
        <v>0.03</v>
      </c>
      <c r="N335">
        <v>0</v>
      </c>
    </row>
    <row r="336" spans="1:14">
      <c r="A336">
        <v>335</v>
      </c>
      <c r="B336" t="s">
        <v>383</v>
      </c>
      <c r="C336" t="s">
        <v>383</v>
      </c>
      <c r="D336">
        <v>0.03</v>
      </c>
      <c r="E336">
        <v>0.03</v>
      </c>
      <c r="F336">
        <v>0</v>
      </c>
      <c r="G336">
        <v>0</v>
      </c>
      <c r="H336">
        <v>0.18</v>
      </c>
      <c r="I336">
        <v>0</v>
      </c>
      <c r="J336">
        <v>0.02</v>
      </c>
      <c r="K336">
        <v>0.72</v>
      </c>
      <c r="L336">
        <v>0</v>
      </c>
      <c r="M336">
        <v>0.02</v>
      </c>
      <c r="N336">
        <v>0</v>
      </c>
    </row>
    <row r="337" spans="1:14">
      <c r="A337">
        <v>336</v>
      </c>
      <c r="B337" t="s">
        <v>40</v>
      </c>
      <c r="C337" t="s">
        <v>40</v>
      </c>
      <c r="D337">
        <v>0.05</v>
      </c>
      <c r="E337">
        <v>0</v>
      </c>
      <c r="F337">
        <v>0</v>
      </c>
      <c r="G337">
        <v>0</v>
      </c>
      <c r="H337">
        <v>0.1</v>
      </c>
      <c r="I337">
        <v>0</v>
      </c>
      <c r="J337">
        <v>0.85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31</v>
      </c>
      <c r="C338" t="s">
        <v>31</v>
      </c>
      <c r="D338">
        <v>0.01</v>
      </c>
      <c r="E338">
        <v>0</v>
      </c>
      <c r="F338">
        <v>0</v>
      </c>
      <c r="G338">
        <v>0</v>
      </c>
      <c r="H338">
        <v>0.96</v>
      </c>
      <c r="I338">
        <v>0</v>
      </c>
      <c r="J338">
        <v>0</v>
      </c>
      <c r="K338">
        <v>0</v>
      </c>
      <c r="L338">
        <v>0</v>
      </c>
      <c r="M338">
        <v>0.03</v>
      </c>
      <c r="N338">
        <v>0</v>
      </c>
    </row>
    <row r="339" spans="1:14">
      <c r="A339">
        <v>338</v>
      </c>
      <c r="B339" t="s">
        <v>40</v>
      </c>
      <c r="C339" t="s">
        <v>40</v>
      </c>
      <c r="D339">
        <v>0</v>
      </c>
      <c r="E339">
        <v>0</v>
      </c>
      <c r="F339">
        <v>0</v>
      </c>
      <c r="G339">
        <v>0.01</v>
      </c>
      <c r="H339">
        <v>0</v>
      </c>
      <c r="I339">
        <v>0</v>
      </c>
      <c r="J339">
        <v>0.99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35</v>
      </c>
      <c r="C340" t="s">
        <v>35</v>
      </c>
      <c r="D340">
        <v>0.81</v>
      </c>
      <c r="E340">
        <v>0.17</v>
      </c>
      <c r="F340">
        <v>0.02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20</v>
      </c>
      <c r="C341" t="s">
        <v>20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89</v>
      </c>
      <c r="C342" t="s">
        <v>89</v>
      </c>
      <c r="D342">
        <v>0.03</v>
      </c>
      <c r="E342">
        <v>0.01</v>
      </c>
      <c r="F342">
        <v>0</v>
      </c>
      <c r="G342">
        <v>0</v>
      </c>
      <c r="H342">
        <v>0.14000000000000001</v>
      </c>
      <c r="I342">
        <v>0</v>
      </c>
      <c r="J342">
        <v>0.15</v>
      </c>
      <c r="K342">
        <v>0</v>
      </c>
      <c r="L342">
        <v>0</v>
      </c>
      <c r="M342">
        <v>0.67</v>
      </c>
      <c r="N342">
        <v>0</v>
      </c>
    </row>
    <row r="343" spans="1:14">
      <c r="A343">
        <v>342</v>
      </c>
      <c r="B343" t="s">
        <v>20</v>
      </c>
      <c r="C343" t="s">
        <v>20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20</v>
      </c>
      <c r="C344" t="s">
        <v>20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31</v>
      </c>
      <c r="C345" t="s">
        <v>31</v>
      </c>
      <c r="D345">
        <v>0.03</v>
      </c>
      <c r="E345">
        <v>0.02</v>
      </c>
      <c r="F345">
        <v>0.01</v>
      </c>
      <c r="G345">
        <v>0</v>
      </c>
      <c r="H345">
        <v>0.91</v>
      </c>
      <c r="I345">
        <v>0</v>
      </c>
      <c r="J345">
        <v>0</v>
      </c>
      <c r="K345">
        <v>0</v>
      </c>
      <c r="L345">
        <v>0.03</v>
      </c>
      <c r="M345">
        <v>0</v>
      </c>
      <c r="N345">
        <v>0</v>
      </c>
    </row>
    <row r="346" spans="1:14">
      <c r="A346">
        <v>345</v>
      </c>
      <c r="B346" t="s">
        <v>20</v>
      </c>
      <c r="C346" t="s">
        <v>20</v>
      </c>
      <c r="D346">
        <v>0.01</v>
      </c>
      <c r="E346">
        <v>0.99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27</v>
      </c>
      <c r="C347" t="s">
        <v>27</v>
      </c>
      <c r="D347">
        <v>0</v>
      </c>
      <c r="E347">
        <v>0</v>
      </c>
      <c r="F347">
        <v>0</v>
      </c>
      <c r="G347">
        <v>0</v>
      </c>
      <c r="H347">
        <v>0.03</v>
      </c>
      <c r="I347">
        <v>0</v>
      </c>
      <c r="J347">
        <v>0</v>
      </c>
      <c r="K347">
        <v>0</v>
      </c>
      <c r="L347">
        <v>0.97</v>
      </c>
      <c r="M347">
        <v>0</v>
      </c>
      <c r="N347">
        <v>0</v>
      </c>
    </row>
    <row r="348" spans="1:14">
      <c r="A348">
        <v>347</v>
      </c>
      <c r="B348" t="s">
        <v>31</v>
      </c>
      <c r="C348" t="s">
        <v>31</v>
      </c>
      <c r="D348">
        <v>0</v>
      </c>
      <c r="E348">
        <v>0</v>
      </c>
      <c r="F348">
        <v>0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20</v>
      </c>
      <c r="C349" t="s">
        <v>20</v>
      </c>
      <c r="D349">
        <v>0</v>
      </c>
      <c r="E349">
        <v>0.89</v>
      </c>
      <c r="F349">
        <v>0</v>
      </c>
      <c r="G349">
        <v>0</v>
      </c>
      <c r="H349">
        <v>0.08</v>
      </c>
      <c r="I349">
        <v>0</v>
      </c>
      <c r="J349">
        <v>0</v>
      </c>
      <c r="K349">
        <v>0.03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40</v>
      </c>
      <c r="C350" t="s">
        <v>40</v>
      </c>
      <c r="D350">
        <v>0.01</v>
      </c>
      <c r="E350">
        <v>0.02</v>
      </c>
      <c r="F350">
        <v>0</v>
      </c>
      <c r="G350">
        <v>0</v>
      </c>
      <c r="H350">
        <v>7.0000000000000007E-2</v>
      </c>
      <c r="I350">
        <v>0</v>
      </c>
      <c r="J350">
        <v>0.83</v>
      </c>
      <c r="K350">
        <v>0</v>
      </c>
      <c r="L350">
        <v>0</v>
      </c>
      <c r="M350">
        <v>7.0000000000000007E-2</v>
      </c>
      <c r="N350">
        <v>0</v>
      </c>
    </row>
    <row r="351" spans="1:14">
      <c r="A351">
        <v>350</v>
      </c>
      <c r="B351" t="s">
        <v>89</v>
      </c>
      <c r="C351" t="s">
        <v>89</v>
      </c>
      <c r="D351">
        <v>0.35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0.65</v>
      </c>
      <c r="N351">
        <v>0</v>
      </c>
    </row>
    <row r="352" spans="1:14">
      <c r="A352">
        <v>351</v>
      </c>
      <c r="B352" t="s">
        <v>31</v>
      </c>
      <c r="C352" t="s">
        <v>31</v>
      </c>
      <c r="D352">
        <v>0</v>
      </c>
      <c r="E352">
        <v>0.01</v>
      </c>
      <c r="F352">
        <v>0</v>
      </c>
      <c r="G352">
        <v>0</v>
      </c>
      <c r="H352">
        <v>0.94</v>
      </c>
      <c r="I352">
        <v>0</v>
      </c>
      <c r="J352">
        <v>0.05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20</v>
      </c>
      <c r="C353" t="s">
        <v>20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31</v>
      </c>
      <c r="C354" t="s">
        <v>31</v>
      </c>
      <c r="D354">
        <v>0.01</v>
      </c>
      <c r="E354">
        <v>0</v>
      </c>
      <c r="F354">
        <v>0</v>
      </c>
      <c r="G354">
        <v>0</v>
      </c>
      <c r="H354">
        <v>0.95</v>
      </c>
      <c r="I354">
        <v>0</v>
      </c>
      <c r="J354">
        <v>0.03</v>
      </c>
      <c r="K354">
        <v>0</v>
      </c>
      <c r="L354">
        <v>0</v>
      </c>
      <c r="M354">
        <v>0.01</v>
      </c>
      <c r="N354">
        <v>0</v>
      </c>
    </row>
    <row r="355" spans="1:14">
      <c r="A355">
        <v>354</v>
      </c>
      <c r="B355" t="s">
        <v>31</v>
      </c>
      <c r="C355" t="s">
        <v>31</v>
      </c>
      <c r="D355">
        <v>0</v>
      </c>
      <c r="E355">
        <v>0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sqref="A1:Z355"/>
    </sheetView>
  </sheetViews>
  <sheetFormatPr baseColWidth="10" defaultRowHeight="16"/>
  <sheetData>
    <row r="1" spans="1:26">
      <c r="A1" t="s">
        <v>407</v>
      </c>
      <c r="B1" t="s">
        <v>10</v>
      </c>
      <c r="C1" t="s">
        <v>415</v>
      </c>
      <c r="D1" t="s">
        <v>58</v>
      </c>
      <c r="E1" t="s">
        <v>329</v>
      </c>
      <c r="F1" t="s">
        <v>36</v>
      </c>
      <c r="G1" t="s">
        <v>32</v>
      </c>
      <c r="H1" t="s">
        <v>90</v>
      </c>
      <c r="I1" t="s">
        <v>44</v>
      </c>
      <c r="J1" t="s">
        <v>331</v>
      </c>
      <c r="K1" t="s">
        <v>194</v>
      </c>
      <c r="L1" t="s">
        <v>48</v>
      </c>
      <c r="M1" t="s">
        <v>177</v>
      </c>
      <c r="N1" t="s">
        <v>101</v>
      </c>
      <c r="O1" t="s">
        <v>28</v>
      </c>
      <c r="P1" t="s">
        <v>111</v>
      </c>
      <c r="Q1" t="s">
        <v>41</v>
      </c>
      <c r="R1" t="s">
        <v>107</v>
      </c>
      <c r="S1" t="s">
        <v>165</v>
      </c>
      <c r="T1" t="s">
        <v>73</v>
      </c>
      <c r="U1" t="s">
        <v>365</v>
      </c>
      <c r="V1" t="s">
        <v>273</v>
      </c>
      <c r="W1" t="s">
        <v>78</v>
      </c>
      <c r="X1" t="s">
        <v>225</v>
      </c>
      <c r="Y1" t="s">
        <v>21</v>
      </c>
      <c r="Z1" t="s">
        <v>265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1</v>
      </c>
      <c r="Z2">
        <v>0</v>
      </c>
    </row>
    <row r="3" spans="1:26">
      <c r="A3">
        <v>2</v>
      </c>
      <c r="B3" t="s">
        <v>21</v>
      </c>
      <c r="C3" t="s">
        <v>21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1</v>
      </c>
      <c r="Z3">
        <v>0</v>
      </c>
    </row>
    <row r="4" spans="1:26">
      <c r="A4">
        <v>3</v>
      </c>
      <c r="B4" t="s">
        <v>28</v>
      </c>
      <c r="C4" t="s">
        <v>28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32</v>
      </c>
      <c r="C5" t="s">
        <v>32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36</v>
      </c>
      <c r="C6" t="s">
        <v>36</v>
      </c>
      <c r="D6">
        <v>0</v>
      </c>
      <c r="E6">
        <v>0</v>
      </c>
      <c r="F6">
        <v>0.88</v>
      </c>
      <c r="G6">
        <v>0.01</v>
      </c>
      <c r="H6">
        <v>0</v>
      </c>
      <c r="I6">
        <v>0</v>
      </c>
      <c r="J6">
        <v>0</v>
      </c>
      <c r="K6">
        <v>0</v>
      </c>
      <c r="L6">
        <v>0.04</v>
      </c>
      <c r="M6">
        <v>0</v>
      </c>
      <c r="N6">
        <v>0</v>
      </c>
      <c r="O6">
        <v>0</v>
      </c>
      <c r="P6">
        <v>0.01</v>
      </c>
      <c r="Q6">
        <v>0</v>
      </c>
      <c r="R6">
        <v>0</v>
      </c>
      <c r="S6">
        <v>0</v>
      </c>
      <c r="T6">
        <v>0.06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32</v>
      </c>
      <c r="C7" t="s">
        <v>32</v>
      </c>
      <c r="D7">
        <v>0</v>
      </c>
      <c r="E7">
        <v>0</v>
      </c>
      <c r="F7">
        <v>0</v>
      </c>
      <c r="G7">
        <v>0.81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0.19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41</v>
      </c>
      <c r="C8" t="s">
        <v>41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44</v>
      </c>
      <c r="C9" t="s">
        <v>44</v>
      </c>
      <c r="D9">
        <v>0</v>
      </c>
      <c r="E9">
        <v>0</v>
      </c>
      <c r="F9">
        <v>0</v>
      </c>
      <c r="G9">
        <v>0</v>
      </c>
      <c r="H9">
        <v>0</v>
      </c>
      <c r="I9">
        <v>0.96</v>
      </c>
      <c r="J9">
        <v>0</v>
      </c>
      <c r="K9">
        <v>0</v>
      </c>
      <c r="L9">
        <v>0.04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>
        <v>9</v>
      </c>
      <c r="B10" t="s">
        <v>32</v>
      </c>
      <c r="C10" t="s">
        <v>32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48</v>
      </c>
      <c r="C11" t="s">
        <v>48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</v>
      </c>
      <c r="B12" t="s">
        <v>48</v>
      </c>
      <c r="C12" t="s">
        <v>48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32</v>
      </c>
      <c r="C13" t="s">
        <v>32</v>
      </c>
      <c r="D13">
        <v>0</v>
      </c>
      <c r="E13">
        <v>0</v>
      </c>
      <c r="F13">
        <v>0</v>
      </c>
      <c r="G13">
        <v>0.96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0.04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41</v>
      </c>
      <c r="C14" t="s">
        <v>41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14</v>
      </c>
      <c r="B15" t="s">
        <v>48</v>
      </c>
      <c r="C15" t="s">
        <v>48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58</v>
      </c>
      <c r="C16" t="s">
        <v>58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16</v>
      </c>
      <c r="B17" t="s">
        <v>48</v>
      </c>
      <c r="C17" t="s">
        <v>48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32</v>
      </c>
      <c r="C18" t="s">
        <v>32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32</v>
      </c>
      <c r="C19" t="s">
        <v>32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36</v>
      </c>
      <c r="C20" t="s">
        <v>36</v>
      </c>
      <c r="D20">
        <v>0</v>
      </c>
      <c r="E20">
        <v>0</v>
      </c>
      <c r="F20">
        <v>0.95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0.05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20</v>
      </c>
      <c r="B21" t="s">
        <v>41</v>
      </c>
      <c r="C21" t="s">
        <v>41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58</v>
      </c>
      <c r="C22" t="s">
        <v>58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41</v>
      </c>
      <c r="C23" t="s">
        <v>41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32</v>
      </c>
      <c r="C24" t="s">
        <v>32</v>
      </c>
      <c r="D24">
        <v>0</v>
      </c>
      <c r="E24">
        <v>0</v>
      </c>
      <c r="F24">
        <v>0</v>
      </c>
      <c r="G24">
        <v>0.92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0.08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44</v>
      </c>
      <c r="C25" t="s">
        <v>44</v>
      </c>
      <c r="D25">
        <v>0</v>
      </c>
      <c r="E25">
        <v>0</v>
      </c>
      <c r="F25">
        <v>0</v>
      </c>
      <c r="G25">
        <v>0</v>
      </c>
      <c r="H25">
        <v>0</v>
      </c>
      <c r="I25">
        <v>0.92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0.08</v>
      </c>
    </row>
    <row r="26" spans="1:26">
      <c r="A26">
        <v>25</v>
      </c>
      <c r="B26" t="s">
        <v>73</v>
      </c>
      <c r="C26" t="s">
        <v>73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0.89</v>
      </c>
      <c r="U26">
        <v>0</v>
      </c>
      <c r="V26">
        <v>0</v>
      </c>
      <c r="W26">
        <v>0.11</v>
      </c>
      <c r="X26">
        <v>0</v>
      </c>
      <c r="Y26">
        <v>0</v>
      </c>
      <c r="Z26">
        <v>0</v>
      </c>
    </row>
    <row r="27" spans="1:26">
      <c r="A27">
        <v>26</v>
      </c>
      <c r="B27" t="s">
        <v>48</v>
      </c>
      <c r="C27" t="s">
        <v>48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0.85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0.15</v>
      </c>
      <c r="Z27">
        <v>0</v>
      </c>
    </row>
    <row r="28" spans="1:26">
      <c r="A28">
        <v>27</v>
      </c>
      <c r="B28" t="s">
        <v>41</v>
      </c>
      <c r="C28" t="s">
        <v>41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28</v>
      </c>
      <c r="B29" t="s">
        <v>78</v>
      </c>
      <c r="C29" t="s">
        <v>78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0.13</v>
      </c>
      <c r="U29">
        <v>0</v>
      </c>
      <c r="V29">
        <v>0</v>
      </c>
      <c r="W29">
        <v>0.87</v>
      </c>
      <c r="X29">
        <v>0</v>
      </c>
      <c r="Y29">
        <v>0</v>
      </c>
      <c r="Z29">
        <v>0</v>
      </c>
    </row>
    <row r="30" spans="1:26">
      <c r="A30">
        <v>29</v>
      </c>
      <c r="B30" t="s">
        <v>73</v>
      </c>
      <c r="C30" t="s">
        <v>73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0.65</v>
      </c>
      <c r="U30">
        <v>0</v>
      </c>
      <c r="V30">
        <v>0</v>
      </c>
      <c r="W30">
        <v>0.35</v>
      </c>
      <c r="X30">
        <v>0</v>
      </c>
      <c r="Y30">
        <v>0</v>
      </c>
      <c r="Z30">
        <v>0</v>
      </c>
    </row>
    <row r="31" spans="1:26">
      <c r="A31">
        <v>30</v>
      </c>
      <c r="B31" t="s">
        <v>44</v>
      </c>
      <c r="C31" t="s">
        <v>44</v>
      </c>
      <c r="D31">
        <v>0</v>
      </c>
      <c r="E31">
        <v>0</v>
      </c>
      <c r="F31">
        <v>0</v>
      </c>
      <c r="G31">
        <v>0</v>
      </c>
      <c r="H31">
        <v>0</v>
      </c>
      <c r="I31">
        <v>0.92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0.08</v>
      </c>
    </row>
    <row r="32" spans="1:26">
      <c r="A32">
        <v>31</v>
      </c>
      <c r="B32" t="s">
        <v>32</v>
      </c>
      <c r="C32" t="s">
        <v>32</v>
      </c>
      <c r="D32">
        <v>0</v>
      </c>
      <c r="E32">
        <v>0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32</v>
      </c>
      <c r="C33" t="s">
        <v>32</v>
      </c>
      <c r="D33">
        <v>0</v>
      </c>
      <c r="E33">
        <v>0</v>
      </c>
      <c r="F33">
        <v>0</v>
      </c>
      <c r="G33">
        <v>0.86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0.14000000000000001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48</v>
      </c>
      <c r="C34" t="s">
        <v>48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34</v>
      </c>
      <c r="B35" t="s">
        <v>44</v>
      </c>
      <c r="C35" t="s">
        <v>44</v>
      </c>
      <c r="D35">
        <v>0</v>
      </c>
      <c r="E35">
        <v>0</v>
      </c>
      <c r="F35">
        <v>0</v>
      </c>
      <c r="G35">
        <v>0</v>
      </c>
      <c r="H35">
        <v>0</v>
      </c>
      <c r="I35">
        <v>0.99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0.01</v>
      </c>
    </row>
    <row r="36" spans="1:26">
      <c r="A36">
        <v>35</v>
      </c>
      <c r="B36" t="s">
        <v>90</v>
      </c>
      <c r="C36" t="s">
        <v>90</v>
      </c>
      <c r="D36">
        <v>0</v>
      </c>
      <c r="E36">
        <v>0.01</v>
      </c>
      <c r="F36">
        <v>0</v>
      </c>
      <c r="G36">
        <v>0</v>
      </c>
      <c r="H36">
        <v>0.63</v>
      </c>
      <c r="I36">
        <v>0</v>
      </c>
      <c r="J36">
        <v>0</v>
      </c>
      <c r="K36">
        <v>0.01</v>
      </c>
      <c r="L36">
        <v>0</v>
      </c>
      <c r="M36">
        <v>0.25</v>
      </c>
      <c r="N36">
        <v>0.04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0.05</v>
      </c>
      <c r="W36">
        <v>0</v>
      </c>
      <c r="X36">
        <v>0.01</v>
      </c>
      <c r="Y36">
        <v>0</v>
      </c>
      <c r="Z36">
        <v>0</v>
      </c>
    </row>
    <row r="37" spans="1:26">
      <c r="A37">
        <v>36</v>
      </c>
      <c r="B37" t="s">
        <v>32</v>
      </c>
      <c r="C37" t="s">
        <v>32</v>
      </c>
      <c r="D37">
        <v>0</v>
      </c>
      <c r="E37">
        <v>0</v>
      </c>
      <c r="F37">
        <v>0</v>
      </c>
      <c r="G37">
        <v>0.99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0.01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41</v>
      </c>
      <c r="C38" t="s">
        <v>41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21</v>
      </c>
      <c r="C39" t="s">
        <v>21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0.08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0.92</v>
      </c>
      <c r="Z39">
        <v>0</v>
      </c>
    </row>
    <row r="40" spans="1:26">
      <c r="A40">
        <v>39</v>
      </c>
      <c r="B40" t="s">
        <v>48</v>
      </c>
      <c r="C40" t="s">
        <v>48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40</v>
      </c>
      <c r="B41" t="s">
        <v>36</v>
      </c>
      <c r="C41" t="s">
        <v>36</v>
      </c>
      <c r="D41">
        <v>0</v>
      </c>
      <c r="E41">
        <v>0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41</v>
      </c>
      <c r="B42" t="s">
        <v>36</v>
      </c>
      <c r="C42" t="s">
        <v>36</v>
      </c>
      <c r="D42">
        <v>0</v>
      </c>
      <c r="E42">
        <v>0</v>
      </c>
      <c r="F42">
        <v>0.99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0.01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48</v>
      </c>
      <c r="C43" t="s">
        <v>48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101</v>
      </c>
      <c r="C44" t="s">
        <v>101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0.03</v>
      </c>
      <c r="N44">
        <v>0.97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32</v>
      </c>
      <c r="C45" t="s">
        <v>32</v>
      </c>
      <c r="D45">
        <v>0</v>
      </c>
      <c r="E45">
        <v>0</v>
      </c>
      <c r="F45">
        <v>0</v>
      </c>
      <c r="G45">
        <v>0.99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0.01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32</v>
      </c>
      <c r="C46" t="s">
        <v>32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46</v>
      </c>
      <c r="B47" t="s">
        <v>32</v>
      </c>
      <c r="C47" t="s">
        <v>32</v>
      </c>
      <c r="D47">
        <v>0</v>
      </c>
      <c r="E47">
        <v>0</v>
      </c>
      <c r="F47">
        <v>0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107</v>
      </c>
      <c r="C48" t="s">
        <v>107</v>
      </c>
      <c r="D48">
        <v>0</v>
      </c>
      <c r="E48">
        <v>0</v>
      </c>
      <c r="F48">
        <v>0</v>
      </c>
      <c r="G48">
        <v>0.18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0.82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48</v>
      </c>
      <c r="B49" t="s">
        <v>111</v>
      </c>
      <c r="C49" t="s">
        <v>111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49</v>
      </c>
      <c r="B50" t="s">
        <v>41</v>
      </c>
      <c r="C50" t="s">
        <v>41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32</v>
      </c>
      <c r="C51" t="s">
        <v>32</v>
      </c>
      <c r="D51">
        <v>0</v>
      </c>
      <c r="E51">
        <v>0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48</v>
      </c>
      <c r="C52" t="s">
        <v>48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52</v>
      </c>
      <c r="B53" t="s">
        <v>32</v>
      </c>
      <c r="C53" t="s">
        <v>32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53</v>
      </c>
      <c r="B54" t="s">
        <v>101</v>
      </c>
      <c r="C54" t="s">
        <v>101</v>
      </c>
      <c r="D54">
        <v>0</v>
      </c>
      <c r="E54">
        <v>0.28999999999999998</v>
      </c>
      <c r="F54">
        <v>0</v>
      </c>
      <c r="G54">
        <v>0</v>
      </c>
      <c r="H54">
        <v>0.04</v>
      </c>
      <c r="I54">
        <v>0</v>
      </c>
      <c r="J54">
        <v>0</v>
      </c>
      <c r="K54">
        <v>0</v>
      </c>
      <c r="L54">
        <v>0</v>
      </c>
      <c r="M54">
        <v>0.02</v>
      </c>
      <c r="N54">
        <v>0.64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0.01</v>
      </c>
      <c r="W54">
        <v>0</v>
      </c>
      <c r="X54">
        <v>0</v>
      </c>
      <c r="Y54">
        <v>0</v>
      </c>
      <c r="Z54">
        <v>0</v>
      </c>
    </row>
    <row r="55" spans="1:26">
      <c r="A55">
        <v>54</v>
      </c>
      <c r="B55" t="s">
        <v>21</v>
      </c>
      <c r="C55" t="s">
        <v>21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7.0000000000000007E-2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0.93</v>
      </c>
      <c r="Z55">
        <v>0</v>
      </c>
    </row>
    <row r="56" spans="1:26">
      <c r="A56">
        <v>55</v>
      </c>
      <c r="B56" t="s">
        <v>32</v>
      </c>
      <c r="C56" t="s">
        <v>32</v>
      </c>
      <c r="D56">
        <v>0</v>
      </c>
      <c r="E56">
        <v>0</v>
      </c>
      <c r="F56">
        <v>0</v>
      </c>
      <c r="G56">
        <v>0.99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0.01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32</v>
      </c>
      <c r="C57" t="s">
        <v>32</v>
      </c>
      <c r="D57">
        <v>0</v>
      </c>
      <c r="E57">
        <v>0</v>
      </c>
      <c r="F57">
        <v>0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21</v>
      </c>
      <c r="C58" t="s">
        <v>21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1</v>
      </c>
      <c r="Z58">
        <v>0</v>
      </c>
    </row>
    <row r="59" spans="1:26">
      <c r="A59">
        <v>58</v>
      </c>
      <c r="B59" t="s">
        <v>32</v>
      </c>
      <c r="C59" t="s">
        <v>32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21</v>
      </c>
      <c r="C60" t="s">
        <v>21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1</v>
      </c>
      <c r="Z60">
        <v>0</v>
      </c>
    </row>
    <row r="61" spans="1:26">
      <c r="A61">
        <v>60</v>
      </c>
      <c r="B61" t="s">
        <v>36</v>
      </c>
      <c r="C61" t="s">
        <v>36</v>
      </c>
      <c r="D61">
        <v>0</v>
      </c>
      <c r="E61">
        <v>0</v>
      </c>
      <c r="F61">
        <v>0.98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0.02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41</v>
      </c>
      <c r="C62" t="s">
        <v>41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>
      <c r="A63">
        <v>62</v>
      </c>
      <c r="B63" t="s">
        <v>48</v>
      </c>
      <c r="C63" t="s">
        <v>48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63</v>
      </c>
      <c r="B64" t="s">
        <v>28</v>
      </c>
      <c r="C64" t="s">
        <v>28</v>
      </c>
      <c r="D64">
        <v>0.01</v>
      </c>
      <c r="E64">
        <v>0</v>
      </c>
      <c r="F64">
        <v>0.05</v>
      </c>
      <c r="G64">
        <v>0</v>
      </c>
      <c r="H64">
        <v>0</v>
      </c>
      <c r="I64">
        <v>0</v>
      </c>
      <c r="J64">
        <v>0</v>
      </c>
      <c r="K64">
        <v>0.01</v>
      </c>
      <c r="L64">
        <v>0.02</v>
      </c>
      <c r="M64">
        <v>0</v>
      </c>
      <c r="N64">
        <v>0</v>
      </c>
      <c r="O64">
        <v>0.91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41</v>
      </c>
      <c r="C65" t="s">
        <v>41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65</v>
      </c>
      <c r="B66" t="s">
        <v>21</v>
      </c>
      <c r="C66" t="s">
        <v>21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1</v>
      </c>
      <c r="Z66">
        <v>0</v>
      </c>
    </row>
    <row r="67" spans="1:26">
      <c r="A67">
        <v>66</v>
      </c>
      <c r="B67" t="s">
        <v>73</v>
      </c>
      <c r="C67" t="s">
        <v>73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0.96</v>
      </c>
      <c r="U67">
        <v>0</v>
      </c>
      <c r="V67">
        <v>0</v>
      </c>
      <c r="W67">
        <v>0.04</v>
      </c>
      <c r="X67">
        <v>0</v>
      </c>
      <c r="Y67">
        <v>0</v>
      </c>
      <c r="Z67">
        <v>0</v>
      </c>
    </row>
    <row r="68" spans="1:26">
      <c r="A68">
        <v>67</v>
      </c>
      <c r="B68" t="s">
        <v>44</v>
      </c>
      <c r="C68" t="s">
        <v>44</v>
      </c>
      <c r="D68">
        <v>0</v>
      </c>
      <c r="E68">
        <v>0</v>
      </c>
      <c r="F68">
        <v>0</v>
      </c>
      <c r="G68">
        <v>0</v>
      </c>
      <c r="H68">
        <v>0</v>
      </c>
      <c r="I68">
        <v>0.94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0.06</v>
      </c>
    </row>
    <row r="69" spans="1:26">
      <c r="A69">
        <v>68</v>
      </c>
      <c r="B69" t="s">
        <v>21</v>
      </c>
      <c r="C69" t="s">
        <v>21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0.45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0.55000000000000004</v>
      </c>
      <c r="Z69">
        <v>0</v>
      </c>
    </row>
    <row r="70" spans="1:26">
      <c r="A70">
        <v>69</v>
      </c>
      <c r="B70" t="s">
        <v>32</v>
      </c>
      <c r="C70" t="s">
        <v>32</v>
      </c>
      <c r="D70">
        <v>0</v>
      </c>
      <c r="E70">
        <v>0</v>
      </c>
      <c r="F70">
        <v>0</v>
      </c>
      <c r="G70">
        <v>0.97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0.03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70</v>
      </c>
      <c r="B71" t="s">
        <v>48</v>
      </c>
      <c r="C71" t="s">
        <v>48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0.97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0.03</v>
      </c>
      <c r="Z71">
        <v>0</v>
      </c>
    </row>
    <row r="72" spans="1:26">
      <c r="A72">
        <v>71</v>
      </c>
      <c r="B72" t="s">
        <v>111</v>
      </c>
      <c r="C72" t="s">
        <v>111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41</v>
      </c>
      <c r="C73" t="s">
        <v>41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>
        <v>73</v>
      </c>
      <c r="B74" t="s">
        <v>28</v>
      </c>
      <c r="C74" t="s">
        <v>28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44</v>
      </c>
      <c r="C75" t="s">
        <v>44</v>
      </c>
      <c r="D75">
        <v>0</v>
      </c>
      <c r="E75">
        <v>0</v>
      </c>
      <c r="F75">
        <v>0</v>
      </c>
      <c r="G75">
        <v>0</v>
      </c>
      <c r="H75">
        <v>0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36</v>
      </c>
      <c r="C76" t="s">
        <v>36</v>
      </c>
      <c r="D76">
        <v>0</v>
      </c>
      <c r="E76">
        <v>0</v>
      </c>
      <c r="F76">
        <v>0.71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0.28999999999999998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>
        <v>76</v>
      </c>
      <c r="B77" t="s">
        <v>58</v>
      </c>
      <c r="C77" t="s">
        <v>58</v>
      </c>
      <c r="D77">
        <v>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77</v>
      </c>
      <c r="B78" t="s">
        <v>41</v>
      </c>
      <c r="C78" t="s">
        <v>41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78</v>
      </c>
      <c r="B79" t="s">
        <v>48</v>
      </c>
      <c r="C79" t="s">
        <v>48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44</v>
      </c>
      <c r="C80" t="s">
        <v>44</v>
      </c>
      <c r="D80">
        <v>0</v>
      </c>
      <c r="E80">
        <v>0</v>
      </c>
      <c r="F80">
        <v>0</v>
      </c>
      <c r="G80">
        <v>0</v>
      </c>
      <c r="H80">
        <v>0</v>
      </c>
      <c r="I80">
        <v>0.98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0.02</v>
      </c>
    </row>
    <row r="81" spans="1:26">
      <c r="A81">
        <v>80</v>
      </c>
      <c r="B81" t="s">
        <v>48</v>
      </c>
      <c r="C81" t="s">
        <v>48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81</v>
      </c>
      <c r="B82" t="s">
        <v>32</v>
      </c>
      <c r="C82" t="s">
        <v>32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48</v>
      </c>
      <c r="C83" t="s">
        <v>48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0.97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0.03</v>
      </c>
      <c r="Z83">
        <v>0</v>
      </c>
    </row>
    <row r="84" spans="1:26">
      <c r="A84">
        <v>83</v>
      </c>
      <c r="B84" t="s">
        <v>48</v>
      </c>
      <c r="C84" t="s">
        <v>48</v>
      </c>
      <c r="D84">
        <v>0</v>
      </c>
      <c r="E84">
        <v>0</v>
      </c>
      <c r="F84">
        <v>0</v>
      </c>
      <c r="G84">
        <v>0</v>
      </c>
      <c r="H84">
        <v>0</v>
      </c>
      <c r="I84">
        <v>0.19</v>
      </c>
      <c r="J84">
        <v>0</v>
      </c>
      <c r="K84">
        <v>0</v>
      </c>
      <c r="L84">
        <v>0.81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41</v>
      </c>
      <c r="C85" t="s">
        <v>41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41</v>
      </c>
      <c r="C86" t="s">
        <v>41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41</v>
      </c>
      <c r="C87" t="s">
        <v>41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41</v>
      </c>
      <c r="C88" t="s">
        <v>41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111</v>
      </c>
      <c r="C89" t="s">
        <v>111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36</v>
      </c>
      <c r="C90" t="s">
        <v>36</v>
      </c>
      <c r="D90">
        <v>0</v>
      </c>
      <c r="E90">
        <v>0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48</v>
      </c>
      <c r="C91" t="s">
        <v>48</v>
      </c>
      <c r="D91">
        <v>0</v>
      </c>
      <c r="E91">
        <v>0</v>
      </c>
      <c r="F91">
        <v>0.03</v>
      </c>
      <c r="G91">
        <v>0</v>
      </c>
      <c r="H91">
        <v>0</v>
      </c>
      <c r="I91">
        <v>0</v>
      </c>
      <c r="J91">
        <v>0</v>
      </c>
      <c r="K91">
        <v>0</v>
      </c>
      <c r="L91">
        <v>0.97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91</v>
      </c>
      <c r="B92" t="s">
        <v>78</v>
      </c>
      <c r="C92" t="s">
        <v>78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0.08</v>
      </c>
      <c r="U92">
        <v>0</v>
      </c>
      <c r="V92">
        <v>0</v>
      </c>
      <c r="W92">
        <v>0.92</v>
      </c>
      <c r="X92">
        <v>0</v>
      </c>
      <c r="Y92">
        <v>0</v>
      </c>
      <c r="Z92">
        <v>0</v>
      </c>
    </row>
    <row r="93" spans="1:26">
      <c r="A93">
        <v>92</v>
      </c>
      <c r="B93" t="s">
        <v>48</v>
      </c>
      <c r="C93" t="s">
        <v>48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32</v>
      </c>
      <c r="C94" t="s">
        <v>32</v>
      </c>
      <c r="D94">
        <v>0</v>
      </c>
      <c r="E94">
        <v>0</v>
      </c>
      <c r="F94">
        <v>0</v>
      </c>
      <c r="G94">
        <v>0.83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0.17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73</v>
      </c>
      <c r="C95" t="s">
        <v>73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0.91</v>
      </c>
      <c r="U95">
        <v>0</v>
      </c>
      <c r="V95">
        <v>0</v>
      </c>
      <c r="W95">
        <v>0.09</v>
      </c>
      <c r="X95">
        <v>0</v>
      </c>
      <c r="Y95">
        <v>0</v>
      </c>
      <c r="Z95">
        <v>0</v>
      </c>
    </row>
    <row r="96" spans="1:26">
      <c r="A96">
        <v>95</v>
      </c>
      <c r="B96" t="s">
        <v>58</v>
      </c>
      <c r="C96" t="s">
        <v>58</v>
      </c>
      <c r="D96">
        <v>0.95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0.04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0.01</v>
      </c>
      <c r="Z96">
        <v>0</v>
      </c>
    </row>
    <row r="97" spans="1:26">
      <c r="A97">
        <v>96</v>
      </c>
      <c r="B97" t="s">
        <v>48</v>
      </c>
      <c r="C97" t="s">
        <v>48</v>
      </c>
      <c r="D97">
        <v>0</v>
      </c>
      <c r="E97">
        <v>0</v>
      </c>
      <c r="F97">
        <v>0</v>
      </c>
      <c r="G97">
        <v>0</v>
      </c>
      <c r="H97">
        <v>0</v>
      </c>
      <c r="I97">
        <v>0.01</v>
      </c>
      <c r="J97">
        <v>0</v>
      </c>
      <c r="K97">
        <v>0</v>
      </c>
      <c r="L97">
        <v>0.67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0.32</v>
      </c>
      <c r="Z97">
        <v>0</v>
      </c>
    </row>
    <row r="98" spans="1:26">
      <c r="A98">
        <v>97</v>
      </c>
      <c r="B98" t="s">
        <v>165</v>
      </c>
      <c r="C98" t="s">
        <v>165</v>
      </c>
      <c r="D98">
        <v>0</v>
      </c>
      <c r="E98">
        <v>0</v>
      </c>
      <c r="F98">
        <v>0.27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0.73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98</v>
      </c>
      <c r="B99" t="s">
        <v>44</v>
      </c>
      <c r="C99" t="s">
        <v>44</v>
      </c>
      <c r="D99">
        <v>0</v>
      </c>
      <c r="E99">
        <v>0</v>
      </c>
      <c r="F99">
        <v>0</v>
      </c>
      <c r="G99">
        <v>0</v>
      </c>
      <c r="H99">
        <v>0</v>
      </c>
      <c r="I99">
        <v>0.86</v>
      </c>
      <c r="J99">
        <v>0</v>
      </c>
      <c r="K99">
        <v>0</v>
      </c>
      <c r="L99">
        <v>0.12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0.02</v>
      </c>
    </row>
    <row r="100" spans="1:26">
      <c r="A100">
        <v>99</v>
      </c>
      <c r="B100" t="s">
        <v>48</v>
      </c>
      <c r="C100" t="s">
        <v>48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32</v>
      </c>
      <c r="C101" t="s">
        <v>32</v>
      </c>
      <c r="D101">
        <v>0</v>
      </c>
      <c r="E101">
        <v>0</v>
      </c>
      <c r="F101">
        <v>0</v>
      </c>
      <c r="G101">
        <v>0.93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7.0000000000000007E-2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21</v>
      </c>
      <c r="C102" t="s">
        <v>21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</v>
      </c>
      <c r="Z102">
        <v>0</v>
      </c>
    </row>
    <row r="103" spans="1:26">
      <c r="A103">
        <v>102</v>
      </c>
      <c r="B103" t="s">
        <v>32</v>
      </c>
      <c r="C103" t="s">
        <v>32</v>
      </c>
      <c r="D103">
        <v>0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103</v>
      </c>
      <c r="B104" t="s">
        <v>78</v>
      </c>
      <c r="C104" t="s">
        <v>78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0.16</v>
      </c>
      <c r="U104">
        <v>0</v>
      </c>
      <c r="V104">
        <v>0</v>
      </c>
      <c r="W104">
        <v>0.84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107</v>
      </c>
      <c r="C105" t="s">
        <v>107</v>
      </c>
      <c r="D105">
        <v>0</v>
      </c>
      <c r="E105">
        <v>0</v>
      </c>
      <c r="F105">
        <v>0</v>
      </c>
      <c r="G105">
        <v>0.11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0.89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177</v>
      </c>
      <c r="C106" t="s">
        <v>177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0.01</v>
      </c>
      <c r="L106">
        <v>0</v>
      </c>
      <c r="M106">
        <v>0.76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0.15</v>
      </c>
      <c r="W106">
        <v>0</v>
      </c>
      <c r="X106">
        <v>0.08</v>
      </c>
      <c r="Y106">
        <v>0</v>
      </c>
      <c r="Z106">
        <v>0</v>
      </c>
    </row>
    <row r="107" spans="1:26">
      <c r="A107">
        <v>106</v>
      </c>
      <c r="B107" t="s">
        <v>32</v>
      </c>
      <c r="C107" t="s">
        <v>32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32</v>
      </c>
      <c r="C108" t="s">
        <v>32</v>
      </c>
      <c r="D108">
        <v>0</v>
      </c>
      <c r="E108">
        <v>0</v>
      </c>
      <c r="F108">
        <v>0</v>
      </c>
      <c r="G108">
        <v>0.97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0.03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41</v>
      </c>
      <c r="C109" t="s">
        <v>41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109</v>
      </c>
      <c r="B110" t="s">
        <v>107</v>
      </c>
      <c r="C110" t="s">
        <v>107</v>
      </c>
      <c r="D110">
        <v>0</v>
      </c>
      <c r="E110">
        <v>0</v>
      </c>
      <c r="F110">
        <v>0</v>
      </c>
      <c r="G110">
        <v>0.01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0.99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48</v>
      </c>
      <c r="C111" t="s">
        <v>48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36</v>
      </c>
      <c r="C112" t="s">
        <v>36</v>
      </c>
      <c r="D112">
        <v>0</v>
      </c>
      <c r="E112">
        <v>0</v>
      </c>
      <c r="F112">
        <v>0.96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0.04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36</v>
      </c>
      <c r="C113" t="s">
        <v>36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165</v>
      </c>
      <c r="C114" t="s">
        <v>165</v>
      </c>
      <c r="D114">
        <v>0</v>
      </c>
      <c r="E114">
        <v>0</v>
      </c>
      <c r="F114">
        <v>0.06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0.94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41</v>
      </c>
      <c r="C115" t="s">
        <v>41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58</v>
      </c>
      <c r="C116" t="s">
        <v>58</v>
      </c>
      <c r="D116">
        <v>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116</v>
      </c>
      <c r="B117" t="s">
        <v>44</v>
      </c>
      <c r="C117" t="s">
        <v>44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0.98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0.02</v>
      </c>
    </row>
    <row r="118" spans="1:26">
      <c r="A118">
        <v>117</v>
      </c>
      <c r="B118" t="s">
        <v>32</v>
      </c>
      <c r="C118" t="s">
        <v>32</v>
      </c>
      <c r="D118">
        <v>0</v>
      </c>
      <c r="E118">
        <v>0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32</v>
      </c>
      <c r="C119" t="s">
        <v>32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119</v>
      </c>
      <c r="B120" t="s">
        <v>194</v>
      </c>
      <c r="C120" t="s">
        <v>194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177</v>
      </c>
      <c r="C121" t="s">
        <v>177</v>
      </c>
      <c r="D121">
        <v>0</v>
      </c>
      <c r="E121">
        <v>0.1</v>
      </c>
      <c r="F121">
        <v>0</v>
      </c>
      <c r="G121">
        <v>0</v>
      </c>
      <c r="H121">
        <v>0.23</v>
      </c>
      <c r="I121">
        <v>0</v>
      </c>
      <c r="J121">
        <v>0</v>
      </c>
      <c r="K121">
        <v>0</v>
      </c>
      <c r="L121">
        <v>0</v>
      </c>
      <c r="M121">
        <v>0.65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0.02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41</v>
      </c>
      <c r="C122" t="s">
        <v>41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165</v>
      </c>
      <c r="C123" t="s">
        <v>165</v>
      </c>
      <c r="D123">
        <v>0</v>
      </c>
      <c r="E123">
        <v>0</v>
      </c>
      <c r="F123">
        <v>0.03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0.97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123</v>
      </c>
      <c r="B124" t="s">
        <v>32</v>
      </c>
      <c r="C124" t="s">
        <v>32</v>
      </c>
      <c r="D124">
        <v>0</v>
      </c>
      <c r="E124">
        <v>0</v>
      </c>
      <c r="F124">
        <v>0</v>
      </c>
      <c r="G124">
        <v>0.97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0.03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32</v>
      </c>
      <c r="C125" t="s">
        <v>32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32</v>
      </c>
      <c r="C126" t="s">
        <v>32</v>
      </c>
      <c r="D126">
        <v>0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126</v>
      </c>
      <c r="B127" t="s">
        <v>73</v>
      </c>
      <c r="C127" t="s">
        <v>73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0.97</v>
      </c>
      <c r="U127">
        <v>0</v>
      </c>
      <c r="V127">
        <v>0</v>
      </c>
      <c r="W127">
        <v>0.03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78</v>
      </c>
      <c r="C128" t="s">
        <v>78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0.27</v>
      </c>
      <c r="U128">
        <v>0</v>
      </c>
      <c r="V128">
        <v>0</v>
      </c>
      <c r="W128">
        <v>0.73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41</v>
      </c>
      <c r="C129" t="s">
        <v>41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44</v>
      </c>
      <c r="C130" t="s">
        <v>44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0.96</v>
      </c>
      <c r="J130">
        <v>0.04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73</v>
      </c>
      <c r="C131" t="s">
        <v>73</v>
      </c>
      <c r="D131">
        <v>0</v>
      </c>
      <c r="E131">
        <v>0.01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0.02</v>
      </c>
      <c r="L131">
        <v>0.02</v>
      </c>
      <c r="M131">
        <v>0.01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0.76</v>
      </c>
      <c r="U131">
        <v>0.01</v>
      </c>
      <c r="V131">
        <v>0</v>
      </c>
      <c r="W131">
        <v>0.15</v>
      </c>
      <c r="X131">
        <v>0.02</v>
      </c>
      <c r="Y131">
        <v>0</v>
      </c>
      <c r="Z131">
        <v>0</v>
      </c>
    </row>
    <row r="132" spans="1:26">
      <c r="A132">
        <v>131</v>
      </c>
      <c r="B132" t="s">
        <v>48</v>
      </c>
      <c r="C132" t="s">
        <v>48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44</v>
      </c>
      <c r="C133" t="s">
        <v>44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32</v>
      </c>
      <c r="C134" t="s">
        <v>32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101</v>
      </c>
      <c r="C135" t="s">
        <v>101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0.02</v>
      </c>
      <c r="N135">
        <v>0.96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0.01</v>
      </c>
      <c r="W135">
        <v>0</v>
      </c>
      <c r="X135">
        <v>0.01</v>
      </c>
      <c r="Y135">
        <v>0</v>
      </c>
      <c r="Z135">
        <v>0</v>
      </c>
    </row>
    <row r="136" spans="1:26">
      <c r="A136">
        <v>135</v>
      </c>
      <c r="B136" t="s">
        <v>78</v>
      </c>
      <c r="C136" t="s">
        <v>78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0.19</v>
      </c>
      <c r="U136">
        <v>0</v>
      </c>
      <c r="V136">
        <v>0</v>
      </c>
      <c r="W136">
        <v>0.81</v>
      </c>
      <c r="X136">
        <v>0</v>
      </c>
      <c r="Y136">
        <v>0</v>
      </c>
      <c r="Z136">
        <v>0</v>
      </c>
    </row>
    <row r="137" spans="1:26">
      <c r="A137">
        <v>136</v>
      </c>
      <c r="B137" t="s">
        <v>32</v>
      </c>
      <c r="C137" t="s">
        <v>32</v>
      </c>
      <c r="D137">
        <v>0</v>
      </c>
      <c r="E137">
        <v>0</v>
      </c>
      <c r="F137">
        <v>0</v>
      </c>
      <c r="G137">
        <v>0.99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0.01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78</v>
      </c>
      <c r="C138" t="s">
        <v>78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0.08</v>
      </c>
      <c r="U138">
        <v>0</v>
      </c>
      <c r="V138">
        <v>0</v>
      </c>
      <c r="W138">
        <v>0.92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32</v>
      </c>
      <c r="C139" t="s">
        <v>32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48</v>
      </c>
      <c r="C140" t="s">
        <v>48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28</v>
      </c>
      <c r="C141" t="s">
        <v>28</v>
      </c>
      <c r="D141">
        <v>0.01</v>
      </c>
      <c r="E141">
        <v>0</v>
      </c>
      <c r="F141">
        <v>0.05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0.02</v>
      </c>
      <c r="M141">
        <v>0</v>
      </c>
      <c r="N141">
        <v>0</v>
      </c>
      <c r="O141">
        <v>0.92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36</v>
      </c>
      <c r="C142" t="s">
        <v>36</v>
      </c>
      <c r="D142">
        <v>0</v>
      </c>
      <c r="E142">
        <v>0</v>
      </c>
      <c r="F142">
        <v>0.98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0.02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32</v>
      </c>
      <c r="C143" t="s">
        <v>32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101</v>
      </c>
      <c r="C144" t="s">
        <v>101</v>
      </c>
      <c r="D144">
        <v>0</v>
      </c>
      <c r="E144">
        <v>0.01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0.09</v>
      </c>
      <c r="N144">
        <v>0.78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7.0000000000000007E-2</v>
      </c>
      <c r="W144">
        <v>0</v>
      </c>
      <c r="X144">
        <v>0.05</v>
      </c>
      <c r="Y144">
        <v>0</v>
      </c>
      <c r="Z144">
        <v>0</v>
      </c>
    </row>
    <row r="145" spans="1:26">
      <c r="A145">
        <v>144</v>
      </c>
      <c r="B145" t="s">
        <v>32</v>
      </c>
      <c r="C145" t="s">
        <v>32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32</v>
      </c>
      <c r="C146" t="s">
        <v>32</v>
      </c>
      <c r="D146">
        <v>0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48</v>
      </c>
      <c r="C147" t="s">
        <v>48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41</v>
      </c>
      <c r="C148" t="s">
        <v>41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1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225</v>
      </c>
      <c r="C149" t="s">
        <v>225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0.04</v>
      </c>
      <c r="N149">
        <v>0.19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0.09</v>
      </c>
      <c r="W149">
        <v>0</v>
      </c>
      <c r="X149">
        <v>0.68</v>
      </c>
      <c r="Y149">
        <v>0</v>
      </c>
      <c r="Z149">
        <v>0</v>
      </c>
    </row>
    <row r="150" spans="1:26">
      <c r="A150">
        <v>149</v>
      </c>
      <c r="B150" t="s">
        <v>41</v>
      </c>
      <c r="C150" t="s">
        <v>41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58</v>
      </c>
      <c r="C151" t="s">
        <v>58</v>
      </c>
      <c r="D151">
        <v>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151</v>
      </c>
      <c r="B152" t="s">
        <v>28</v>
      </c>
      <c r="C152" t="s">
        <v>28</v>
      </c>
      <c r="D152">
        <v>0.01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0.99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41</v>
      </c>
      <c r="C153" t="s">
        <v>41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41</v>
      </c>
      <c r="C154" t="s">
        <v>41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1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32</v>
      </c>
      <c r="C155" t="s">
        <v>32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48</v>
      </c>
      <c r="C156" t="s">
        <v>48</v>
      </c>
      <c r="D156">
        <v>0</v>
      </c>
      <c r="E156">
        <v>0</v>
      </c>
      <c r="F156">
        <v>0</v>
      </c>
      <c r="G156">
        <v>0</v>
      </c>
      <c r="H156">
        <v>0.02</v>
      </c>
      <c r="I156">
        <v>0.1</v>
      </c>
      <c r="J156">
        <v>0</v>
      </c>
      <c r="K156">
        <v>0.01</v>
      </c>
      <c r="L156">
        <v>0.71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0.16</v>
      </c>
    </row>
    <row r="157" spans="1:26">
      <c r="A157">
        <v>156</v>
      </c>
      <c r="B157" t="s">
        <v>41</v>
      </c>
      <c r="C157" t="s">
        <v>41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41</v>
      </c>
      <c r="C158" t="s">
        <v>41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41</v>
      </c>
      <c r="C159" t="s">
        <v>41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159</v>
      </c>
      <c r="B160" t="s">
        <v>78</v>
      </c>
      <c r="C160" t="s">
        <v>78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0.11</v>
      </c>
      <c r="U160">
        <v>0</v>
      </c>
      <c r="V160">
        <v>0</v>
      </c>
      <c r="W160">
        <v>0.89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32</v>
      </c>
      <c r="C161" t="s">
        <v>32</v>
      </c>
      <c r="D161">
        <v>0</v>
      </c>
      <c r="E161">
        <v>0</v>
      </c>
      <c r="F161">
        <v>0</v>
      </c>
      <c r="G161">
        <v>0.96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0.04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41</v>
      </c>
      <c r="C162" t="s">
        <v>41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44</v>
      </c>
      <c r="C163" t="s">
        <v>44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0.99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0.01</v>
      </c>
    </row>
    <row r="164" spans="1:26">
      <c r="A164">
        <v>163</v>
      </c>
      <c r="B164" t="s">
        <v>101</v>
      </c>
      <c r="C164" t="s">
        <v>101</v>
      </c>
      <c r="D164">
        <v>0</v>
      </c>
      <c r="E164">
        <v>0.01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0.01</v>
      </c>
      <c r="L164">
        <v>0</v>
      </c>
      <c r="M164">
        <v>0.05</v>
      </c>
      <c r="N164">
        <v>0.93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164</v>
      </c>
      <c r="B165" t="s">
        <v>73</v>
      </c>
      <c r="C165" t="s">
        <v>73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0.94</v>
      </c>
      <c r="U165">
        <v>0</v>
      </c>
      <c r="V165">
        <v>0</v>
      </c>
      <c r="W165">
        <v>0.06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107</v>
      </c>
      <c r="C166" t="s">
        <v>107</v>
      </c>
      <c r="D166">
        <v>0</v>
      </c>
      <c r="E166">
        <v>0</v>
      </c>
      <c r="F166">
        <v>0</v>
      </c>
      <c r="G166">
        <v>0.01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0.99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21</v>
      </c>
      <c r="C167" t="s">
        <v>21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0.04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0.96</v>
      </c>
      <c r="Z167">
        <v>0</v>
      </c>
    </row>
    <row r="168" spans="1:26">
      <c r="A168">
        <v>167</v>
      </c>
      <c r="B168" t="s">
        <v>48</v>
      </c>
      <c r="C168" t="s">
        <v>48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168</v>
      </c>
      <c r="B169" t="s">
        <v>32</v>
      </c>
      <c r="C169" t="s">
        <v>32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32</v>
      </c>
      <c r="C170" t="s">
        <v>32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44</v>
      </c>
      <c r="C171" t="s">
        <v>44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0.8</v>
      </c>
      <c r="J171">
        <v>0.2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48</v>
      </c>
      <c r="C172" t="s">
        <v>48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1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48</v>
      </c>
      <c r="C173" t="s">
        <v>48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28</v>
      </c>
      <c r="C174" t="s">
        <v>28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48</v>
      </c>
      <c r="C175" t="s">
        <v>48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41</v>
      </c>
      <c r="C176" t="s">
        <v>41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44</v>
      </c>
      <c r="C177" t="s">
        <v>44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41</v>
      </c>
      <c r="C178" t="s">
        <v>41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178</v>
      </c>
      <c r="B179" t="s">
        <v>32</v>
      </c>
      <c r="C179" t="s">
        <v>32</v>
      </c>
      <c r="D179">
        <v>0</v>
      </c>
      <c r="E179">
        <v>0</v>
      </c>
      <c r="F179">
        <v>0</v>
      </c>
      <c r="G179">
        <v>0.77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0.23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48</v>
      </c>
      <c r="C180" t="s">
        <v>48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180</v>
      </c>
      <c r="B181" t="s">
        <v>21</v>
      </c>
      <c r="C181" t="s">
        <v>21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0.26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0.74</v>
      </c>
      <c r="Z181">
        <v>0</v>
      </c>
    </row>
    <row r="182" spans="1:26">
      <c r="A182">
        <v>181</v>
      </c>
      <c r="B182" t="s">
        <v>41</v>
      </c>
      <c r="C182" t="s">
        <v>41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48</v>
      </c>
      <c r="C183" t="s">
        <v>48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0.02</v>
      </c>
      <c r="J183">
        <v>0</v>
      </c>
      <c r="K183">
        <v>0</v>
      </c>
      <c r="L183">
        <v>0.97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0.01</v>
      </c>
      <c r="Z183">
        <v>0</v>
      </c>
    </row>
    <row r="184" spans="1:26">
      <c r="A184">
        <v>183</v>
      </c>
      <c r="B184" t="s">
        <v>73</v>
      </c>
      <c r="C184" t="s">
        <v>73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0.97</v>
      </c>
      <c r="U184">
        <v>0</v>
      </c>
      <c r="V184">
        <v>0</v>
      </c>
      <c r="W184">
        <v>0.03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48</v>
      </c>
      <c r="C185" t="s">
        <v>48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44</v>
      </c>
      <c r="C186" t="s">
        <v>44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41</v>
      </c>
      <c r="C187" t="s">
        <v>41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73</v>
      </c>
      <c r="C188" t="s">
        <v>73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78</v>
      </c>
      <c r="C189" t="s">
        <v>78</v>
      </c>
      <c r="D189">
        <v>0</v>
      </c>
      <c r="E189">
        <v>0</v>
      </c>
      <c r="F189">
        <v>0</v>
      </c>
      <c r="G189">
        <v>0</v>
      </c>
      <c r="H189">
        <v>0.01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0.19</v>
      </c>
      <c r="U189">
        <v>0</v>
      </c>
      <c r="V189">
        <v>0</v>
      </c>
      <c r="W189">
        <v>0.8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41</v>
      </c>
      <c r="C190" t="s">
        <v>41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41</v>
      </c>
      <c r="C191" t="s">
        <v>41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265</v>
      </c>
      <c r="C192" t="s">
        <v>265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0.12</v>
      </c>
      <c r="J192">
        <v>0</v>
      </c>
      <c r="K192">
        <v>0</v>
      </c>
      <c r="L192">
        <v>0.01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0.87</v>
      </c>
    </row>
    <row r="193" spans="1:26">
      <c r="A193">
        <v>192</v>
      </c>
      <c r="B193" t="s">
        <v>44</v>
      </c>
      <c r="C193" t="s">
        <v>44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73</v>
      </c>
      <c r="C194" t="s">
        <v>73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0.85</v>
      </c>
      <c r="U194">
        <v>0</v>
      </c>
      <c r="V194">
        <v>0</v>
      </c>
      <c r="W194">
        <v>0.15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44</v>
      </c>
      <c r="C195" t="s">
        <v>44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0.95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0.04</v>
      </c>
      <c r="Z195">
        <v>0.01</v>
      </c>
    </row>
    <row r="196" spans="1:26">
      <c r="A196">
        <v>195</v>
      </c>
      <c r="B196" t="s">
        <v>21</v>
      </c>
      <c r="C196" t="s">
        <v>21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0.04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0.96</v>
      </c>
      <c r="Z196">
        <v>0</v>
      </c>
    </row>
    <row r="197" spans="1:26">
      <c r="A197">
        <v>196</v>
      </c>
      <c r="B197" t="s">
        <v>107</v>
      </c>
      <c r="C197" t="s">
        <v>107</v>
      </c>
      <c r="D197">
        <v>0</v>
      </c>
      <c r="E197">
        <v>0</v>
      </c>
      <c r="F197">
        <v>0</v>
      </c>
      <c r="G197">
        <v>0.04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0.96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32</v>
      </c>
      <c r="C198" t="s">
        <v>32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41</v>
      </c>
      <c r="C199" t="s">
        <v>41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199</v>
      </c>
      <c r="B200" t="s">
        <v>48</v>
      </c>
      <c r="C200" t="s">
        <v>48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1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273</v>
      </c>
      <c r="C201" t="s">
        <v>273</v>
      </c>
      <c r="D201">
        <v>0</v>
      </c>
      <c r="E201">
        <v>0.1</v>
      </c>
      <c r="F201">
        <v>0</v>
      </c>
      <c r="G201">
        <v>0</v>
      </c>
      <c r="H201">
        <v>0.11</v>
      </c>
      <c r="I201">
        <v>0</v>
      </c>
      <c r="J201">
        <v>0</v>
      </c>
      <c r="K201">
        <v>0</v>
      </c>
      <c r="L201">
        <v>0</v>
      </c>
      <c r="M201">
        <v>0.15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0.64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41</v>
      </c>
      <c r="C202" t="s">
        <v>41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41</v>
      </c>
      <c r="C203" t="s">
        <v>41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48</v>
      </c>
      <c r="C204" t="s">
        <v>48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0.67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0.33</v>
      </c>
      <c r="Z204">
        <v>0</v>
      </c>
    </row>
    <row r="205" spans="1:26">
      <c r="A205">
        <v>204</v>
      </c>
      <c r="B205" t="s">
        <v>73</v>
      </c>
      <c r="C205" t="s">
        <v>73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0.74</v>
      </c>
      <c r="U205">
        <v>0</v>
      </c>
      <c r="V205">
        <v>0</v>
      </c>
      <c r="W205">
        <v>0.26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101</v>
      </c>
      <c r="C206" t="s">
        <v>101</v>
      </c>
      <c r="D206">
        <v>0</v>
      </c>
      <c r="E206">
        <v>0.01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0.03</v>
      </c>
      <c r="N206">
        <v>0.96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41</v>
      </c>
      <c r="C207" t="s">
        <v>41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1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207</v>
      </c>
      <c r="B208" t="s">
        <v>107</v>
      </c>
      <c r="C208" t="s">
        <v>107</v>
      </c>
      <c r="D208">
        <v>0</v>
      </c>
      <c r="E208">
        <v>0</v>
      </c>
      <c r="F208">
        <v>0</v>
      </c>
      <c r="G208">
        <v>0.39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0.61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78</v>
      </c>
      <c r="C209" t="s">
        <v>78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0.24</v>
      </c>
      <c r="U209">
        <v>0</v>
      </c>
      <c r="V209">
        <v>0</v>
      </c>
      <c r="W209">
        <v>0.76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48</v>
      </c>
      <c r="C210" t="s">
        <v>48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0.01</v>
      </c>
      <c r="J210">
        <v>0</v>
      </c>
      <c r="K210">
        <v>0</v>
      </c>
      <c r="L210">
        <v>0.87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0.12</v>
      </c>
      <c r="Z210">
        <v>0</v>
      </c>
    </row>
    <row r="211" spans="1:26">
      <c r="A211">
        <v>210</v>
      </c>
      <c r="B211" t="s">
        <v>21</v>
      </c>
      <c r="C211" t="s">
        <v>21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0.02</v>
      </c>
      <c r="J211">
        <v>0</v>
      </c>
      <c r="K211">
        <v>0</v>
      </c>
      <c r="L211">
        <v>0.05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0.93</v>
      </c>
      <c r="Z211">
        <v>0</v>
      </c>
    </row>
    <row r="212" spans="1:26">
      <c r="A212">
        <v>211</v>
      </c>
      <c r="B212" t="s">
        <v>28</v>
      </c>
      <c r="C212" t="s">
        <v>28</v>
      </c>
      <c r="D212">
        <v>0.01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0.99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32</v>
      </c>
      <c r="C213" t="s">
        <v>32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41</v>
      </c>
      <c r="C214" t="s">
        <v>41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32</v>
      </c>
      <c r="C215" t="s">
        <v>32</v>
      </c>
      <c r="D215">
        <v>0</v>
      </c>
      <c r="E215">
        <v>0</v>
      </c>
      <c r="F215">
        <v>0</v>
      </c>
      <c r="G215">
        <v>0.97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0.03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41</v>
      </c>
      <c r="C216" t="s">
        <v>41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36</v>
      </c>
      <c r="C217" t="s">
        <v>36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48</v>
      </c>
      <c r="C218" t="s">
        <v>48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90</v>
      </c>
      <c r="C219" t="s">
        <v>90</v>
      </c>
      <c r="D219">
        <v>0</v>
      </c>
      <c r="E219">
        <v>0.02</v>
      </c>
      <c r="F219">
        <v>0</v>
      </c>
      <c r="G219">
        <v>0</v>
      </c>
      <c r="H219">
        <v>0.68</v>
      </c>
      <c r="I219">
        <v>0</v>
      </c>
      <c r="J219">
        <v>0</v>
      </c>
      <c r="K219">
        <v>0</v>
      </c>
      <c r="L219">
        <v>0</v>
      </c>
      <c r="M219">
        <v>0.15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0.15</v>
      </c>
      <c r="W219">
        <v>0</v>
      </c>
      <c r="X219">
        <v>0</v>
      </c>
      <c r="Y219">
        <v>0</v>
      </c>
      <c r="Z219">
        <v>0</v>
      </c>
    </row>
    <row r="220" spans="1:26">
      <c r="A220">
        <v>219</v>
      </c>
      <c r="B220" t="s">
        <v>28</v>
      </c>
      <c r="C220" t="s">
        <v>28</v>
      </c>
      <c r="D220">
        <v>0.01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0.99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78</v>
      </c>
      <c r="C221" t="s">
        <v>78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0.13</v>
      </c>
      <c r="U221">
        <v>0</v>
      </c>
      <c r="V221">
        <v>0</v>
      </c>
      <c r="W221">
        <v>0.87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36</v>
      </c>
      <c r="C222" t="s">
        <v>36</v>
      </c>
      <c r="D222">
        <v>0</v>
      </c>
      <c r="E222">
        <v>0</v>
      </c>
      <c r="F222">
        <v>0.84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0.16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90</v>
      </c>
      <c r="C223" t="s">
        <v>90</v>
      </c>
      <c r="D223">
        <v>0</v>
      </c>
      <c r="E223">
        <v>0.19</v>
      </c>
      <c r="F223">
        <v>0</v>
      </c>
      <c r="G223">
        <v>0</v>
      </c>
      <c r="H223">
        <v>0.66</v>
      </c>
      <c r="I223">
        <v>0</v>
      </c>
      <c r="J223">
        <v>0</v>
      </c>
      <c r="K223">
        <v>0</v>
      </c>
      <c r="L223">
        <v>0</v>
      </c>
      <c r="M223">
        <v>0.12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0.03</v>
      </c>
      <c r="W223">
        <v>0</v>
      </c>
      <c r="X223">
        <v>0</v>
      </c>
      <c r="Y223">
        <v>0</v>
      </c>
      <c r="Z223">
        <v>0</v>
      </c>
    </row>
    <row r="224" spans="1:26">
      <c r="A224">
        <v>223</v>
      </c>
      <c r="B224" t="s">
        <v>36</v>
      </c>
      <c r="C224" t="s">
        <v>36</v>
      </c>
      <c r="D224">
        <v>0</v>
      </c>
      <c r="E224">
        <v>0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32</v>
      </c>
      <c r="C225" t="s">
        <v>32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32</v>
      </c>
      <c r="C226" t="s">
        <v>32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21</v>
      </c>
      <c r="C227" t="s">
        <v>21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1</v>
      </c>
      <c r="Z227">
        <v>0</v>
      </c>
    </row>
    <row r="228" spans="1:26">
      <c r="A228">
        <v>227</v>
      </c>
      <c r="B228" t="s">
        <v>44</v>
      </c>
      <c r="C228" t="s">
        <v>44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101</v>
      </c>
      <c r="C229" t="s">
        <v>101</v>
      </c>
      <c r="D229">
        <v>0</v>
      </c>
      <c r="E229">
        <v>0.01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0.06</v>
      </c>
      <c r="N229">
        <v>0.92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0.01</v>
      </c>
      <c r="Y229">
        <v>0</v>
      </c>
      <c r="Z229">
        <v>0</v>
      </c>
    </row>
    <row r="230" spans="1:26">
      <c r="A230">
        <v>229</v>
      </c>
      <c r="B230" t="s">
        <v>41</v>
      </c>
      <c r="C230" t="s">
        <v>41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107</v>
      </c>
      <c r="C231" t="s">
        <v>107</v>
      </c>
      <c r="D231">
        <v>0</v>
      </c>
      <c r="E231">
        <v>0</v>
      </c>
      <c r="F231">
        <v>0</v>
      </c>
      <c r="G231">
        <v>0.25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0.75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36</v>
      </c>
      <c r="C232" t="s">
        <v>36</v>
      </c>
      <c r="D232">
        <v>0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48</v>
      </c>
      <c r="C233" t="s">
        <v>48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0.99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0.01</v>
      </c>
      <c r="Z233">
        <v>0</v>
      </c>
    </row>
    <row r="234" spans="1:26">
      <c r="A234">
        <v>233</v>
      </c>
      <c r="B234" t="s">
        <v>48</v>
      </c>
      <c r="C234" t="s">
        <v>48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21</v>
      </c>
      <c r="C235" t="s">
        <v>21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7.0000000000000007E-2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0.93</v>
      </c>
      <c r="Z235">
        <v>0</v>
      </c>
    </row>
    <row r="236" spans="1:26">
      <c r="A236">
        <v>235</v>
      </c>
      <c r="B236" t="s">
        <v>32</v>
      </c>
      <c r="C236" t="s">
        <v>32</v>
      </c>
      <c r="D236">
        <v>0</v>
      </c>
      <c r="E236">
        <v>0</v>
      </c>
      <c r="F236">
        <v>0</v>
      </c>
      <c r="G236">
        <v>0.9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0.1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32</v>
      </c>
      <c r="C237" t="s">
        <v>32</v>
      </c>
      <c r="D237">
        <v>0</v>
      </c>
      <c r="E237">
        <v>0</v>
      </c>
      <c r="F237">
        <v>0</v>
      </c>
      <c r="G237">
        <v>0.81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0.19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48</v>
      </c>
      <c r="C238" t="s">
        <v>48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1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48</v>
      </c>
      <c r="C239" t="s">
        <v>48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36</v>
      </c>
      <c r="C240" t="s">
        <v>36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32</v>
      </c>
      <c r="C241" t="s">
        <v>32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241</v>
      </c>
      <c r="B242" t="s">
        <v>41</v>
      </c>
      <c r="C242" t="s">
        <v>41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>
      <c r="A243">
        <v>242</v>
      </c>
      <c r="B243" t="s">
        <v>73</v>
      </c>
      <c r="C243" t="s">
        <v>73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0.96</v>
      </c>
      <c r="U243">
        <v>0</v>
      </c>
      <c r="V243">
        <v>0</v>
      </c>
      <c r="W243">
        <v>0.04</v>
      </c>
      <c r="X243">
        <v>0</v>
      </c>
      <c r="Y243">
        <v>0</v>
      </c>
      <c r="Z243">
        <v>0</v>
      </c>
    </row>
    <row r="244" spans="1:26">
      <c r="A244">
        <v>243</v>
      </c>
      <c r="B244" t="s">
        <v>21</v>
      </c>
      <c r="C244" t="s">
        <v>21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0.01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0.99</v>
      </c>
      <c r="Z244">
        <v>0</v>
      </c>
    </row>
    <row r="245" spans="1:26">
      <c r="A245">
        <v>244</v>
      </c>
      <c r="B245" t="s">
        <v>48</v>
      </c>
      <c r="C245" t="s">
        <v>48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48</v>
      </c>
      <c r="C246" t="s">
        <v>48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0.01</v>
      </c>
      <c r="J246">
        <v>0</v>
      </c>
      <c r="K246">
        <v>0</v>
      </c>
      <c r="L246">
        <v>0.99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44</v>
      </c>
      <c r="C247" t="s">
        <v>44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0.94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0.06</v>
      </c>
    </row>
    <row r="248" spans="1:26">
      <c r="A248">
        <v>247</v>
      </c>
      <c r="B248" t="s">
        <v>32</v>
      </c>
      <c r="C248" t="s">
        <v>32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248</v>
      </c>
      <c r="B249" t="s">
        <v>21</v>
      </c>
      <c r="C249" t="s">
        <v>21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0.03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0.97</v>
      </c>
      <c r="Z249">
        <v>0</v>
      </c>
    </row>
    <row r="250" spans="1:26">
      <c r="A250">
        <v>249</v>
      </c>
      <c r="B250" t="s">
        <v>111</v>
      </c>
      <c r="C250" t="s">
        <v>111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48</v>
      </c>
      <c r="C251" t="s">
        <v>48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41</v>
      </c>
      <c r="C252" t="s">
        <v>41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21</v>
      </c>
      <c r="C253" t="s">
        <v>21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1</v>
      </c>
      <c r="Z253">
        <v>0</v>
      </c>
    </row>
    <row r="254" spans="1:26">
      <c r="A254">
        <v>253</v>
      </c>
      <c r="B254" t="s">
        <v>36</v>
      </c>
      <c r="C254" t="s">
        <v>36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48</v>
      </c>
      <c r="C255" t="s">
        <v>48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107</v>
      </c>
      <c r="C256" t="s">
        <v>107</v>
      </c>
      <c r="D256">
        <v>0</v>
      </c>
      <c r="E256">
        <v>0</v>
      </c>
      <c r="F256">
        <v>0</v>
      </c>
      <c r="G256">
        <v>0.02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0.98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32</v>
      </c>
      <c r="C257" t="s">
        <v>32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28</v>
      </c>
      <c r="C258" t="s">
        <v>28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>
      <c r="A259">
        <v>258</v>
      </c>
      <c r="B259" t="s">
        <v>21</v>
      </c>
      <c r="C259" t="s">
        <v>21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0.08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0.92</v>
      </c>
      <c r="Z259">
        <v>0</v>
      </c>
    </row>
    <row r="260" spans="1:26">
      <c r="A260">
        <v>259</v>
      </c>
      <c r="B260" t="s">
        <v>111</v>
      </c>
      <c r="C260" t="s">
        <v>111</v>
      </c>
      <c r="D260">
        <v>0</v>
      </c>
      <c r="E260">
        <v>0.01</v>
      </c>
      <c r="F260">
        <v>0.01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0.98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44</v>
      </c>
      <c r="C261" t="s">
        <v>44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0.99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0.01</v>
      </c>
    </row>
    <row r="262" spans="1:26">
      <c r="A262">
        <v>261</v>
      </c>
      <c r="B262" t="s">
        <v>265</v>
      </c>
      <c r="C262" t="s">
        <v>265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0.04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0.96</v>
      </c>
    </row>
    <row r="263" spans="1:26">
      <c r="A263">
        <v>262</v>
      </c>
      <c r="B263" t="s">
        <v>41</v>
      </c>
      <c r="C263" t="s">
        <v>41</v>
      </c>
      <c r="D263">
        <v>0</v>
      </c>
      <c r="E263">
        <v>0</v>
      </c>
      <c r="F263">
        <v>0.01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0.99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263</v>
      </c>
      <c r="B264" t="s">
        <v>329</v>
      </c>
      <c r="C264" t="s">
        <v>329</v>
      </c>
      <c r="D264">
        <v>0</v>
      </c>
      <c r="E264">
        <v>0.56000000000000005</v>
      </c>
      <c r="F264">
        <v>0</v>
      </c>
      <c r="G264">
        <v>0</v>
      </c>
      <c r="H264">
        <v>0.08</v>
      </c>
      <c r="I264">
        <v>0</v>
      </c>
      <c r="J264">
        <v>0</v>
      </c>
      <c r="K264">
        <v>0</v>
      </c>
      <c r="L264">
        <v>0</v>
      </c>
      <c r="M264">
        <v>0.21</v>
      </c>
      <c r="N264">
        <v>0.04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0.11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331</v>
      </c>
      <c r="C265" t="s">
        <v>331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0.46</v>
      </c>
      <c r="J265">
        <v>0.54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41</v>
      </c>
      <c r="C266" t="s">
        <v>41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73</v>
      </c>
      <c r="C267" t="s">
        <v>73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21</v>
      </c>
      <c r="C268" t="s">
        <v>21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0.03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0.97</v>
      </c>
      <c r="Z268">
        <v>0</v>
      </c>
    </row>
    <row r="269" spans="1:26">
      <c r="A269">
        <v>268</v>
      </c>
      <c r="B269" t="s">
        <v>21</v>
      </c>
      <c r="C269" t="s">
        <v>21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0</v>
      </c>
    </row>
    <row r="270" spans="1:26">
      <c r="A270">
        <v>269</v>
      </c>
      <c r="B270" t="s">
        <v>32</v>
      </c>
      <c r="C270" t="s">
        <v>32</v>
      </c>
      <c r="D270">
        <v>0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>
      <c r="A271">
        <v>270</v>
      </c>
      <c r="B271" t="s">
        <v>73</v>
      </c>
      <c r="C271" t="s">
        <v>73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0.99</v>
      </c>
      <c r="U271">
        <v>0</v>
      </c>
      <c r="V271">
        <v>0</v>
      </c>
      <c r="W271">
        <v>0.01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21</v>
      </c>
      <c r="C272" t="s">
        <v>21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0.03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0.97</v>
      </c>
      <c r="Z272">
        <v>0</v>
      </c>
    </row>
    <row r="273" spans="1:26">
      <c r="A273">
        <v>272</v>
      </c>
      <c r="B273" t="s">
        <v>48</v>
      </c>
      <c r="C273" t="s">
        <v>48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0.99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0.01</v>
      </c>
      <c r="Z273">
        <v>0</v>
      </c>
    </row>
    <row r="274" spans="1:26">
      <c r="A274">
        <v>273</v>
      </c>
      <c r="B274" t="s">
        <v>32</v>
      </c>
      <c r="C274" t="s">
        <v>32</v>
      </c>
      <c r="D274">
        <v>0</v>
      </c>
      <c r="E274">
        <v>0</v>
      </c>
      <c r="F274">
        <v>0</v>
      </c>
      <c r="G274">
        <v>0.86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0.14000000000000001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32</v>
      </c>
      <c r="C275" t="s">
        <v>32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48</v>
      </c>
      <c r="C276" t="s">
        <v>48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36</v>
      </c>
      <c r="C277" t="s">
        <v>36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>
      <c r="A278">
        <v>277</v>
      </c>
      <c r="B278" t="s">
        <v>48</v>
      </c>
      <c r="C278" t="s">
        <v>48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0.73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0.27</v>
      </c>
      <c r="Z278">
        <v>0</v>
      </c>
    </row>
    <row r="279" spans="1:26">
      <c r="A279">
        <v>278</v>
      </c>
      <c r="B279" t="s">
        <v>21</v>
      </c>
      <c r="C279" t="s">
        <v>21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0.03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0.97</v>
      </c>
      <c r="Z279">
        <v>0</v>
      </c>
    </row>
    <row r="280" spans="1:26">
      <c r="A280">
        <v>279</v>
      </c>
      <c r="B280" t="s">
        <v>48</v>
      </c>
      <c r="C280" t="s">
        <v>48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0.08</v>
      </c>
      <c r="J280">
        <v>0</v>
      </c>
      <c r="K280">
        <v>0</v>
      </c>
      <c r="L280">
        <v>0.91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0.01</v>
      </c>
      <c r="Z280">
        <v>0</v>
      </c>
    </row>
    <row r="281" spans="1:26">
      <c r="A281">
        <v>280</v>
      </c>
      <c r="B281" t="s">
        <v>48</v>
      </c>
      <c r="C281" t="s">
        <v>48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48</v>
      </c>
      <c r="C282" t="s">
        <v>48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32</v>
      </c>
      <c r="C283" t="s">
        <v>32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90</v>
      </c>
      <c r="C284" t="s">
        <v>90</v>
      </c>
      <c r="D284">
        <v>0</v>
      </c>
      <c r="E284">
        <v>0</v>
      </c>
      <c r="F284">
        <v>0</v>
      </c>
      <c r="G284">
        <v>0</v>
      </c>
      <c r="H284">
        <v>0.97</v>
      </c>
      <c r="I284">
        <v>0</v>
      </c>
      <c r="J284">
        <v>0</v>
      </c>
      <c r="K284">
        <v>0.01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0.01</v>
      </c>
      <c r="W284">
        <v>0</v>
      </c>
      <c r="X284">
        <v>0.01</v>
      </c>
      <c r="Y284">
        <v>0</v>
      </c>
      <c r="Z284">
        <v>0</v>
      </c>
    </row>
    <row r="285" spans="1:26">
      <c r="A285">
        <v>284</v>
      </c>
      <c r="B285" t="s">
        <v>273</v>
      </c>
      <c r="C285" t="s">
        <v>273</v>
      </c>
      <c r="D285">
        <v>0</v>
      </c>
      <c r="E285">
        <v>0.01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0.26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0.62</v>
      </c>
      <c r="W285">
        <v>0</v>
      </c>
      <c r="X285">
        <v>0.11</v>
      </c>
      <c r="Y285">
        <v>0</v>
      </c>
      <c r="Z285">
        <v>0</v>
      </c>
    </row>
    <row r="286" spans="1:26">
      <c r="A286">
        <v>285</v>
      </c>
      <c r="B286" t="s">
        <v>48</v>
      </c>
      <c r="C286" t="s">
        <v>48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0.77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0.23</v>
      </c>
      <c r="Z286">
        <v>0</v>
      </c>
    </row>
    <row r="287" spans="1:26">
      <c r="A287">
        <v>286</v>
      </c>
      <c r="B287" t="s">
        <v>32</v>
      </c>
      <c r="C287" t="s">
        <v>32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41</v>
      </c>
      <c r="C288" t="s">
        <v>41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1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177</v>
      </c>
      <c r="C289" t="s">
        <v>177</v>
      </c>
      <c r="D289">
        <v>0</v>
      </c>
      <c r="E289">
        <v>0.02</v>
      </c>
      <c r="F289">
        <v>0</v>
      </c>
      <c r="G289">
        <v>0</v>
      </c>
      <c r="H289">
        <v>0.08</v>
      </c>
      <c r="I289">
        <v>0</v>
      </c>
      <c r="J289">
        <v>0</v>
      </c>
      <c r="K289">
        <v>0</v>
      </c>
      <c r="L289">
        <v>0</v>
      </c>
      <c r="M289">
        <v>0.86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0.01</v>
      </c>
      <c r="W289">
        <v>0</v>
      </c>
      <c r="X289">
        <v>0.03</v>
      </c>
      <c r="Y289">
        <v>0</v>
      </c>
      <c r="Z289">
        <v>0</v>
      </c>
    </row>
    <row r="290" spans="1:26">
      <c r="A290">
        <v>289</v>
      </c>
      <c r="B290" t="s">
        <v>36</v>
      </c>
      <c r="C290" t="s">
        <v>36</v>
      </c>
      <c r="D290">
        <v>0</v>
      </c>
      <c r="E290">
        <v>0</v>
      </c>
      <c r="F290">
        <v>0.97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0.03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225</v>
      </c>
      <c r="C291" t="s">
        <v>225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0.21</v>
      </c>
      <c r="N291">
        <v>0.02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0.03</v>
      </c>
      <c r="W291">
        <v>0</v>
      </c>
      <c r="X291">
        <v>0.74</v>
      </c>
      <c r="Y291">
        <v>0</v>
      </c>
      <c r="Z291">
        <v>0</v>
      </c>
    </row>
    <row r="292" spans="1:26">
      <c r="A292">
        <v>291</v>
      </c>
      <c r="B292" t="s">
        <v>44</v>
      </c>
      <c r="C292" t="s">
        <v>44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1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292</v>
      </c>
      <c r="B293" t="s">
        <v>32</v>
      </c>
      <c r="C293" t="s">
        <v>32</v>
      </c>
      <c r="D293">
        <v>0</v>
      </c>
      <c r="E293">
        <v>0</v>
      </c>
      <c r="F293">
        <v>0</v>
      </c>
      <c r="G293">
        <v>0.94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0.06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32</v>
      </c>
      <c r="C294" t="s">
        <v>32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41</v>
      </c>
      <c r="C295" t="s">
        <v>41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41</v>
      </c>
      <c r="C296" t="s">
        <v>41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21</v>
      </c>
      <c r="C297" t="s">
        <v>21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0.01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0.99</v>
      </c>
      <c r="Z297">
        <v>0</v>
      </c>
    </row>
    <row r="298" spans="1:26">
      <c r="A298">
        <v>297</v>
      </c>
      <c r="B298" t="s">
        <v>21</v>
      </c>
      <c r="C298" t="s">
        <v>21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0.05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0.95</v>
      </c>
      <c r="Z298">
        <v>0</v>
      </c>
    </row>
    <row r="299" spans="1:26">
      <c r="A299">
        <v>298</v>
      </c>
      <c r="B299" t="s">
        <v>44</v>
      </c>
      <c r="C299" t="s">
        <v>44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365</v>
      </c>
      <c r="C300" t="s">
        <v>365</v>
      </c>
      <c r="D300">
        <v>0</v>
      </c>
      <c r="E300">
        <v>0</v>
      </c>
      <c r="F300">
        <v>0.19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0.81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32</v>
      </c>
      <c r="C301" t="s">
        <v>32</v>
      </c>
      <c r="D301">
        <v>0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107</v>
      </c>
      <c r="C302" t="s">
        <v>107</v>
      </c>
      <c r="D302">
        <v>0</v>
      </c>
      <c r="E302">
        <v>0</v>
      </c>
      <c r="F302">
        <v>0</v>
      </c>
      <c r="G302">
        <v>0.2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0.8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32</v>
      </c>
      <c r="C303" t="s">
        <v>32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44</v>
      </c>
      <c r="C304" t="s">
        <v>44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0.93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7.0000000000000007E-2</v>
      </c>
    </row>
    <row r="305" spans="1:26">
      <c r="A305">
        <v>304</v>
      </c>
      <c r="B305" t="s">
        <v>32</v>
      </c>
      <c r="C305" t="s">
        <v>32</v>
      </c>
      <c r="D305">
        <v>0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>
      <c r="A306">
        <v>305</v>
      </c>
      <c r="B306" t="s">
        <v>48</v>
      </c>
      <c r="C306" t="s">
        <v>48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0.99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0.01</v>
      </c>
      <c r="Z306">
        <v>0</v>
      </c>
    </row>
    <row r="307" spans="1:26">
      <c r="A307">
        <v>306</v>
      </c>
      <c r="B307" t="s">
        <v>78</v>
      </c>
      <c r="C307" t="s">
        <v>78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0.06</v>
      </c>
      <c r="U307">
        <v>0</v>
      </c>
      <c r="V307">
        <v>0</v>
      </c>
      <c r="W307">
        <v>0.94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48</v>
      </c>
      <c r="C308" t="s">
        <v>48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0.01</v>
      </c>
      <c r="J308">
        <v>0</v>
      </c>
      <c r="K308">
        <v>0</v>
      </c>
      <c r="L308">
        <v>0.99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32</v>
      </c>
      <c r="C309" t="s">
        <v>32</v>
      </c>
      <c r="D309">
        <v>0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44</v>
      </c>
      <c r="C310" t="s">
        <v>44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1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41</v>
      </c>
      <c r="C311" t="s">
        <v>41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41</v>
      </c>
      <c r="C312" t="s">
        <v>41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44</v>
      </c>
      <c r="C313" t="s">
        <v>44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0.99</v>
      </c>
      <c r="J313">
        <v>0.01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32</v>
      </c>
      <c r="C314" t="s">
        <v>32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28</v>
      </c>
      <c r="C315" t="s">
        <v>28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111</v>
      </c>
      <c r="C316" t="s">
        <v>111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44</v>
      </c>
      <c r="C317" t="s">
        <v>44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0.99</v>
      </c>
      <c r="J317">
        <v>0</v>
      </c>
      <c r="K317">
        <v>0</v>
      </c>
      <c r="L317">
        <v>0.01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32</v>
      </c>
      <c r="C318" t="s">
        <v>32</v>
      </c>
      <c r="D318">
        <v>0</v>
      </c>
      <c r="E318">
        <v>0</v>
      </c>
      <c r="F318">
        <v>0</v>
      </c>
      <c r="G318">
        <v>0.93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7.0000000000000007E-2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44</v>
      </c>
      <c r="C319" t="s">
        <v>44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273</v>
      </c>
      <c r="C320" t="s">
        <v>273</v>
      </c>
      <c r="D320">
        <v>0</v>
      </c>
      <c r="E320">
        <v>0</v>
      </c>
      <c r="F320">
        <v>0</v>
      </c>
      <c r="G320">
        <v>0</v>
      </c>
      <c r="H320">
        <v>0.02</v>
      </c>
      <c r="I320">
        <v>0</v>
      </c>
      <c r="J320">
        <v>0</v>
      </c>
      <c r="K320">
        <v>0</v>
      </c>
      <c r="L320">
        <v>0</v>
      </c>
      <c r="M320">
        <v>0.04</v>
      </c>
      <c r="N320">
        <v>0.01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0.91</v>
      </c>
      <c r="W320">
        <v>0.02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78</v>
      </c>
      <c r="C321" t="s">
        <v>78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0.05</v>
      </c>
      <c r="U321">
        <v>0</v>
      </c>
      <c r="V321">
        <v>0</v>
      </c>
      <c r="W321">
        <v>0.95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32</v>
      </c>
      <c r="C322" t="s">
        <v>32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>
      <c r="A323">
        <v>322</v>
      </c>
      <c r="B323" t="s">
        <v>36</v>
      </c>
      <c r="C323" t="s">
        <v>36</v>
      </c>
      <c r="D323">
        <v>0</v>
      </c>
      <c r="E323">
        <v>0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41</v>
      </c>
      <c r="C324" t="s">
        <v>41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32</v>
      </c>
      <c r="C325" t="s">
        <v>32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41</v>
      </c>
      <c r="C326" t="s">
        <v>41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32</v>
      </c>
      <c r="C327" t="s">
        <v>32</v>
      </c>
      <c r="D327">
        <v>0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41</v>
      </c>
      <c r="C328" t="s">
        <v>41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107</v>
      </c>
      <c r="C329" t="s">
        <v>107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28</v>
      </c>
      <c r="C330" t="s">
        <v>28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330</v>
      </c>
      <c r="B331" t="s">
        <v>44</v>
      </c>
      <c r="C331" t="s">
        <v>44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0.95</v>
      </c>
      <c r="J331">
        <v>0.01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0.04</v>
      </c>
    </row>
    <row r="332" spans="1:26">
      <c r="A332">
        <v>331</v>
      </c>
      <c r="B332" t="s">
        <v>58</v>
      </c>
      <c r="C332" t="s">
        <v>58</v>
      </c>
      <c r="D332">
        <v>0.97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0.03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41</v>
      </c>
      <c r="C333" t="s">
        <v>41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21</v>
      </c>
      <c r="C334" t="s">
        <v>21</v>
      </c>
      <c r="D334">
        <v>0</v>
      </c>
      <c r="E334">
        <v>0</v>
      </c>
      <c r="F334">
        <v>0.01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0.2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0.79</v>
      </c>
      <c r="Z334">
        <v>0</v>
      </c>
    </row>
    <row r="335" spans="1:26">
      <c r="A335">
        <v>334</v>
      </c>
      <c r="B335" t="s">
        <v>32</v>
      </c>
      <c r="C335" t="s">
        <v>32</v>
      </c>
      <c r="D335">
        <v>0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32</v>
      </c>
      <c r="C336" t="s">
        <v>32</v>
      </c>
      <c r="D336">
        <v>0</v>
      </c>
      <c r="E336">
        <v>0</v>
      </c>
      <c r="F336">
        <v>0</v>
      </c>
      <c r="G336">
        <v>0.98</v>
      </c>
      <c r="H336">
        <v>0.01</v>
      </c>
      <c r="I336">
        <v>0</v>
      </c>
      <c r="J336">
        <v>0</v>
      </c>
      <c r="K336">
        <v>0</v>
      </c>
      <c r="L336">
        <v>0</v>
      </c>
      <c r="M336">
        <v>0.01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41</v>
      </c>
      <c r="C337" t="s">
        <v>41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32</v>
      </c>
      <c r="C338" t="s">
        <v>32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>
      <c r="A339">
        <v>338</v>
      </c>
      <c r="B339" t="s">
        <v>41</v>
      </c>
      <c r="C339" t="s">
        <v>41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36</v>
      </c>
      <c r="C340" t="s">
        <v>36</v>
      </c>
      <c r="D340">
        <v>0</v>
      </c>
      <c r="E340">
        <v>0</v>
      </c>
      <c r="F340">
        <v>1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265</v>
      </c>
      <c r="C341" t="s">
        <v>265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7.0000000000000007E-2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0.93</v>
      </c>
    </row>
    <row r="342" spans="1:26">
      <c r="A342">
        <v>341</v>
      </c>
      <c r="B342" t="s">
        <v>273</v>
      </c>
      <c r="C342" t="s">
        <v>273</v>
      </c>
      <c r="D342">
        <v>0.01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0.01</v>
      </c>
      <c r="N342">
        <v>0.06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0.7</v>
      </c>
      <c r="W342">
        <v>0</v>
      </c>
      <c r="X342">
        <v>0.22</v>
      </c>
      <c r="Y342">
        <v>0</v>
      </c>
      <c r="Z342">
        <v>0</v>
      </c>
    </row>
    <row r="343" spans="1:26">
      <c r="A343">
        <v>342</v>
      </c>
      <c r="B343" t="s">
        <v>21</v>
      </c>
      <c r="C343" t="s">
        <v>21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0.28999999999999998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0.71</v>
      </c>
      <c r="Z343">
        <v>0</v>
      </c>
    </row>
    <row r="344" spans="1:26">
      <c r="A344">
        <v>343</v>
      </c>
      <c r="B344" t="s">
        <v>48</v>
      </c>
      <c r="C344" t="s">
        <v>48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0.82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0.18</v>
      </c>
      <c r="Z344">
        <v>0</v>
      </c>
    </row>
    <row r="345" spans="1:26">
      <c r="A345">
        <v>344</v>
      </c>
      <c r="B345" t="s">
        <v>32</v>
      </c>
      <c r="C345" t="s">
        <v>32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21</v>
      </c>
      <c r="C346" t="s">
        <v>21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0.35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0.65</v>
      </c>
      <c r="Z346">
        <v>0</v>
      </c>
    </row>
    <row r="347" spans="1:26">
      <c r="A347">
        <v>346</v>
      </c>
      <c r="B347" t="s">
        <v>28</v>
      </c>
      <c r="C347" t="s">
        <v>28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107</v>
      </c>
      <c r="C348" t="s">
        <v>107</v>
      </c>
      <c r="D348">
        <v>0</v>
      </c>
      <c r="E348">
        <v>0</v>
      </c>
      <c r="F348">
        <v>0</v>
      </c>
      <c r="G348">
        <v>0.01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0.99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265</v>
      </c>
      <c r="C349" t="s">
        <v>265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0.18</v>
      </c>
      <c r="J349">
        <v>0</v>
      </c>
      <c r="K349">
        <v>0</v>
      </c>
      <c r="L349">
        <v>0.03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0.79</v>
      </c>
    </row>
    <row r="350" spans="1:26">
      <c r="A350">
        <v>349</v>
      </c>
      <c r="B350" t="s">
        <v>41</v>
      </c>
      <c r="C350" t="s">
        <v>41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273</v>
      </c>
      <c r="C351" t="s">
        <v>273</v>
      </c>
      <c r="D351">
        <v>0</v>
      </c>
      <c r="E351">
        <v>0</v>
      </c>
      <c r="F351">
        <v>0</v>
      </c>
      <c r="G351">
        <v>0</v>
      </c>
      <c r="H351">
        <v>0.06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0.94</v>
      </c>
      <c r="W351">
        <v>0</v>
      </c>
      <c r="X351">
        <v>0</v>
      </c>
      <c r="Y351">
        <v>0</v>
      </c>
      <c r="Z351">
        <v>0</v>
      </c>
    </row>
    <row r="352" spans="1:26">
      <c r="A352">
        <v>351</v>
      </c>
      <c r="B352" t="s">
        <v>32</v>
      </c>
      <c r="C352" t="s">
        <v>32</v>
      </c>
      <c r="D352">
        <v>0</v>
      </c>
      <c r="E352">
        <v>0</v>
      </c>
      <c r="F352">
        <v>0</v>
      </c>
      <c r="G352">
        <v>0.99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0.01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44</v>
      </c>
      <c r="C353" t="s">
        <v>44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0.98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0.02</v>
      </c>
    </row>
    <row r="354" spans="1:26">
      <c r="A354">
        <v>353</v>
      </c>
      <c r="B354" t="s">
        <v>32</v>
      </c>
      <c r="C354" t="s">
        <v>32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32</v>
      </c>
      <c r="C355" t="s">
        <v>32</v>
      </c>
      <c r="D355">
        <v>0</v>
      </c>
      <c r="E355">
        <v>0</v>
      </c>
      <c r="F355">
        <v>0</v>
      </c>
      <c r="G355">
        <v>0.93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7.0000000000000007E-2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E23" sqref="E23"/>
    </sheetView>
  </sheetViews>
  <sheetFormatPr baseColWidth="10" defaultRowHeight="16"/>
  <sheetData>
    <row r="1" spans="1:52">
      <c r="A1" s="2" t="s">
        <v>407</v>
      </c>
      <c r="B1" s="2" t="s">
        <v>13</v>
      </c>
      <c r="C1" s="2" t="s">
        <v>416</v>
      </c>
      <c r="D1" s="2" t="s">
        <v>249</v>
      </c>
      <c r="E1" s="2" t="s">
        <v>59</v>
      </c>
      <c r="F1" s="2" t="s">
        <v>316</v>
      </c>
      <c r="G1" s="2" t="s">
        <v>33</v>
      </c>
      <c r="H1" s="2" t="s">
        <v>37</v>
      </c>
      <c r="I1" s="2" t="s">
        <v>166</v>
      </c>
      <c r="J1" s="2" t="s">
        <v>98</v>
      </c>
      <c r="K1" s="2" t="s">
        <v>143</v>
      </c>
      <c r="L1" s="2" t="s">
        <v>366</v>
      </c>
      <c r="M1" s="2" t="s">
        <v>327</v>
      </c>
      <c r="N1" s="2" t="s">
        <v>96</v>
      </c>
      <c r="O1" s="2" t="s">
        <v>42</v>
      </c>
      <c r="P1" s="2" t="s">
        <v>410</v>
      </c>
      <c r="Q1" s="2" t="s">
        <v>131</v>
      </c>
      <c r="R1" s="2" t="s">
        <v>339</v>
      </c>
      <c r="S1" s="2" t="s">
        <v>108</v>
      </c>
      <c r="T1" s="2" t="s">
        <v>64</v>
      </c>
      <c r="U1" s="2" t="s">
        <v>70</v>
      </c>
      <c r="V1" s="2" t="s">
        <v>168</v>
      </c>
      <c r="W1" s="2" t="s">
        <v>45</v>
      </c>
      <c r="X1" s="2" t="s">
        <v>147</v>
      </c>
      <c r="Y1" s="2" t="s">
        <v>86</v>
      </c>
      <c r="Z1" s="2" t="s">
        <v>49</v>
      </c>
      <c r="AA1" s="2" t="s">
        <v>54</v>
      </c>
      <c r="AB1" s="2" t="s">
        <v>25</v>
      </c>
      <c r="AC1" s="2" t="s">
        <v>280</v>
      </c>
      <c r="AD1" s="2" t="s">
        <v>397</v>
      </c>
      <c r="AE1" s="2" t="s">
        <v>330</v>
      </c>
      <c r="AF1" s="2" t="s">
        <v>118</v>
      </c>
      <c r="AG1" s="2" t="s">
        <v>211</v>
      </c>
      <c r="AH1" s="2" t="s">
        <v>134</v>
      </c>
      <c r="AI1" s="2" t="s">
        <v>195</v>
      </c>
      <c r="AJ1" s="2" t="s">
        <v>29</v>
      </c>
      <c r="AK1" s="2" t="s">
        <v>22</v>
      </c>
      <c r="AL1" s="2" t="s">
        <v>266</v>
      </c>
      <c r="AM1" s="2" t="s">
        <v>81</v>
      </c>
      <c r="AN1" s="2" t="s">
        <v>411</v>
      </c>
      <c r="AO1" s="2" t="s">
        <v>74</v>
      </c>
      <c r="AP1" s="2" t="s">
        <v>178</v>
      </c>
      <c r="AQ1" s="2" t="s">
        <v>380</v>
      </c>
      <c r="AR1" s="2" t="s">
        <v>274</v>
      </c>
      <c r="AS1" s="2" t="s">
        <v>412</v>
      </c>
      <c r="AT1" s="2" t="s">
        <v>174</v>
      </c>
      <c r="AU1" s="2" t="s">
        <v>79</v>
      </c>
      <c r="AV1" s="2" t="s">
        <v>91</v>
      </c>
      <c r="AW1" s="2" t="s">
        <v>112</v>
      </c>
      <c r="AX1" s="2" t="s">
        <v>226</v>
      </c>
      <c r="AY1" s="2" t="s">
        <v>209</v>
      </c>
      <c r="AZ1" s="2" t="s">
        <v>102</v>
      </c>
    </row>
    <row r="2" spans="1:52">
      <c r="A2" s="2">
        <v>1</v>
      </c>
      <c r="B2" s="2" t="s">
        <v>22</v>
      </c>
      <c r="C2" s="2" t="s">
        <v>22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0.28000000000000003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0.72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</row>
    <row r="3" spans="1:52">
      <c r="A3" s="2">
        <v>2</v>
      </c>
      <c r="B3" s="2" t="s">
        <v>25</v>
      </c>
      <c r="C3" s="2" t="s">
        <v>25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0.95899999999999996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0.04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1E-3</v>
      </c>
      <c r="AX3" s="2">
        <v>0</v>
      </c>
      <c r="AY3" s="2">
        <v>0</v>
      </c>
      <c r="AZ3" s="2">
        <v>0</v>
      </c>
    </row>
    <row r="4" spans="1:52">
      <c r="A4" s="2">
        <v>3</v>
      </c>
      <c r="B4" s="2" t="s">
        <v>29</v>
      </c>
      <c r="C4" s="2" t="s">
        <v>29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1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</row>
    <row r="5" spans="1:52">
      <c r="A5" s="2">
        <v>4</v>
      </c>
      <c r="B5" s="2" t="s">
        <v>33</v>
      </c>
      <c r="C5" s="2" t="s">
        <v>33</v>
      </c>
      <c r="D5" s="2">
        <v>0</v>
      </c>
      <c r="E5" s="2">
        <v>0</v>
      </c>
      <c r="F5" s="2">
        <v>0</v>
      </c>
      <c r="G5" s="2">
        <v>1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</row>
    <row r="6" spans="1:52">
      <c r="A6" s="2">
        <v>5</v>
      </c>
      <c r="B6" s="2" t="s">
        <v>37</v>
      </c>
      <c r="C6" s="2" t="s">
        <v>37</v>
      </c>
      <c r="D6" s="2">
        <v>0</v>
      </c>
      <c r="E6" s="2">
        <v>6.0000000000000001E-3</v>
      </c>
      <c r="F6" s="2">
        <v>0</v>
      </c>
      <c r="G6" s="2">
        <v>0</v>
      </c>
      <c r="H6" s="2">
        <v>0.81100000000000005</v>
      </c>
      <c r="I6" s="2">
        <v>0</v>
      </c>
      <c r="J6" s="2">
        <v>2E-3</v>
      </c>
      <c r="K6" s="2">
        <v>4.1000000000000002E-2</v>
      </c>
      <c r="L6" s="2">
        <v>1E-3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0.02</v>
      </c>
      <c r="U6" s="2">
        <v>0</v>
      </c>
      <c r="V6" s="2">
        <v>0.02</v>
      </c>
      <c r="W6" s="2">
        <v>1E-3</v>
      </c>
      <c r="X6" s="2">
        <v>0</v>
      </c>
      <c r="Y6" s="2">
        <v>7.0000000000000001E-3</v>
      </c>
      <c r="Z6" s="2">
        <v>3.0000000000000001E-3</v>
      </c>
      <c r="AA6" s="2">
        <v>0</v>
      </c>
      <c r="AB6" s="2">
        <v>3.6999999999999998E-2</v>
      </c>
      <c r="AC6" s="2">
        <v>1E-3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1E-3</v>
      </c>
      <c r="AK6" s="2">
        <v>3.7999999999999999E-2</v>
      </c>
      <c r="AL6" s="2">
        <v>0</v>
      </c>
      <c r="AM6" s="2">
        <v>0</v>
      </c>
      <c r="AN6" s="2">
        <v>0</v>
      </c>
      <c r="AO6" s="2">
        <v>4.0000000000000001E-3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7.0000000000000001E-3</v>
      </c>
      <c r="AX6" s="2">
        <v>0</v>
      </c>
      <c r="AY6" s="2">
        <v>0</v>
      </c>
      <c r="AZ6" s="2">
        <v>0</v>
      </c>
    </row>
    <row r="7" spans="1:52">
      <c r="A7" s="2">
        <v>6</v>
      </c>
      <c r="B7" s="2" t="s">
        <v>33</v>
      </c>
      <c r="C7" s="2" t="s">
        <v>33</v>
      </c>
      <c r="D7" s="2">
        <v>0</v>
      </c>
      <c r="E7" s="2">
        <v>0</v>
      </c>
      <c r="F7" s="2">
        <v>0</v>
      </c>
      <c r="G7" s="2">
        <v>1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</row>
    <row r="8" spans="1:52">
      <c r="A8" s="2">
        <v>7</v>
      </c>
      <c r="B8" s="2" t="s">
        <v>42</v>
      </c>
      <c r="C8" s="2" t="s">
        <v>42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</row>
    <row r="9" spans="1:52">
      <c r="A9" s="2">
        <v>8</v>
      </c>
      <c r="B9" s="2" t="s">
        <v>45</v>
      </c>
      <c r="C9" s="2" t="s">
        <v>45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</row>
    <row r="10" spans="1:52">
      <c r="A10" s="2">
        <v>9</v>
      </c>
      <c r="B10" s="2" t="s">
        <v>33</v>
      </c>
      <c r="C10" s="2" t="s">
        <v>33</v>
      </c>
      <c r="D10" s="2">
        <v>0</v>
      </c>
      <c r="E10" s="2">
        <v>0</v>
      </c>
      <c r="F10" s="2">
        <v>0</v>
      </c>
      <c r="G10" s="2">
        <v>1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</row>
    <row r="11" spans="1:52">
      <c r="A11" s="2">
        <v>10</v>
      </c>
      <c r="B11" s="2" t="s">
        <v>49</v>
      </c>
      <c r="C11" s="2" t="s">
        <v>49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5.2999999999999999E-2</v>
      </c>
      <c r="Y11" s="2">
        <v>3.0000000000000001E-3</v>
      </c>
      <c r="Z11" s="2">
        <v>0.94399999999999995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</row>
    <row r="12" spans="1:52">
      <c r="A12" s="2">
        <v>11</v>
      </c>
      <c r="B12" s="2" t="s">
        <v>49</v>
      </c>
      <c r="C12" s="2" t="s">
        <v>49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0.36899999999999999</v>
      </c>
      <c r="Z12" s="2">
        <v>0.63100000000000001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</row>
    <row r="13" spans="1:52">
      <c r="A13" s="2">
        <v>12</v>
      </c>
      <c r="B13" s="2" t="s">
        <v>33</v>
      </c>
      <c r="C13" s="2" t="s">
        <v>33</v>
      </c>
      <c r="D13" s="2">
        <v>0</v>
      </c>
      <c r="E13" s="2">
        <v>0</v>
      </c>
      <c r="F13" s="2">
        <v>0</v>
      </c>
      <c r="G13" s="2">
        <v>1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</row>
    <row r="14" spans="1:52">
      <c r="A14" s="2">
        <v>13</v>
      </c>
      <c r="B14" s="2" t="s">
        <v>42</v>
      </c>
      <c r="C14" s="2" t="s">
        <v>42</v>
      </c>
      <c r="D14" s="2">
        <v>1E-3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0.999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0</v>
      </c>
    </row>
    <row r="15" spans="1:52">
      <c r="A15" s="2">
        <v>14</v>
      </c>
      <c r="B15" s="2" t="s">
        <v>54</v>
      </c>
      <c r="C15" s="2" t="s">
        <v>54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1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</row>
    <row r="16" spans="1:52">
      <c r="A16" s="2">
        <v>15</v>
      </c>
      <c r="B16" s="2" t="s">
        <v>59</v>
      </c>
      <c r="C16" s="2" t="s">
        <v>59</v>
      </c>
      <c r="D16" s="2">
        <v>0</v>
      </c>
      <c r="E16" s="2">
        <v>1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</row>
    <row r="17" spans="1:52">
      <c r="A17" s="2">
        <v>16</v>
      </c>
      <c r="B17" s="2" t="s">
        <v>54</v>
      </c>
      <c r="C17" s="2" t="s">
        <v>54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4.2000000000000003E-2</v>
      </c>
      <c r="Y17" s="2">
        <v>5.7000000000000002E-2</v>
      </c>
      <c r="Z17" s="2">
        <v>0.255</v>
      </c>
      <c r="AA17" s="2">
        <v>0.64600000000000002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</row>
    <row r="18" spans="1:52">
      <c r="A18" s="2">
        <v>17</v>
      </c>
      <c r="B18" s="2" t="s">
        <v>33</v>
      </c>
      <c r="C18" s="2" t="s">
        <v>33</v>
      </c>
      <c r="D18" s="2">
        <v>0</v>
      </c>
      <c r="E18" s="2">
        <v>0</v>
      </c>
      <c r="F18" s="2">
        <v>0</v>
      </c>
      <c r="G18" s="2">
        <v>1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</row>
    <row r="19" spans="1:52">
      <c r="A19" s="2">
        <v>18</v>
      </c>
      <c r="B19" s="2" t="s">
        <v>33</v>
      </c>
      <c r="C19" s="2" t="s">
        <v>33</v>
      </c>
      <c r="D19" s="2">
        <v>0</v>
      </c>
      <c r="E19" s="2">
        <v>0</v>
      </c>
      <c r="F19" s="2">
        <v>0</v>
      </c>
      <c r="G19" s="2">
        <v>1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</row>
    <row r="20" spans="1:52">
      <c r="A20" s="2">
        <v>19</v>
      </c>
      <c r="B20" s="2" t="s">
        <v>64</v>
      </c>
      <c r="C20" s="2" t="s">
        <v>64</v>
      </c>
      <c r="D20" s="2">
        <v>0</v>
      </c>
      <c r="E20" s="2">
        <v>0</v>
      </c>
      <c r="F20" s="2">
        <v>0</v>
      </c>
      <c r="G20" s="2">
        <v>0</v>
      </c>
      <c r="H20" s="2">
        <v>0.32500000000000001</v>
      </c>
      <c r="I20" s="2">
        <v>0</v>
      </c>
      <c r="J20" s="2">
        <v>4.2000000000000003E-2</v>
      </c>
      <c r="K20" s="2">
        <v>0.09</v>
      </c>
      <c r="L20" s="2">
        <v>2E-3</v>
      </c>
      <c r="M20" s="2">
        <v>0</v>
      </c>
      <c r="N20" s="2">
        <v>9.6000000000000002E-2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0.44500000000000001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</row>
    <row r="21" spans="1:52">
      <c r="A21" s="2">
        <v>20</v>
      </c>
      <c r="B21" s="2" t="s">
        <v>42</v>
      </c>
      <c r="C21" s="2" t="s">
        <v>42</v>
      </c>
      <c r="D21" s="2">
        <v>2.1999999999999999E-2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0.95199999999999996</v>
      </c>
      <c r="P21" s="2">
        <v>2.5999999999999999E-2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</row>
    <row r="22" spans="1:52">
      <c r="A22" s="2">
        <v>21</v>
      </c>
      <c r="B22" s="2" t="s">
        <v>59</v>
      </c>
      <c r="C22" s="2" t="s">
        <v>59</v>
      </c>
      <c r="D22" s="2">
        <v>0</v>
      </c>
      <c r="E22" s="2">
        <v>1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</row>
    <row r="23" spans="1:52">
      <c r="A23" s="2">
        <v>22</v>
      </c>
      <c r="B23" s="2" t="s">
        <v>42</v>
      </c>
      <c r="C23" s="2" t="s">
        <v>42</v>
      </c>
      <c r="D23" s="2">
        <v>1.4E-2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0.98599999999999999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</row>
    <row r="24" spans="1:52">
      <c r="A24" s="2">
        <v>23</v>
      </c>
      <c r="B24" s="2" t="s">
        <v>33</v>
      </c>
      <c r="C24" s="2" t="s">
        <v>33</v>
      </c>
      <c r="D24" s="2">
        <v>0</v>
      </c>
      <c r="E24" s="2">
        <v>0</v>
      </c>
      <c r="F24" s="2">
        <v>0</v>
      </c>
      <c r="G24" s="2">
        <v>1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</row>
    <row r="25" spans="1:52">
      <c r="A25" s="2">
        <v>24</v>
      </c>
      <c r="B25" s="2" t="s">
        <v>70</v>
      </c>
      <c r="C25" s="2" t="s">
        <v>70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0.93899999999999995</v>
      </c>
      <c r="V25" s="2">
        <v>2E-3</v>
      </c>
      <c r="W25" s="2">
        <v>5.8999999999999997E-2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</row>
    <row r="26" spans="1:52">
      <c r="A26" s="2">
        <v>25</v>
      </c>
      <c r="B26" s="2" t="s">
        <v>74</v>
      </c>
      <c r="C26" s="2" t="s">
        <v>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5.1999999999999998E-2</v>
      </c>
      <c r="AN26" s="2">
        <v>0</v>
      </c>
      <c r="AO26" s="2">
        <v>0.94799999999999995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</row>
    <row r="27" spans="1:52">
      <c r="A27" s="2">
        <v>26</v>
      </c>
      <c r="B27" s="2" t="s">
        <v>49</v>
      </c>
      <c r="C27" s="2" t="s">
        <v>49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3.0000000000000001E-3</v>
      </c>
      <c r="Y27" s="2">
        <v>0.23699999999999999</v>
      </c>
      <c r="Z27" s="2">
        <v>0.76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</row>
    <row r="28" spans="1:52">
      <c r="A28" s="2">
        <v>27</v>
      </c>
      <c r="B28" s="2" t="s">
        <v>42</v>
      </c>
      <c r="C28" s="2" t="s">
        <v>42</v>
      </c>
      <c r="D28" s="2">
        <v>8.0000000000000002E-3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0.94599999999999995</v>
      </c>
      <c r="P28" s="2">
        <v>4.5999999999999999E-2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</row>
    <row r="29" spans="1:52">
      <c r="A29" s="2">
        <v>28</v>
      </c>
      <c r="B29" s="2" t="s">
        <v>79</v>
      </c>
      <c r="C29" s="2" t="s">
        <v>79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5.0000000000000001E-3</v>
      </c>
      <c r="AT29" s="2">
        <v>1E-3</v>
      </c>
      <c r="AU29" s="2">
        <v>0.99399999999999999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</row>
    <row r="30" spans="1:52">
      <c r="A30" s="2">
        <v>29</v>
      </c>
      <c r="B30" s="2" t="s">
        <v>81</v>
      </c>
      <c r="C30" s="2" t="s">
        <v>81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8.0000000000000002E-3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0.64200000000000002</v>
      </c>
      <c r="AN30" s="2">
        <v>0</v>
      </c>
      <c r="AO30" s="2">
        <v>0.35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</row>
    <row r="31" spans="1:52">
      <c r="A31" s="2">
        <v>30</v>
      </c>
      <c r="B31" s="2" t="s">
        <v>45</v>
      </c>
      <c r="C31" s="2" t="s">
        <v>45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1.2E-2</v>
      </c>
      <c r="V31" s="2">
        <v>0.13200000000000001</v>
      </c>
      <c r="W31" s="2">
        <v>0.78500000000000003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7.0999999999999994E-2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</row>
    <row r="32" spans="1:52">
      <c r="A32" s="2">
        <v>31</v>
      </c>
      <c r="B32" s="2" t="s">
        <v>33</v>
      </c>
      <c r="C32" s="2" t="s">
        <v>33</v>
      </c>
      <c r="D32" s="2">
        <v>0</v>
      </c>
      <c r="E32" s="2">
        <v>0</v>
      </c>
      <c r="F32" s="2">
        <v>0</v>
      </c>
      <c r="G32" s="2">
        <v>1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</row>
    <row r="33" spans="1:52">
      <c r="A33" s="2">
        <v>32</v>
      </c>
      <c r="B33" s="2" t="s">
        <v>33</v>
      </c>
      <c r="C33" s="2" t="s">
        <v>33</v>
      </c>
      <c r="D33" s="2">
        <v>0</v>
      </c>
      <c r="E33" s="2">
        <v>0</v>
      </c>
      <c r="F33" s="2">
        <v>0</v>
      </c>
      <c r="G33" s="2">
        <v>1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</row>
    <row r="34" spans="1:52">
      <c r="A34" s="2">
        <v>33</v>
      </c>
      <c r="B34" s="2" t="s">
        <v>86</v>
      </c>
      <c r="C34" s="2" t="s">
        <v>86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0.999</v>
      </c>
      <c r="Z34" s="2">
        <v>1E-3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</row>
    <row r="35" spans="1:52">
      <c r="A35" s="2">
        <v>34</v>
      </c>
      <c r="B35" s="2" t="s">
        <v>45</v>
      </c>
      <c r="C35" s="2" t="s">
        <v>45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8.4000000000000005E-2</v>
      </c>
      <c r="V35" s="2">
        <v>2E-3</v>
      </c>
      <c r="W35" s="2">
        <v>0.90300000000000002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1.0999999999999999E-2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</row>
    <row r="36" spans="1:52">
      <c r="A36" s="2">
        <v>35</v>
      </c>
      <c r="B36" s="2" t="s">
        <v>91</v>
      </c>
      <c r="C36" s="2" t="s">
        <v>91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1E-3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0.999</v>
      </c>
      <c r="AW36" s="2">
        <v>0</v>
      </c>
      <c r="AX36" s="2">
        <v>0</v>
      </c>
      <c r="AY36" s="2">
        <v>0</v>
      </c>
      <c r="AZ36" s="2">
        <v>0</v>
      </c>
    </row>
    <row r="37" spans="1:52">
      <c r="A37" s="2">
        <v>36</v>
      </c>
      <c r="B37" s="2" t="s">
        <v>33</v>
      </c>
      <c r="C37" s="2" t="s">
        <v>33</v>
      </c>
      <c r="D37" s="2">
        <v>0</v>
      </c>
      <c r="E37" s="2">
        <v>0</v>
      </c>
      <c r="F37" s="2">
        <v>0</v>
      </c>
      <c r="G37" s="2">
        <v>1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</row>
    <row r="38" spans="1:52">
      <c r="A38" s="2">
        <v>37</v>
      </c>
      <c r="B38" s="2" t="s">
        <v>42</v>
      </c>
      <c r="C38" s="2" t="s">
        <v>42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</row>
    <row r="39" spans="1:52">
      <c r="A39" s="2">
        <v>38</v>
      </c>
      <c r="B39" s="2" t="s">
        <v>25</v>
      </c>
      <c r="C39" s="2" t="s">
        <v>25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1E-3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0.995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3.0000000000000001E-3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1E-3</v>
      </c>
      <c r="AX39" s="2">
        <v>0</v>
      </c>
      <c r="AY39" s="2">
        <v>0</v>
      </c>
      <c r="AZ39" s="2">
        <v>0</v>
      </c>
    </row>
    <row r="40" spans="1:52">
      <c r="A40" s="2">
        <v>39</v>
      </c>
      <c r="B40" s="2" t="s">
        <v>49</v>
      </c>
      <c r="C40" s="2" t="s">
        <v>49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0.26800000000000002</v>
      </c>
      <c r="Y40" s="2">
        <v>0</v>
      </c>
      <c r="Z40" s="2">
        <v>0.72899999999999998</v>
      </c>
      <c r="AA40" s="2">
        <v>3.0000000000000001E-3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</row>
    <row r="41" spans="1:52">
      <c r="A41" s="2">
        <v>40</v>
      </c>
      <c r="B41" s="2" t="s">
        <v>96</v>
      </c>
      <c r="C41" s="2" t="s">
        <v>96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0.999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1E-3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</row>
    <row r="42" spans="1:52">
      <c r="A42" s="2">
        <v>41</v>
      </c>
      <c r="B42" s="2" t="s">
        <v>98</v>
      </c>
      <c r="C42" s="2" t="s">
        <v>98</v>
      </c>
      <c r="D42" s="2">
        <v>0</v>
      </c>
      <c r="E42" s="2">
        <v>0</v>
      </c>
      <c r="F42" s="2">
        <v>0</v>
      </c>
      <c r="G42" s="2">
        <v>0</v>
      </c>
      <c r="H42" s="2">
        <v>3.2000000000000001E-2</v>
      </c>
      <c r="I42" s="2">
        <v>0</v>
      </c>
      <c r="J42" s="2">
        <v>0.68799999999999994</v>
      </c>
      <c r="K42" s="2">
        <v>0.255</v>
      </c>
      <c r="L42" s="2">
        <v>0</v>
      </c>
      <c r="M42" s="2">
        <v>0</v>
      </c>
      <c r="N42" s="2">
        <v>2.5000000000000001E-2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</row>
    <row r="43" spans="1:52">
      <c r="A43" s="2">
        <v>42</v>
      </c>
      <c r="B43" s="2" t="s">
        <v>54</v>
      </c>
      <c r="C43" s="2" t="s">
        <v>54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1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</row>
    <row r="44" spans="1:52">
      <c r="A44" s="2">
        <v>43</v>
      </c>
      <c r="B44" s="2" t="s">
        <v>102</v>
      </c>
      <c r="C44" s="2" t="s">
        <v>102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8.0000000000000002E-3</v>
      </c>
      <c r="AG44" s="2">
        <v>0.41099999999999998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1E-3</v>
      </c>
      <c r="AY44" s="2">
        <v>0</v>
      </c>
      <c r="AZ44" s="2">
        <v>0.57999999999999996</v>
      </c>
    </row>
    <row r="45" spans="1:52">
      <c r="A45" s="2">
        <v>44</v>
      </c>
      <c r="B45" s="2" t="s">
        <v>33</v>
      </c>
      <c r="C45" s="2" t="s">
        <v>33</v>
      </c>
      <c r="D45" s="2">
        <v>0</v>
      </c>
      <c r="E45" s="2">
        <v>0</v>
      </c>
      <c r="F45" s="2">
        <v>0</v>
      </c>
      <c r="G45" s="2">
        <v>1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</row>
    <row r="46" spans="1:52">
      <c r="A46" s="2">
        <v>45</v>
      </c>
      <c r="B46" s="2" t="s">
        <v>33</v>
      </c>
      <c r="C46" s="2" t="s">
        <v>33</v>
      </c>
      <c r="D46" s="2">
        <v>0</v>
      </c>
      <c r="E46" s="2">
        <v>0</v>
      </c>
      <c r="F46" s="2">
        <v>0</v>
      </c>
      <c r="G46" s="2">
        <v>0.76300000000000001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0.23699999999999999</v>
      </c>
      <c r="AZ46" s="2">
        <v>0</v>
      </c>
    </row>
    <row r="47" spans="1:52">
      <c r="A47" s="2">
        <v>46</v>
      </c>
      <c r="B47" s="2" t="s">
        <v>33</v>
      </c>
      <c r="C47" s="2" t="s">
        <v>33</v>
      </c>
      <c r="D47" s="2">
        <v>0</v>
      </c>
      <c r="E47" s="2">
        <v>0</v>
      </c>
      <c r="F47" s="2">
        <v>0</v>
      </c>
      <c r="G47" s="2">
        <v>1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</row>
    <row r="48" spans="1:52">
      <c r="A48" s="2">
        <v>47</v>
      </c>
      <c r="B48" s="2" t="s">
        <v>108</v>
      </c>
      <c r="C48" s="2" t="s">
        <v>108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0.97499999999999998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2.5000000000000001E-2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</row>
    <row r="49" spans="1:52">
      <c r="A49" s="2">
        <v>48</v>
      </c>
      <c r="B49" s="2" t="s">
        <v>112</v>
      </c>
      <c r="C49" s="2" t="s">
        <v>112</v>
      </c>
      <c r="D49" s="2">
        <v>0</v>
      </c>
      <c r="E49" s="2">
        <v>0</v>
      </c>
      <c r="F49" s="2">
        <v>0.38500000000000001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0.61499999999999999</v>
      </c>
      <c r="AX49" s="2">
        <v>0</v>
      </c>
      <c r="AY49" s="2">
        <v>0</v>
      </c>
      <c r="AZ49" s="2">
        <v>0</v>
      </c>
    </row>
    <row r="50" spans="1:52">
      <c r="A50" s="2">
        <v>49</v>
      </c>
      <c r="B50" s="2" t="s">
        <v>42</v>
      </c>
      <c r="C50" s="2" t="s">
        <v>42</v>
      </c>
      <c r="D50" s="2">
        <v>0.02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0.96299999999999997</v>
      </c>
      <c r="P50" s="2">
        <v>1.7000000000000001E-2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</row>
    <row r="51" spans="1:52">
      <c r="A51" s="2">
        <v>50</v>
      </c>
      <c r="B51" s="2" t="s">
        <v>33</v>
      </c>
      <c r="C51" s="2" t="s">
        <v>33</v>
      </c>
      <c r="D51" s="2">
        <v>0</v>
      </c>
      <c r="E51" s="2">
        <v>0</v>
      </c>
      <c r="F51" s="2">
        <v>0</v>
      </c>
      <c r="G51" s="2">
        <v>1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</row>
    <row r="52" spans="1:52">
      <c r="A52" s="2">
        <v>51</v>
      </c>
      <c r="B52" s="2" t="s">
        <v>86</v>
      </c>
      <c r="C52" s="2" t="s">
        <v>86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1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</row>
    <row r="53" spans="1:52">
      <c r="A53" s="2">
        <v>52</v>
      </c>
      <c r="B53" s="2" t="s">
        <v>33</v>
      </c>
      <c r="C53" s="2" t="s">
        <v>33</v>
      </c>
      <c r="D53" s="2">
        <v>0</v>
      </c>
      <c r="E53" s="2">
        <v>0</v>
      </c>
      <c r="F53" s="2">
        <v>0</v>
      </c>
      <c r="G53" s="2">
        <v>1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</row>
    <row r="54" spans="1:52">
      <c r="A54" s="2">
        <v>53</v>
      </c>
      <c r="B54" s="2" t="s">
        <v>118</v>
      </c>
      <c r="C54" s="2" t="s">
        <v>118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4.0000000000000001E-3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1E-3</v>
      </c>
      <c r="W54" s="2">
        <v>1E-3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1E-3</v>
      </c>
      <c r="AD54" s="2">
        <v>0</v>
      </c>
      <c r="AE54" s="2">
        <v>2E-3</v>
      </c>
      <c r="AF54" s="2">
        <v>0.83499999999999996</v>
      </c>
      <c r="AG54" s="2">
        <v>4.8000000000000001E-2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2E-3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0</v>
      </c>
      <c r="AZ54" s="2">
        <v>0.106</v>
      </c>
    </row>
    <row r="55" spans="1:52">
      <c r="A55" s="2">
        <v>54</v>
      </c>
      <c r="B55" s="2" t="s">
        <v>22</v>
      </c>
      <c r="C55" s="2" t="s">
        <v>22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0.314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0.68600000000000005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</row>
    <row r="56" spans="1:52">
      <c r="A56" s="2">
        <v>55</v>
      </c>
      <c r="B56" s="2" t="s">
        <v>33</v>
      </c>
      <c r="C56" s="2" t="s">
        <v>33</v>
      </c>
      <c r="D56" s="2">
        <v>0</v>
      </c>
      <c r="E56" s="2">
        <v>0</v>
      </c>
      <c r="F56" s="2">
        <v>0</v>
      </c>
      <c r="G56" s="2">
        <v>0.996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0</v>
      </c>
      <c r="AT56" s="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4.0000000000000001E-3</v>
      </c>
      <c r="AZ56" s="2">
        <v>0</v>
      </c>
    </row>
    <row r="57" spans="1:52">
      <c r="A57" s="2">
        <v>56</v>
      </c>
      <c r="B57" s="2" t="s">
        <v>33</v>
      </c>
      <c r="C57" s="2" t="s">
        <v>33</v>
      </c>
      <c r="D57" s="2">
        <v>0</v>
      </c>
      <c r="E57" s="2">
        <v>0</v>
      </c>
      <c r="F57" s="2">
        <v>0</v>
      </c>
      <c r="G57" s="2">
        <v>1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</row>
    <row r="58" spans="1:52">
      <c r="A58" s="2">
        <v>57</v>
      </c>
      <c r="B58" s="2" t="s">
        <v>25</v>
      </c>
      <c r="C58" s="2" t="s">
        <v>25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0.746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0.254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0</v>
      </c>
      <c r="AT58" s="2">
        <v>0</v>
      </c>
      <c r="AU58" s="2">
        <v>0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</row>
    <row r="59" spans="1:52">
      <c r="A59" s="2">
        <v>58</v>
      </c>
      <c r="B59" s="2" t="s">
        <v>33</v>
      </c>
      <c r="C59" s="2" t="s">
        <v>33</v>
      </c>
      <c r="D59" s="2">
        <v>0</v>
      </c>
      <c r="E59" s="2">
        <v>0</v>
      </c>
      <c r="F59" s="2">
        <v>0</v>
      </c>
      <c r="G59" s="2">
        <v>1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</row>
    <row r="60" spans="1:52">
      <c r="A60" s="2">
        <v>59</v>
      </c>
      <c r="B60" s="2" t="s">
        <v>22</v>
      </c>
      <c r="C60" s="2" t="s">
        <v>22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0.20200000000000001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0.79800000000000004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0</v>
      </c>
    </row>
    <row r="61" spans="1:52">
      <c r="A61" s="2">
        <v>60</v>
      </c>
      <c r="B61" s="2" t="s">
        <v>96</v>
      </c>
      <c r="C61" s="2" t="s">
        <v>96</v>
      </c>
      <c r="D61" s="2">
        <v>0</v>
      </c>
      <c r="E61" s="2">
        <v>0</v>
      </c>
      <c r="F61" s="2">
        <v>0</v>
      </c>
      <c r="G61" s="2">
        <v>0</v>
      </c>
      <c r="H61" s="2">
        <v>5.0000000000000001E-3</v>
      </c>
      <c r="I61" s="2">
        <v>0</v>
      </c>
      <c r="J61" s="2">
        <v>3.0000000000000001E-3</v>
      </c>
      <c r="K61" s="2">
        <v>1.2999999999999999E-2</v>
      </c>
      <c r="L61" s="2">
        <v>0</v>
      </c>
      <c r="M61" s="2">
        <v>0</v>
      </c>
      <c r="N61" s="2">
        <v>0.95699999999999996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2.1999999999999999E-2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</row>
    <row r="62" spans="1:52">
      <c r="A62" s="2">
        <v>61</v>
      </c>
      <c r="B62" s="2" t="s">
        <v>42</v>
      </c>
      <c r="C62" s="2" t="s">
        <v>42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1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</row>
    <row r="63" spans="1:52">
      <c r="A63" s="2">
        <v>62</v>
      </c>
      <c r="B63" s="2" t="s">
        <v>86</v>
      </c>
      <c r="C63" s="2" t="s">
        <v>86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0.94399999999999995</v>
      </c>
      <c r="Z63" s="2">
        <v>1E-3</v>
      </c>
      <c r="AA63" s="2">
        <v>5.5E-2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</row>
    <row r="64" spans="1:52">
      <c r="A64" s="2">
        <v>63</v>
      </c>
      <c r="B64" s="2" t="s">
        <v>29</v>
      </c>
      <c r="C64" s="2" t="s">
        <v>29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1E-3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0.999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</row>
    <row r="65" spans="1:52">
      <c r="A65" s="2">
        <v>64</v>
      </c>
      <c r="B65" s="2" t="s">
        <v>42</v>
      </c>
      <c r="C65" s="2" t="s">
        <v>42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1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</row>
    <row r="66" spans="1:52">
      <c r="A66" s="2">
        <v>65</v>
      </c>
      <c r="B66" s="2" t="s">
        <v>131</v>
      </c>
      <c r="C66" s="2" t="s">
        <v>131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1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</row>
    <row r="67" spans="1:52">
      <c r="A67" s="2">
        <v>66</v>
      </c>
      <c r="B67" s="2" t="s">
        <v>74</v>
      </c>
      <c r="C67" s="2" t="s">
        <v>74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0.124</v>
      </c>
      <c r="AN67" s="2">
        <v>0</v>
      </c>
      <c r="AO67" s="2">
        <v>0.876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</row>
    <row r="68" spans="1:52">
      <c r="A68" s="2">
        <v>67</v>
      </c>
      <c r="B68" s="2" t="s">
        <v>134</v>
      </c>
      <c r="C68" s="2" t="s">
        <v>134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5.2999999999999999E-2</v>
      </c>
      <c r="V68" s="2">
        <v>7.0000000000000001E-3</v>
      </c>
      <c r="W68" s="2">
        <v>0.13600000000000001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0.80400000000000005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</row>
    <row r="69" spans="1:52">
      <c r="A69" s="2">
        <v>68</v>
      </c>
      <c r="B69" s="2" t="s">
        <v>22</v>
      </c>
      <c r="C69" s="2" t="s">
        <v>22</v>
      </c>
      <c r="D69" s="2">
        <v>0</v>
      </c>
      <c r="E69" s="2">
        <v>0</v>
      </c>
      <c r="F69" s="2">
        <v>0</v>
      </c>
      <c r="G69" s="2">
        <v>0</v>
      </c>
      <c r="H69" s="2">
        <v>8.0000000000000002E-3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0.22900000000000001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0.76300000000000001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0</v>
      </c>
      <c r="AT69" s="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</row>
    <row r="70" spans="1:52">
      <c r="A70" s="2">
        <v>69</v>
      </c>
      <c r="B70" s="2" t="s">
        <v>33</v>
      </c>
      <c r="C70" s="2" t="s">
        <v>33</v>
      </c>
      <c r="D70" s="2">
        <v>0</v>
      </c>
      <c r="E70" s="2">
        <v>0</v>
      </c>
      <c r="F70" s="2">
        <v>0</v>
      </c>
      <c r="G70" s="2">
        <v>1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</row>
    <row r="71" spans="1:52">
      <c r="A71" s="2">
        <v>70</v>
      </c>
      <c r="B71" s="2" t="s">
        <v>86</v>
      </c>
      <c r="C71" s="2" t="s">
        <v>86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0.90100000000000002</v>
      </c>
      <c r="Z71" s="2">
        <v>9.9000000000000005E-2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</row>
    <row r="72" spans="1:52">
      <c r="A72" s="2">
        <v>71</v>
      </c>
      <c r="B72" s="2" t="s">
        <v>112</v>
      </c>
      <c r="C72" s="2" t="s">
        <v>112</v>
      </c>
      <c r="D72" s="2">
        <v>0</v>
      </c>
      <c r="E72" s="2">
        <v>0</v>
      </c>
      <c r="F72" s="2">
        <v>0.34399999999999997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0.65600000000000003</v>
      </c>
      <c r="AX72" s="2">
        <v>0</v>
      </c>
      <c r="AY72" s="2">
        <v>0</v>
      </c>
      <c r="AZ72" s="2">
        <v>0</v>
      </c>
    </row>
    <row r="73" spans="1:52">
      <c r="A73" s="2">
        <v>72</v>
      </c>
      <c r="B73" s="2" t="s">
        <v>42</v>
      </c>
      <c r="C73" s="2" t="s">
        <v>42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1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</row>
    <row r="74" spans="1:52">
      <c r="A74" s="2">
        <v>73</v>
      </c>
      <c r="B74" s="2" t="s">
        <v>29</v>
      </c>
      <c r="C74" s="2" t="s">
        <v>29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1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</row>
    <row r="75" spans="1:52">
      <c r="A75" s="2">
        <v>74</v>
      </c>
      <c r="B75" s="2" t="s">
        <v>45</v>
      </c>
      <c r="C75" s="2" t="s">
        <v>45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1E-3</v>
      </c>
      <c r="W75" s="2">
        <v>0.999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</row>
    <row r="76" spans="1:52">
      <c r="A76" s="2">
        <v>75</v>
      </c>
      <c r="B76" s="2" t="s">
        <v>143</v>
      </c>
      <c r="C76" s="2" t="s">
        <v>143</v>
      </c>
      <c r="D76" s="2">
        <v>0</v>
      </c>
      <c r="E76" s="2">
        <v>0</v>
      </c>
      <c r="F76" s="2">
        <v>0</v>
      </c>
      <c r="G76" s="2">
        <v>0</v>
      </c>
      <c r="H76" s="2">
        <v>5.0000000000000001E-3</v>
      </c>
      <c r="I76" s="2">
        <v>1E-3</v>
      </c>
      <c r="J76" s="2">
        <v>0.16600000000000001</v>
      </c>
      <c r="K76" s="2">
        <v>0.82399999999999995</v>
      </c>
      <c r="L76" s="2">
        <v>0</v>
      </c>
      <c r="M76" s="2">
        <v>0</v>
      </c>
      <c r="N76" s="2">
        <v>4.0000000000000001E-3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</row>
    <row r="77" spans="1:52">
      <c r="A77" s="2">
        <v>76</v>
      </c>
      <c r="B77" s="2" t="s">
        <v>59</v>
      </c>
      <c r="C77" s="2" t="s">
        <v>59</v>
      </c>
      <c r="D77" s="2">
        <v>0</v>
      </c>
      <c r="E77" s="2">
        <v>0.999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1E-3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</row>
    <row r="78" spans="1:52">
      <c r="A78" s="2">
        <v>77</v>
      </c>
      <c r="B78" s="2" t="s">
        <v>42</v>
      </c>
      <c r="C78" s="2" t="s">
        <v>42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1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</row>
    <row r="79" spans="1:52">
      <c r="A79" s="2">
        <v>78</v>
      </c>
      <c r="B79" s="2" t="s">
        <v>147</v>
      </c>
      <c r="C79" s="2" t="s">
        <v>147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0.82599999999999996</v>
      </c>
      <c r="Y79" s="2">
        <v>0</v>
      </c>
      <c r="Z79" s="2">
        <v>0.17399999999999999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</row>
    <row r="80" spans="1:52">
      <c r="A80" s="2">
        <v>79</v>
      </c>
      <c r="B80" s="2" t="s">
        <v>45</v>
      </c>
      <c r="C80" s="2" t="s">
        <v>45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2.5999999999999999E-2</v>
      </c>
      <c r="W80" s="2">
        <v>0.97399999999999998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</row>
    <row r="81" spans="1:52">
      <c r="A81" s="2">
        <v>80</v>
      </c>
      <c r="B81" s="2" t="s">
        <v>54</v>
      </c>
      <c r="C81" s="2" t="s">
        <v>54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5.0000000000000001E-3</v>
      </c>
      <c r="Z81" s="2">
        <v>5.0000000000000001E-3</v>
      </c>
      <c r="AA81" s="2">
        <v>0.99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</row>
    <row r="82" spans="1:52">
      <c r="A82" s="2">
        <v>81</v>
      </c>
      <c r="B82" s="2" t="s">
        <v>33</v>
      </c>
      <c r="C82" s="2" t="s">
        <v>33</v>
      </c>
      <c r="D82" s="2">
        <v>0</v>
      </c>
      <c r="E82" s="2">
        <v>0</v>
      </c>
      <c r="F82" s="2">
        <v>0</v>
      </c>
      <c r="G82" s="2">
        <v>1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</row>
    <row r="83" spans="1:52">
      <c r="A83" s="2">
        <v>82</v>
      </c>
      <c r="B83" s="2" t="s">
        <v>86</v>
      </c>
      <c r="C83" s="2" t="s">
        <v>86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0.998</v>
      </c>
      <c r="Z83" s="2">
        <v>0</v>
      </c>
      <c r="AA83" s="2">
        <v>2E-3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</row>
    <row r="84" spans="1:52">
      <c r="A84" s="2">
        <v>83</v>
      </c>
      <c r="B84" s="2" t="s">
        <v>147</v>
      </c>
      <c r="C84" s="2" t="s">
        <v>147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3.0000000000000001E-3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2E-3</v>
      </c>
      <c r="X84" s="2">
        <v>0.97399999999999998</v>
      </c>
      <c r="Y84" s="2">
        <v>1.0999999999999999E-2</v>
      </c>
      <c r="Z84" s="2">
        <v>8.0000000000000002E-3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1E-3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1E-3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</row>
    <row r="85" spans="1:52">
      <c r="A85" s="2">
        <v>84</v>
      </c>
      <c r="B85" s="2" t="s">
        <v>42</v>
      </c>
      <c r="C85" s="2" t="s">
        <v>42</v>
      </c>
      <c r="D85" s="2">
        <v>2E-3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0.997</v>
      </c>
      <c r="P85" s="2">
        <v>1E-3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</row>
    <row r="86" spans="1:52">
      <c r="A86" s="2">
        <v>85</v>
      </c>
      <c r="B86" s="2" t="s">
        <v>42</v>
      </c>
      <c r="C86" s="2" t="s">
        <v>42</v>
      </c>
      <c r="D86" s="2">
        <v>7.5999999999999998E-2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0.91800000000000004</v>
      </c>
      <c r="P86" s="2">
        <v>6.0000000000000001E-3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</row>
    <row r="87" spans="1:52">
      <c r="A87" s="2">
        <v>86</v>
      </c>
      <c r="B87" s="2" t="s">
        <v>42</v>
      </c>
      <c r="C87" s="2" t="s">
        <v>42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1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</row>
    <row r="88" spans="1:52">
      <c r="A88" s="2">
        <v>87</v>
      </c>
      <c r="B88" s="2" t="s">
        <v>42</v>
      </c>
      <c r="C88" s="2" t="s">
        <v>42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0.996</v>
      </c>
      <c r="P88" s="2">
        <v>4.0000000000000001E-3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</row>
    <row r="89" spans="1:52">
      <c r="A89" s="2">
        <v>88</v>
      </c>
      <c r="B89" s="2" t="s">
        <v>112</v>
      </c>
      <c r="C89" s="2" t="s">
        <v>112</v>
      </c>
      <c r="D89" s="2">
        <v>0</v>
      </c>
      <c r="E89" s="2">
        <v>2E-3</v>
      </c>
      <c r="F89" s="2">
        <v>0</v>
      </c>
      <c r="G89" s="2">
        <v>0</v>
      </c>
      <c r="H89" s="2">
        <v>2E-3</v>
      </c>
      <c r="I89" s="2">
        <v>0</v>
      </c>
      <c r="J89" s="2">
        <v>0</v>
      </c>
      <c r="K89" s="2">
        <v>0</v>
      </c>
      <c r="L89" s="2">
        <v>4.0000000000000001E-3</v>
      </c>
      <c r="M89" s="2">
        <v>0</v>
      </c>
      <c r="N89" s="2">
        <v>0</v>
      </c>
      <c r="O89" s="2">
        <v>0</v>
      </c>
      <c r="P89" s="2">
        <v>0</v>
      </c>
      <c r="Q89" s="2">
        <v>2E-3</v>
      </c>
      <c r="R89" s="2">
        <v>0</v>
      </c>
      <c r="S89" s="2">
        <v>3.0000000000000001E-3</v>
      </c>
      <c r="T89" s="2">
        <v>2E-3</v>
      </c>
      <c r="U89" s="2">
        <v>0</v>
      </c>
      <c r="V89" s="2">
        <v>0</v>
      </c>
      <c r="W89" s="2">
        <v>0</v>
      </c>
      <c r="X89" s="2">
        <v>0</v>
      </c>
      <c r="Y89" s="2">
        <v>1E-3</v>
      </c>
      <c r="Z89" s="2">
        <v>0</v>
      </c>
      <c r="AA89" s="2">
        <v>7.0000000000000001E-3</v>
      </c>
      <c r="AB89" s="2">
        <v>1.0999999999999999E-2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1E-3</v>
      </c>
      <c r="AK89" s="2">
        <v>0</v>
      </c>
      <c r="AL89" s="2">
        <v>0</v>
      </c>
      <c r="AM89" s="2">
        <v>0</v>
      </c>
      <c r="AN89" s="2">
        <v>0</v>
      </c>
      <c r="AO89" s="2">
        <v>1E-3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0.96399999999999997</v>
      </c>
      <c r="AX89" s="2">
        <v>0</v>
      </c>
      <c r="AY89" s="2">
        <v>0</v>
      </c>
      <c r="AZ89" s="2">
        <v>0</v>
      </c>
    </row>
    <row r="90" spans="1:52">
      <c r="A90" s="2">
        <v>89</v>
      </c>
      <c r="B90" s="2" t="s">
        <v>64</v>
      </c>
      <c r="C90" s="2" t="s">
        <v>64</v>
      </c>
      <c r="D90" s="2">
        <v>0</v>
      </c>
      <c r="E90" s="2">
        <v>0</v>
      </c>
      <c r="F90" s="2">
        <v>0</v>
      </c>
      <c r="G90" s="2">
        <v>0</v>
      </c>
      <c r="H90" s="2">
        <v>1E-3</v>
      </c>
      <c r="I90" s="2">
        <v>0</v>
      </c>
      <c r="J90" s="2">
        <v>0</v>
      </c>
      <c r="K90" s="2">
        <v>1E-3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0.998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</row>
    <row r="91" spans="1:52">
      <c r="A91" s="2">
        <v>90</v>
      </c>
      <c r="B91" s="2" t="s">
        <v>49</v>
      </c>
      <c r="C91" s="2" t="s">
        <v>49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6.0000000000000001E-3</v>
      </c>
      <c r="Y91" s="2">
        <v>8.9999999999999993E-3</v>
      </c>
      <c r="Z91" s="2">
        <v>0.98499999999999999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</row>
    <row r="92" spans="1:52">
      <c r="A92" s="2">
        <v>91</v>
      </c>
      <c r="B92" s="2" t="s">
        <v>79</v>
      </c>
      <c r="C92" s="2" t="s">
        <v>79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3.0000000000000001E-3</v>
      </c>
      <c r="AT92" s="2">
        <v>4.0000000000000001E-3</v>
      </c>
      <c r="AU92" s="2">
        <v>0.99299999999999999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</row>
    <row r="93" spans="1:52">
      <c r="A93" s="2">
        <v>92</v>
      </c>
      <c r="B93" s="2" t="s">
        <v>49</v>
      </c>
      <c r="C93" s="2" t="s">
        <v>49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1.4999999999999999E-2</v>
      </c>
      <c r="Y93" s="2">
        <v>3.0000000000000001E-3</v>
      </c>
      <c r="Z93" s="2">
        <v>0.98199999999999998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</row>
    <row r="94" spans="1:52">
      <c r="A94" s="2">
        <v>93</v>
      </c>
      <c r="B94" s="2" t="s">
        <v>33</v>
      </c>
      <c r="C94" s="2" t="s">
        <v>33</v>
      </c>
      <c r="D94" s="2">
        <v>0</v>
      </c>
      <c r="E94" s="2">
        <v>0</v>
      </c>
      <c r="F94" s="2">
        <v>0</v>
      </c>
      <c r="G94" s="2">
        <v>1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  <c r="AQ94" s="2">
        <v>0</v>
      </c>
      <c r="AR94" s="2">
        <v>0</v>
      </c>
      <c r="AS94" s="2">
        <v>0</v>
      </c>
      <c r="AT94" s="2">
        <v>0</v>
      </c>
      <c r="AU94" s="2">
        <v>0</v>
      </c>
      <c r="AV94" s="2">
        <v>0</v>
      </c>
      <c r="AW94" s="2">
        <v>0</v>
      </c>
      <c r="AX94" s="2">
        <v>0</v>
      </c>
      <c r="AY94" s="2">
        <v>0</v>
      </c>
      <c r="AZ94" s="2">
        <v>0</v>
      </c>
    </row>
    <row r="95" spans="1:52">
      <c r="A95" s="2">
        <v>94</v>
      </c>
      <c r="B95" s="2" t="s">
        <v>74</v>
      </c>
      <c r="C95" s="2" t="s">
        <v>74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3.0000000000000001E-3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0.16500000000000001</v>
      </c>
      <c r="AN95" s="2">
        <v>0</v>
      </c>
      <c r="AO95" s="2">
        <v>0.83199999999999996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</row>
    <row r="96" spans="1:52">
      <c r="A96" s="2">
        <v>95</v>
      </c>
      <c r="B96" s="2" t="s">
        <v>59</v>
      </c>
      <c r="C96" s="2" t="s">
        <v>59</v>
      </c>
      <c r="D96" s="2">
        <v>0</v>
      </c>
      <c r="E96" s="2">
        <v>0.996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3.0000000000000001E-3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1E-3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</row>
    <row r="97" spans="1:52">
      <c r="A97" s="2">
        <v>96</v>
      </c>
      <c r="B97" s="2" t="s">
        <v>49</v>
      </c>
      <c r="C97" s="2" t="s">
        <v>49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4.0000000000000001E-3</v>
      </c>
      <c r="W97" s="2">
        <v>0</v>
      </c>
      <c r="X97" s="2">
        <v>5.0000000000000001E-3</v>
      </c>
      <c r="Y97" s="2">
        <v>0.36399999999999999</v>
      </c>
      <c r="Z97" s="2">
        <v>0.627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</row>
    <row r="98" spans="1:52">
      <c r="A98" s="2">
        <v>97</v>
      </c>
      <c r="B98" s="2" t="s">
        <v>166</v>
      </c>
      <c r="C98" s="2" t="s">
        <v>166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0.96799999999999997</v>
      </c>
      <c r="J98" s="2">
        <v>0</v>
      </c>
      <c r="K98" s="2">
        <v>0</v>
      </c>
      <c r="L98" s="2">
        <v>4.0000000000000001E-3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3.0000000000000001E-3</v>
      </c>
      <c r="W98" s="2">
        <v>5.0000000000000001E-3</v>
      </c>
      <c r="X98" s="2">
        <v>8.0000000000000002E-3</v>
      </c>
      <c r="Y98" s="2">
        <v>0</v>
      </c>
      <c r="Z98" s="2">
        <v>0</v>
      </c>
      <c r="AA98" s="2">
        <v>0</v>
      </c>
      <c r="AB98" s="2">
        <v>1E-3</v>
      </c>
      <c r="AC98" s="2">
        <v>0</v>
      </c>
      <c r="AD98" s="2">
        <v>0</v>
      </c>
      <c r="AE98" s="2">
        <v>1E-3</v>
      </c>
      <c r="AF98" s="2">
        <v>0</v>
      </c>
      <c r="AG98" s="2">
        <v>3.0000000000000001E-3</v>
      </c>
      <c r="AH98" s="2">
        <v>0</v>
      </c>
      <c r="AI98" s="2">
        <v>3.0000000000000001E-3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4.0000000000000001E-3</v>
      </c>
      <c r="AY98" s="2">
        <v>0</v>
      </c>
      <c r="AZ98" s="2">
        <v>0</v>
      </c>
    </row>
    <row r="99" spans="1:52">
      <c r="A99" s="2">
        <v>98</v>
      </c>
      <c r="B99" s="2" t="s">
        <v>168</v>
      </c>
      <c r="C99" s="2" t="s">
        <v>168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2E-3</v>
      </c>
      <c r="J99" s="2">
        <v>0</v>
      </c>
      <c r="K99" s="2">
        <v>0</v>
      </c>
      <c r="L99" s="2">
        <v>1E-3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8.0000000000000002E-3</v>
      </c>
      <c r="V99" s="2">
        <v>0.82099999999999995</v>
      </c>
      <c r="W99" s="2">
        <v>0.158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3.0000000000000001E-3</v>
      </c>
      <c r="AF99" s="2">
        <v>0</v>
      </c>
      <c r="AG99" s="2">
        <v>0</v>
      </c>
      <c r="AH99" s="2">
        <v>6.0000000000000001E-3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1E-3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</row>
    <row r="100" spans="1:52">
      <c r="A100" s="2">
        <v>99</v>
      </c>
      <c r="B100" s="2" t="s">
        <v>86</v>
      </c>
      <c r="C100" s="2" t="s">
        <v>86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0.996</v>
      </c>
      <c r="Z100" s="2">
        <v>4.0000000000000001E-3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0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0</v>
      </c>
    </row>
    <row r="101" spans="1:52">
      <c r="A101" s="2">
        <v>100</v>
      </c>
      <c r="B101" s="2" t="s">
        <v>33</v>
      </c>
      <c r="C101" s="2" t="s">
        <v>33</v>
      </c>
      <c r="D101" s="2">
        <v>0</v>
      </c>
      <c r="E101" s="2">
        <v>0</v>
      </c>
      <c r="F101" s="2">
        <v>0</v>
      </c>
      <c r="G101" s="2">
        <v>1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  <c r="AQ101" s="2">
        <v>0</v>
      </c>
      <c r="AR101" s="2">
        <v>0</v>
      </c>
      <c r="AS101" s="2">
        <v>0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0</v>
      </c>
    </row>
    <row r="102" spans="1:52">
      <c r="A102" s="2">
        <v>101</v>
      </c>
      <c r="B102" s="2" t="s">
        <v>131</v>
      </c>
      <c r="C102" s="2" t="s">
        <v>131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1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0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0</v>
      </c>
    </row>
    <row r="103" spans="1:52">
      <c r="A103" s="2">
        <v>102</v>
      </c>
      <c r="B103" s="2" t="s">
        <v>33</v>
      </c>
      <c r="C103" s="2" t="s">
        <v>33</v>
      </c>
      <c r="D103" s="2">
        <v>0</v>
      </c>
      <c r="E103" s="2">
        <v>0</v>
      </c>
      <c r="F103" s="2">
        <v>0</v>
      </c>
      <c r="G103" s="2">
        <v>1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0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</row>
    <row r="104" spans="1:52">
      <c r="A104" s="2">
        <v>103</v>
      </c>
      <c r="B104" s="2" t="s">
        <v>174</v>
      </c>
      <c r="C104" s="2" t="s">
        <v>174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1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</row>
    <row r="105" spans="1:52">
      <c r="A105" s="2">
        <v>104</v>
      </c>
      <c r="B105" s="2" t="s">
        <v>108</v>
      </c>
      <c r="C105" s="2" t="s">
        <v>108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0.94399999999999995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5.6000000000000001E-2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</row>
    <row r="106" spans="1:52">
      <c r="A106" s="2">
        <v>105</v>
      </c>
      <c r="B106" s="2" t="s">
        <v>178</v>
      </c>
      <c r="C106" s="2" t="s">
        <v>178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1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</row>
    <row r="107" spans="1:52">
      <c r="A107" s="2">
        <v>106</v>
      </c>
      <c r="B107" s="2" t="s">
        <v>33</v>
      </c>
      <c r="C107" s="2" t="s">
        <v>33</v>
      </c>
      <c r="D107" s="2">
        <v>0</v>
      </c>
      <c r="E107" s="2">
        <v>0</v>
      </c>
      <c r="F107" s="2">
        <v>0</v>
      </c>
      <c r="G107" s="2">
        <v>1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</row>
    <row r="108" spans="1:52">
      <c r="A108" s="2">
        <v>107</v>
      </c>
      <c r="B108" s="2" t="s">
        <v>33</v>
      </c>
      <c r="C108" s="2" t="s">
        <v>33</v>
      </c>
      <c r="D108" s="2">
        <v>0</v>
      </c>
      <c r="E108" s="2">
        <v>0</v>
      </c>
      <c r="F108" s="2">
        <v>0</v>
      </c>
      <c r="G108" s="2">
        <v>1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</row>
    <row r="109" spans="1:52">
      <c r="A109" s="2">
        <v>108</v>
      </c>
      <c r="B109" s="2" t="s">
        <v>42</v>
      </c>
      <c r="C109" s="2" t="s">
        <v>42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1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</row>
    <row r="110" spans="1:52">
      <c r="A110" s="2">
        <v>109</v>
      </c>
      <c r="B110" s="2" t="s">
        <v>108</v>
      </c>
      <c r="C110" s="2" t="s">
        <v>108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1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</row>
    <row r="111" spans="1:52">
      <c r="A111" s="2">
        <v>110</v>
      </c>
      <c r="B111" s="2" t="s">
        <v>86</v>
      </c>
      <c r="C111" s="2" t="s">
        <v>86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0.996</v>
      </c>
      <c r="Z111" s="2">
        <v>4.0000000000000001E-3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0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0</v>
      </c>
    </row>
    <row r="112" spans="1:52">
      <c r="A112" s="2">
        <v>111</v>
      </c>
      <c r="B112" s="2" t="s">
        <v>143</v>
      </c>
      <c r="C112" s="2" t="s">
        <v>143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3.6999999999999998E-2</v>
      </c>
      <c r="K112" s="2">
        <v>0.96299999999999997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0</v>
      </c>
    </row>
    <row r="113" spans="1:52">
      <c r="A113" s="2">
        <v>112</v>
      </c>
      <c r="B113" s="2" t="s">
        <v>96</v>
      </c>
      <c r="C113" s="2" t="s">
        <v>96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0.99399999999999999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6.0000000000000001E-3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0</v>
      </c>
    </row>
    <row r="114" spans="1:52">
      <c r="A114" s="2">
        <v>113</v>
      </c>
      <c r="B114" s="2" t="s">
        <v>166</v>
      </c>
      <c r="C114" s="2" t="s">
        <v>166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1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</row>
    <row r="115" spans="1:52">
      <c r="A115" s="2">
        <v>114</v>
      </c>
      <c r="B115" s="2" t="s">
        <v>42</v>
      </c>
      <c r="C115" s="2" t="s">
        <v>42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1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</row>
    <row r="116" spans="1:52">
      <c r="A116" s="2">
        <v>115</v>
      </c>
      <c r="B116" s="2" t="s">
        <v>59</v>
      </c>
      <c r="C116" s="2" t="s">
        <v>59</v>
      </c>
      <c r="D116" s="2">
        <v>0</v>
      </c>
      <c r="E116" s="2">
        <v>1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</v>
      </c>
    </row>
    <row r="117" spans="1:52">
      <c r="A117" s="2">
        <v>116</v>
      </c>
      <c r="B117" s="2" t="s">
        <v>168</v>
      </c>
      <c r="C117" s="2" t="s">
        <v>168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8.0000000000000002E-3</v>
      </c>
      <c r="V117" s="2">
        <v>0.58599999999999997</v>
      </c>
      <c r="W117" s="2">
        <v>0.40200000000000002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4.0000000000000001E-3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</row>
    <row r="118" spans="1:52">
      <c r="A118" s="2">
        <v>117</v>
      </c>
      <c r="B118" s="2" t="s">
        <v>33</v>
      </c>
      <c r="C118" s="2" t="s">
        <v>33</v>
      </c>
      <c r="D118" s="2">
        <v>0</v>
      </c>
      <c r="E118" s="2">
        <v>0</v>
      </c>
      <c r="F118" s="2">
        <v>0</v>
      </c>
      <c r="G118" s="2">
        <v>1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0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</v>
      </c>
    </row>
    <row r="119" spans="1:52">
      <c r="A119" s="2">
        <v>118</v>
      </c>
      <c r="B119" s="2" t="s">
        <v>33</v>
      </c>
      <c r="C119" s="2" t="s">
        <v>33</v>
      </c>
      <c r="D119" s="2">
        <v>0</v>
      </c>
      <c r="E119" s="2">
        <v>0</v>
      </c>
      <c r="F119" s="2">
        <v>0</v>
      </c>
      <c r="G119" s="2">
        <v>1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</row>
    <row r="120" spans="1:52">
      <c r="A120" s="2">
        <v>119</v>
      </c>
      <c r="B120" s="2" t="s">
        <v>195</v>
      </c>
      <c r="C120" s="2" t="s">
        <v>195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1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0</v>
      </c>
    </row>
    <row r="121" spans="1:52">
      <c r="A121" s="2">
        <v>120</v>
      </c>
      <c r="B121" s="2" t="s">
        <v>178</v>
      </c>
      <c r="C121" s="2" t="s">
        <v>178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1</v>
      </c>
      <c r="AQ121" s="2">
        <v>0</v>
      </c>
      <c r="AR121" s="2">
        <v>0</v>
      </c>
      <c r="AS121" s="2">
        <v>0</v>
      </c>
      <c r="AT121" s="2">
        <v>0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0</v>
      </c>
    </row>
    <row r="122" spans="1:52">
      <c r="A122" s="2">
        <v>121</v>
      </c>
      <c r="B122" s="2" t="s">
        <v>42</v>
      </c>
      <c r="C122" s="2" t="s">
        <v>42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1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0</v>
      </c>
    </row>
    <row r="123" spans="1:52">
      <c r="A123" s="2">
        <v>122</v>
      </c>
      <c r="B123" s="2" t="s">
        <v>166</v>
      </c>
      <c r="C123" s="2" t="s">
        <v>166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1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</row>
    <row r="124" spans="1:52">
      <c r="A124" s="2">
        <v>123</v>
      </c>
      <c r="B124" s="2" t="s">
        <v>33</v>
      </c>
      <c r="C124" s="2" t="s">
        <v>33</v>
      </c>
      <c r="D124" s="2">
        <v>0</v>
      </c>
      <c r="E124" s="2">
        <v>0</v>
      </c>
      <c r="F124" s="2">
        <v>0</v>
      </c>
      <c r="G124" s="2">
        <v>1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  <c r="AP124" s="2">
        <v>0</v>
      </c>
      <c r="AQ124" s="2">
        <v>0</v>
      </c>
      <c r="AR124" s="2">
        <v>0</v>
      </c>
      <c r="AS124" s="2">
        <v>0</v>
      </c>
      <c r="AT124" s="2">
        <v>0</v>
      </c>
      <c r="AU124" s="2">
        <v>0</v>
      </c>
      <c r="AV124" s="2">
        <v>0</v>
      </c>
      <c r="AW124" s="2">
        <v>0</v>
      </c>
      <c r="AX124" s="2">
        <v>0</v>
      </c>
      <c r="AY124" s="2">
        <v>0</v>
      </c>
      <c r="AZ124" s="2">
        <v>0</v>
      </c>
    </row>
    <row r="125" spans="1:52">
      <c r="A125" s="2">
        <v>124</v>
      </c>
      <c r="B125" s="2" t="s">
        <v>33</v>
      </c>
      <c r="C125" s="2" t="s">
        <v>33</v>
      </c>
      <c r="D125" s="2">
        <v>0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  <c r="AP125" s="2">
        <v>0</v>
      </c>
      <c r="AQ125" s="2">
        <v>0</v>
      </c>
      <c r="AR125" s="2">
        <v>0</v>
      </c>
      <c r="AS125" s="2">
        <v>0</v>
      </c>
      <c r="AT125" s="2">
        <v>0</v>
      </c>
      <c r="AU125" s="2">
        <v>0</v>
      </c>
      <c r="AV125" s="2">
        <v>0</v>
      </c>
      <c r="AW125" s="2">
        <v>0</v>
      </c>
      <c r="AX125" s="2">
        <v>0</v>
      </c>
      <c r="AY125" s="2">
        <v>0</v>
      </c>
      <c r="AZ125" s="2">
        <v>0</v>
      </c>
    </row>
    <row r="126" spans="1:52">
      <c r="A126" s="2">
        <v>125</v>
      </c>
      <c r="B126" s="2" t="s">
        <v>33</v>
      </c>
      <c r="C126" s="2" t="s">
        <v>33</v>
      </c>
      <c r="D126" s="2">
        <v>0</v>
      </c>
      <c r="E126" s="2">
        <v>0</v>
      </c>
      <c r="F126" s="2">
        <v>0</v>
      </c>
      <c r="G126" s="2">
        <v>1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2">
        <v>0</v>
      </c>
      <c r="AP126" s="2">
        <v>0</v>
      </c>
      <c r="AQ126" s="2">
        <v>0</v>
      </c>
      <c r="AR126" s="2">
        <v>0</v>
      </c>
      <c r="AS126" s="2">
        <v>0</v>
      </c>
      <c r="AT126" s="2">
        <v>0</v>
      </c>
      <c r="AU126" s="2">
        <v>0</v>
      </c>
      <c r="AV126" s="2">
        <v>0</v>
      </c>
      <c r="AW126" s="2">
        <v>0</v>
      </c>
      <c r="AX126" s="2">
        <v>0</v>
      </c>
      <c r="AY126" s="2">
        <v>0</v>
      </c>
      <c r="AZ126" s="2">
        <v>0</v>
      </c>
    </row>
    <row r="127" spans="1:52">
      <c r="A127" s="2">
        <v>126</v>
      </c>
      <c r="B127" s="2" t="s">
        <v>81</v>
      </c>
      <c r="C127" s="2" t="s">
        <v>81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0.84899999999999998</v>
      </c>
      <c r="AN127" s="2">
        <v>0</v>
      </c>
      <c r="AO127" s="2">
        <v>0.151</v>
      </c>
      <c r="AP127" s="2">
        <v>0</v>
      </c>
      <c r="AQ127" s="2">
        <v>0</v>
      </c>
      <c r="AR127" s="2">
        <v>0</v>
      </c>
      <c r="AS127" s="2">
        <v>0</v>
      </c>
      <c r="AT127" s="2">
        <v>0</v>
      </c>
      <c r="AU127" s="2">
        <v>0</v>
      </c>
      <c r="AV127" s="2">
        <v>0</v>
      </c>
      <c r="AW127" s="2">
        <v>0</v>
      </c>
      <c r="AX127" s="2">
        <v>0</v>
      </c>
      <c r="AY127" s="2">
        <v>0</v>
      </c>
      <c r="AZ127" s="2">
        <v>0</v>
      </c>
    </row>
    <row r="128" spans="1:52">
      <c r="A128" s="2">
        <v>127</v>
      </c>
      <c r="B128" s="2" t="s">
        <v>79</v>
      </c>
      <c r="C128" s="2" t="s">
        <v>79</v>
      </c>
      <c r="D128" s="2">
        <v>0</v>
      </c>
      <c r="E128" s="2">
        <v>0</v>
      </c>
      <c r="F128" s="2">
        <v>0</v>
      </c>
      <c r="G128" s="2">
        <v>1E-3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0.17100000000000001</v>
      </c>
      <c r="AT128" s="2">
        <v>2E-3</v>
      </c>
      <c r="AU128" s="2">
        <v>0.82599999999999996</v>
      </c>
      <c r="AV128" s="2">
        <v>0</v>
      </c>
      <c r="AW128" s="2">
        <v>0</v>
      </c>
      <c r="AX128" s="2">
        <v>0</v>
      </c>
      <c r="AY128" s="2">
        <v>0</v>
      </c>
      <c r="AZ128" s="2">
        <v>0</v>
      </c>
    </row>
    <row r="129" spans="1:52">
      <c r="A129" s="2">
        <v>128</v>
      </c>
      <c r="B129" s="2" t="s">
        <v>42</v>
      </c>
      <c r="C129" s="2" t="s">
        <v>42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1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  <c r="AQ129" s="2">
        <v>0</v>
      </c>
      <c r="AR129" s="2">
        <v>0</v>
      </c>
      <c r="AS129" s="2">
        <v>0</v>
      </c>
      <c r="AT129" s="2">
        <v>0</v>
      </c>
      <c r="AU129" s="2">
        <v>0</v>
      </c>
      <c r="AV129" s="2">
        <v>0</v>
      </c>
      <c r="AW129" s="2">
        <v>0</v>
      </c>
      <c r="AX129" s="2">
        <v>0</v>
      </c>
      <c r="AY129" s="2">
        <v>0</v>
      </c>
      <c r="AZ129" s="2">
        <v>0</v>
      </c>
    </row>
    <row r="130" spans="1:52">
      <c r="A130" s="2">
        <v>129</v>
      </c>
      <c r="B130" s="2" t="s">
        <v>45</v>
      </c>
      <c r="C130" s="2" t="s">
        <v>45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1E-3</v>
      </c>
      <c r="W130" s="2">
        <v>0.98599999999999999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1.2999999999999999E-2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  <c r="AP130" s="2">
        <v>0</v>
      </c>
      <c r="AQ130" s="2">
        <v>0</v>
      </c>
      <c r="AR130" s="2">
        <v>0</v>
      </c>
      <c r="AS130" s="2">
        <v>0</v>
      </c>
      <c r="AT130" s="2">
        <v>0</v>
      </c>
      <c r="AU130" s="2">
        <v>0</v>
      </c>
      <c r="AV130" s="2">
        <v>0</v>
      </c>
      <c r="AW130" s="2">
        <v>0</v>
      </c>
      <c r="AX130" s="2">
        <v>0</v>
      </c>
      <c r="AY130" s="2">
        <v>0</v>
      </c>
      <c r="AZ130" s="2">
        <v>0</v>
      </c>
    </row>
    <row r="131" spans="1:52">
      <c r="A131" s="2">
        <v>130</v>
      </c>
      <c r="B131" s="2" t="s">
        <v>74</v>
      </c>
      <c r="C131" s="2" t="s">
        <v>74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3.2000000000000001E-2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2E-3</v>
      </c>
      <c r="AC131" s="2">
        <v>0</v>
      </c>
      <c r="AD131" s="2">
        <v>0</v>
      </c>
      <c r="AE131" s="2">
        <v>0</v>
      </c>
      <c r="AF131" s="2">
        <v>1E-3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0.254</v>
      </c>
      <c r="AN131" s="2">
        <v>5.1999999999999998E-2</v>
      </c>
      <c r="AO131" s="2">
        <v>0.65800000000000003</v>
      </c>
      <c r="AP131" s="2">
        <v>0</v>
      </c>
      <c r="AQ131" s="2">
        <v>0</v>
      </c>
      <c r="AR131" s="2">
        <v>0</v>
      </c>
      <c r="AS131" s="2">
        <v>0</v>
      </c>
      <c r="AT131" s="2">
        <v>0</v>
      </c>
      <c r="AU131" s="2">
        <v>1E-3</v>
      </c>
      <c r="AV131" s="2">
        <v>0</v>
      </c>
      <c r="AW131" s="2">
        <v>0</v>
      </c>
      <c r="AX131" s="2">
        <v>0</v>
      </c>
      <c r="AY131" s="2">
        <v>0</v>
      </c>
      <c r="AZ131" s="2">
        <v>0</v>
      </c>
    </row>
    <row r="132" spans="1:52">
      <c r="A132" s="2">
        <v>131</v>
      </c>
      <c r="B132" s="2" t="s">
        <v>54</v>
      </c>
      <c r="C132" s="2" t="s">
        <v>54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1.7999999999999999E-2</v>
      </c>
      <c r="Y132" s="2">
        <v>2.7E-2</v>
      </c>
      <c r="Z132" s="2">
        <v>0.36499999999999999</v>
      </c>
      <c r="AA132" s="2">
        <v>0.59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</row>
    <row r="133" spans="1:52">
      <c r="A133" s="2">
        <v>132</v>
      </c>
      <c r="B133" s="2" t="s">
        <v>45</v>
      </c>
      <c r="C133" s="2" t="s">
        <v>45</v>
      </c>
      <c r="D133" s="2">
        <v>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1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  <c r="AQ133" s="2">
        <v>0</v>
      </c>
      <c r="AR133" s="2">
        <v>0</v>
      </c>
      <c r="AS133" s="2">
        <v>0</v>
      </c>
      <c r="AT133" s="2">
        <v>0</v>
      </c>
      <c r="AU133" s="2">
        <v>0</v>
      </c>
      <c r="AV133" s="2">
        <v>0</v>
      </c>
      <c r="AW133" s="2">
        <v>0</v>
      </c>
      <c r="AX133" s="2">
        <v>0</v>
      </c>
      <c r="AY133" s="2">
        <v>0</v>
      </c>
      <c r="AZ133" s="2">
        <v>0</v>
      </c>
    </row>
    <row r="134" spans="1:52">
      <c r="A134" s="2">
        <v>133</v>
      </c>
      <c r="B134" s="2" t="s">
        <v>209</v>
      </c>
      <c r="C134" s="2" t="s">
        <v>209</v>
      </c>
      <c r="D134" s="2">
        <v>0</v>
      </c>
      <c r="E134" s="2">
        <v>0</v>
      </c>
      <c r="F134" s="2">
        <v>0</v>
      </c>
      <c r="G134" s="2">
        <v>0.18099999999999999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0</v>
      </c>
      <c r="AV134" s="2">
        <v>0</v>
      </c>
      <c r="AW134" s="2">
        <v>0</v>
      </c>
      <c r="AX134" s="2">
        <v>0</v>
      </c>
      <c r="AY134" s="2">
        <v>0.81899999999999995</v>
      </c>
      <c r="AZ134" s="2">
        <v>0</v>
      </c>
    </row>
    <row r="135" spans="1:52">
      <c r="A135" s="2">
        <v>134</v>
      </c>
      <c r="B135" s="2" t="s">
        <v>211</v>
      </c>
      <c r="C135" s="2" t="s">
        <v>211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1.7000000000000001E-2</v>
      </c>
      <c r="AG135" s="2">
        <v>0.85399999999999998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0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0.129</v>
      </c>
    </row>
    <row r="136" spans="1:52">
      <c r="A136" s="2">
        <v>135</v>
      </c>
      <c r="B136" s="2" t="s">
        <v>174</v>
      </c>
      <c r="C136" s="2" t="s">
        <v>174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1E-3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0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0.999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</row>
    <row r="137" spans="1:52">
      <c r="A137" s="2">
        <v>136</v>
      </c>
      <c r="B137" s="2" t="s">
        <v>33</v>
      </c>
      <c r="C137" s="2" t="s">
        <v>33</v>
      </c>
      <c r="D137" s="2">
        <v>0</v>
      </c>
      <c r="E137" s="2">
        <v>0</v>
      </c>
      <c r="F137" s="2">
        <v>0</v>
      </c>
      <c r="G137" s="2">
        <v>1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2">
        <v>0</v>
      </c>
      <c r="AP137" s="2">
        <v>0</v>
      </c>
      <c r="AQ137" s="2">
        <v>0</v>
      </c>
      <c r="AR137" s="2">
        <v>0</v>
      </c>
      <c r="AS137" s="2">
        <v>0</v>
      </c>
      <c r="AT137" s="2">
        <v>0</v>
      </c>
      <c r="AU137" s="2">
        <v>0</v>
      </c>
      <c r="AV137" s="2">
        <v>0</v>
      </c>
      <c r="AW137" s="2">
        <v>0</v>
      </c>
      <c r="AX137" s="2">
        <v>0</v>
      </c>
      <c r="AY137" s="2">
        <v>0</v>
      </c>
      <c r="AZ137" s="2">
        <v>0</v>
      </c>
    </row>
    <row r="138" spans="1:52">
      <c r="A138" s="2">
        <v>137</v>
      </c>
      <c r="B138" s="2" t="s">
        <v>79</v>
      </c>
      <c r="C138" s="2" t="s">
        <v>79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2">
        <v>0</v>
      </c>
      <c r="AP138" s="2">
        <v>0</v>
      </c>
      <c r="AQ138" s="2">
        <v>0</v>
      </c>
      <c r="AR138" s="2">
        <v>0</v>
      </c>
      <c r="AS138" s="2">
        <v>4.0000000000000001E-3</v>
      </c>
      <c r="AT138" s="2">
        <v>0</v>
      </c>
      <c r="AU138" s="2">
        <v>0.996</v>
      </c>
      <c r="AV138" s="2">
        <v>0</v>
      </c>
      <c r="AW138" s="2">
        <v>0</v>
      </c>
      <c r="AX138" s="2">
        <v>0</v>
      </c>
      <c r="AY138" s="2">
        <v>0</v>
      </c>
      <c r="AZ138" s="2">
        <v>0</v>
      </c>
    </row>
    <row r="139" spans="1:52">
      <c r="A139" s="2">
        <v>138</v>
      </c>
      <c r="B139" s="2" t="s">
        <v>33</v>
      </c>
      <c r="C139" s="2" t="s">
        <v>33</v>
      </c>
      <c r="D139" s="2">
        <v>0</v>
      </c>
      <c r="E139" s="2">
        <v>0</v>
      </c>
      <c r="F139" s="2">
        <v>0</v>
      </c>
      <c r="G139" s="2">
        <v>1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</row>
    <row r="140" spans="1:52">
      <c r="A140" s="2">
        <v>139</v>
      </c>
      <c r="B140" s="2" t="s">
        <v>49</v>
      </c>
      <c r="C140" s="2" t="s">
        <v>49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2.1000000000000001E-2</v>
      </c>
      <c r="Y140" s="2">
        <v>0.16700000000000001</v>
      </c>
      <c r="Z140" s="2">
        <v>0.80800000000000005</v>
      </c>
      <c r="AA140" s="2">
        <v>4.0000000000000001E-3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</row>
    <row r="141" spans="1:52">
      <c r="A141" s="2">
        <v>140</v>
      </c>
      <c r="B141" s="2" t="s">
        <v>29</v>
      </c>
      <c r="C141" s="2" t="s">
        <v>29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1</v>
      </c>
      <c r="AK141" s="2">
        <v>0</v>
      </c>
      <c r="AL141" s="2">
        <v>0</v>
      </c>
      <c r="AM141" s="2">
        <v>0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0</v>
      </c>
    </row>
    <row r="142" spans="1:52">
      <c r="A142" s="2">
        <v>141</v>
      </c>
      <c r="B142" s="2" t="s">
        <v>98</v>
      </c>
      <c r="C142" s="2" t="s">
        <v>98</v>
      </c>
      <c r="D142" s="2">
        <v>0</v>
      </c>
      <c r="E142" s="2">
        <v>0</v>
      </c>
      <c r="F142" s="2">
        <v>0</v>
      </c>
      <c r="G142" s="2">
        <v>0</v>
      </c>
      <c r="H142" s="2">
        <v>6.0000000000000001E-3</v>
      </c>
      <c r="I142" s="2">
        <v>0</v>
      </c>
      <c r="J142" s="2">
        <v>0.61399999999999999</v>
      </c>
      <c r="K142" s="2">
        <v>0.379</v>
      </c>
      <c r="L142" s="2">
        <v>0</v>
      </c>
      <c r="M142" s="2">
        <v>0</v>
      </c>
      <c r="N142" s="2">
        <v>1E-3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0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0</v>
      </c>
    </row>
    <row r="143" spans="1:52">
      <c r="A143" s="2">
        <v>142</v>
      </c>
      <c r="B143" s="2" t="s">
        <v>33</v>
      </c>
      <c r="C143" s="2" t="s">
        <v>33</v>
      </c>
      <c r="D143" s="2">
        <v>0</v>
      </c>
      <c r="E143" s="2">
        <v>0</v>
      </c>
      <c r="F143" s="2">
        <v>0</v>
      </c>
      <c r="G143" s="2">
        <v>1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0</v>
      </c>
      <c r="AO143" s="2">
        <v>0</v>
      </c>
      <c r="AP143" s="2">
        <v>0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0</v>
      </c>
    </row>
    <row r="144" spans="1:52">
      <c r="A144" s="2">
        <v>143</v>
      </c>
      <c r="B144" s="2" t="s">
        <v>118</v>
      </c>
      <c r="C144" s="2" t="s">
        <v>118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1E-3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0.873</v>
      </c>
      <c r="AG144" s="2">
        <v>4.8000000000000001E-2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0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7.8E-2</v>
      </c>
    </row>
    <row r="145" spans="1:52">
      <c r="A145" s="2">
        <v>144</v>
      </c>
      <c r="B145" s="2" t="s">
        <v>33</v>
      </c>
      <c r="C145" s="2" t="s">
        <v>33</v>
      </c>
      <c r="D145" s="2">
        <v>0</v>
      </c>
      <c r="E145" s="2">
        <v>0</v>
      </c>
      <c r="F145" s="2">
        <v>0</v>
      </c>
      <c r="G145" s="2">
        <v>1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2">
        <v>0</v>
      </c>
      <c r="AP145" s="2">
        <v>0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</v>
      </c>
    </row>
    <row r="146" spans="1:52">
      <c r="A146" s="2">
        <v>145</v>
      </c>
      <c r="B146" s="2" t="s">
        <v>33</v>
      </c>
      <c r="C146" s="2" t="s">
        <v>33</v>
      </c>
      <c r="D146" s="2">
        <v>0</v>
      </c>
      <c r="E146" s="2">
        <v>0</v>
      </c>
      <c r="F146" s="2">
        <v>0</v>
      </c>
      <c r="G146" s="2">
        <v>0.99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0.01</v>
      </c>
      <c r="AZ146" s="2">
        <v>0</v>
      </c>
    </row>
    <row r="147" spans="1:52">
      <c r="A147" s="2">
        <v>146</v>
      </c>
      <c r="B147" s="2" t="s">
        <v>86</v>
      </c>
      <c r="C147" s="2" t="s">
        <v>86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0.92700000000000005</v>
      </c>
      <c r="Z147" s="2">
        <v>5.2999999999999999E-2</v>
      </c>
      <c r="AA147" s="2">
        <v>0.02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2">
        <v>0</v>
      </c>
      <c r="AP147" s="2">
        <v>0</v>
      </c>
      <c r="AQ147" s="2">
        <v>0</v>
      </c>
      <c r="AR147" s="2">
        <v>0</v>
      </c>
      <c r="AS147" s="2">
        <v>0</v>
      </c>
      <c r="AT147" s="2">
        <v>0</v>
      </c>
      <c r="AU147" s="2">
        <v>0</v>
      </c>
      <c r="AV147" s="2">
        <v>0</v>
      </c>
      <c r="AW147" s="2">
        <v>0</v>
      </c>
      <c r="AX147" s="2">
        <v>0</v>
      </c>
      <c r="AY147" s="2">
        <v>0</v>
      </c>
      <c r="AZ147" s="2">
        <v>0</v>
      </c>
    </row>
    <row r="148" spans="1:52">
      <c r="A148" s="2">
        <v>147</v>
      </c>
      <c r="B148" s="2" t="s">
        <v>42</v>
      </c>
      <c r="C148" s="2" t="s">
        <v>42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1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0</v>
      </c>
      <c r="AP148" s="2">
        <v>0</v>
      </c>
      <c r="AQ148" s="2">
        <v>0</v>
      </c>
      <c r="AR148" s="2">
        <v>0</v>
      </c>
      <c r="AS148" s="2">
        <v>0</v>
      </c>
      <c r="AT148" s="2">
        <v>0</v>
      </c>
      <c r="AU148" s="2">
        <v>0</v>
      </c>
      <c r="AV148" s="2">
        <v>0</v>
      </c>
      <c r="AW148" s="2">
        <v>0</v>
      </c>
      <c r="AX148" s="2">
        <v>0</v>
      </c>
      <c r="AY148" s="2">
        <v>0</v>
      </c>
      <c r="AZ148" s="2">
        <v>0</v>
      </c>
    </row>
    <row r="149" spans="1:52">
      <c r="A149" s="2">
        <v>148</v>
      </c>
      <c r="B149" s="2" t="s">
        <v>226</v>
      </c>
      <c r="C149" s="2" t="s">
        <v>226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1E-3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2E-3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2">
        <v>0</v>
      </c>
      <c r="AP149" s="2">
        <v>1E-3</v>
      </c>
      <c r="AQ149" s="2">
        <v>0</v>
      </c>
      <c r="AR149" s="2">
        <v>0</v>
      </c>
      <c r="AS149" s="2">
        <v>0</v>
      </c>
      <c r="AT149" s="2">
        <v>0</v>
      </c>
      <c r="AU149" s="2">
        <v>0</v>
      </c>
      <c r="AV149" s="2">
        <v>0</v>
      </c>
      <c r="AW149" s="2">
        <v>0</v>
      </c>
      <c r="AX149" s="2">
        <v>0.996</v>
      </c>
      <c r="AY149" s="2">
        <v>0</v>
      </c>
      <c r="AZ149" s="2">
        <v>0</v>
      </c>
    </row>
    <row r="150" spans="1:52">
      <c r="A150" s="2">
        <v>149</v>
      </c>
      <c r="B150" s="2" t="s">
        <v>42</v>
      </c>
      <c r="C150" s="2" t="s">
        <v>42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1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0</v>
      </c>
      <c r="AP150" s="2">
        <v>0</v>
      </c>
      <c r="AQ150" s="2">
        <v>0</v>
      </c>
      <c r="AR150" s="2">
        <v>0</v>
      </c>
      <c r="AS150" s="2">
        <v>0</v>
      </c>
      <c r="AT150" s="2">
        <v>0</v>
      </c>
      <c r="AU150" s="2">
        <v>0</v>
      </c>
      <c r="AV150" s="2">
        <v>0</v>
      </c>
      <c r="AW150" s="2">
        <v>0</v>
      </c>
      <c r="AX150" s="2">
        <v>0</v>
      </c>
      <c r="AY150" s="2">
        <v>0</v>
      </c>
      <c r="AZ150" s="2">
        <v>0</v>
      </c>
    </row>
    <row r="151" spans="1:52">
      <c r="A151" s="2">
        <v>150</v>
      </c>
      <c r="B151" s="2" t="s">
        <v>59</v>
      </c>
      <c r="C151" s="2" t="s">
        <v>59</v>
      </c>
      <c r="D151" s="2">
        <v>0</v>
      </c>
      <c r="E151" s="2">
        <v>1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  <c r="AQ151" s="2">
        <v>0</v>
      </c>
      <c r="AR151" s="2">
        <v>0</v>
      </c>
      <c r="AS151" s="2">
        <v>0</v>
      </c>
      <c r="AT151" s="2">
        <v>0</v>
      </c>
      <c r="AU151" s="2">
        <v>0</v>
      </c>
      <c r="AV151" s="2">
        <v>0</v>
      </c>
      <c r="AW151" s="2">
        <v>0</v>
      </c>
      <c r="AX151" s="2">
        <v>0</v>
      </c>
      <c r="AY151" s="2">
        <v>0</v>
      </c>
      <c r="AZ151" s="2">
        <v>0</v>
      </c>
    </row>
    <row r="152" spans="1:52">
      <c r="A152" s="2">
        <v>151</v>
      </c>
      <c r="B152" s="2" t="s">
        <v>29</v>
      </c>
      <c r="C152" s="2" t="s">
        <v>29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1E-3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0.999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  <c r="AQ152" s="2">
        <v>0</v>
      </c>
      <c r="AR152" s="2">
        <v>0</v>
      </c>
      <c r="AS152" s="2">
        <v>0</v>
      </c>
      <c r="AT152" s="2">
        <v>0</v>
      </c>
      <c r="AU152" s="2">
        <v>0</v>
      </c>
      <c r="AV152" s="2">
        <v>0</v>
      </c>
      <c r="AW152" s="2">
        <v>0</v>
      </c>
      <c r="AX152" s="2">
        <v>0</v>
      </c>
      <c r="AY152" s="2">
        <v>0</v>
      </c>
      <c r="AZ152" s="2">
        <v>0</v>
      </c>
    </row>
    <row r="153" spans="1:52">
      <c r="A153" s="2">
        <v>152</v>
      </c>
      <c r="B153" s="2" t="s">
        <v>42</v>
      </c>
      <c r="C153" s="2" t="s">
        <v>42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1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2">
        <v>0</v>
      </c>
      <c r="AP153" s="2">
        <v>0</v>
      </c>
      <c r="AQ153" s="2">
        <v>0</v>
      </c>
      <c r="AR153" s="2">
        <v>0</v>
      </c>
      <c r="AS153" s="2">
        <v>0</v>
      </c>
      <c r="AT153" s="2">
        <v>0</v>
      </c>
      <c r="AU153" s="2">
        <v>0</v>
      </c>
      <c r="AV153" s="2">
        <v>0</v>
      </c>
      <c r="AW153" s="2">
        <v>0</v>
      </c>
      <c r="AX153" s="2">
        <v>0</v>
      </c>
      <c r="AY153" s="2">
        <v>0</v>
      </c>
      <c r="AZ153" s="2">
        <v>0</v>
      </c>
    </row>
    <row r="154" spans="1:52">
      <c r="A154" s="2">
        <v>153</v>
      </c>
      <c r="B154" s="2" t="s">
        <v>42</v>
      </c>
      <c r="C154" s="2" t="s">
        <v>42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1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2">
        <v>0</v>
      </c>
      <c r="AN154" s="2">
        <v>0</v>
      </c>
      <c r="AO154" s="2">
        <v>0</v>
      </c>
      <c r="AP154" s="2">
        <v>0</v>
      </c>
      <c r="AQ154" s="2">
        <v>0</v>
      </c>
      <c r="AR154" s="2">
        <v>0</v>
      </c>
      <c r="AS154" s="2">
        <v>0</v>
      </c>
      <c r="AT154" s="2">
        <v>0</v>
      </c>
      <c r="AU154" s="2">
        <v>0</v>
      </c>
      <c r="AV154" s="2">
        <v>0</v>
      </c>
      <c r="AW154" s="2">
        <v>0</v>
      </c>
      <c r="AX154" s="2">
        <v>0</v>
      </c>
      <c r="AY154" s="2">
        <v>0</v>
      </c>
      <c r="AZ154" s="2">
        <v>0</v>
      </c>
    </row>
    <row r="155" spans="1:52">
      <c r="A155" s="2">
        <v>154</v>
      </c>
      <c r="B155" s="2" t="s">
        <v>33</v>
      </c>
      <c r="C155" s="2" t="s">
        <v>33</v>
      </c>
      <c r="D155" s="2">
        <v>0</v>
      </c>
      <c r="E155" s="2">
        <v>0</v>
      </c>
      <c r="F155" s="2">
        <v>0</v>
      </c>
      <c r="G155" s="2">
        <v>1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  <c r="AQ155" s="2">
        <v>0</v>
      </c>
      <c r="AR155" s="2">
        <v>0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0</v>
      </c>
    </row>
    <row r="156" spans="1:52">
      <c r="A156" s="2">
        <v>155</v>
      </c>
      <c r="B156" s="2" t="s">
        <v>86</v>
      </c>
      <c r="C156" s="2" t="s">
        <v>86</v>
      </c>
      <c r="D156" s="2">
        <v>0</v>
      </c>
      <c r="E156" s="2">
        <v>0</v>
      </c>
      <c r="F156" s="2">
        <v>1E-3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7.0000000000000001E-3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1E-3</v>
      </c>
      <c r="V156" s="2">
        <v>0</v>
      </c>
      <c r="W156" s="2">
        <v>0.03</v>
      </c>
      <c r="X156" s="2">
        <v>3.5000000000000003E-2</v>
      </c>
      <c r="Y156" s="2">
        <v>0.74099999999999999</v>
      </c>
      <c r="Z156" s="2">
        <v>0.18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2E-3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  <c r="AQ156" s="2">
        <v>2E-3</v>
      </c>
      <c r="AR156" s="2">
        <v>0</v>
      </c>
      <c r="AS156" s="2">
        <v>1E-3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</row>
    <row r="157" spans="1:52">
      <c r="A157" s="2">
        <v>156</v>
      </c>
      <c r="B157" s="2" t="s">
        <v>42</v>
      </c>
      <c r="C157" s="2" t="s">
        <v>42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1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</row>
    <row r="158" spans="1:52">
      <c r="A158" s="2">
        <v>157</v>
      </c>
      <c r="B158" s="2" t="s">
        <v>42</v>
      </c>
      <c r="C158" s="2" t="s">
        <v>42</v>
      </c>
      <c r="D158" s="2">
        <v>2.1000000000000001E-2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0.97799999999999998</v>
      </c>
      <c r="P158" s="2">
        <v>1E-3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</row>
    <row r="159" spans="1:52">
      <c r="A159" s="2">
        <v>158</v>
      </c>
      <c r="B159" s="2" t="s">
        <v>42</v>
      </c>
      <c r="C159" s="2" t="s">
        <v>42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0.99099999999999999</v>
      </c>
      <c r="P159" s="2">
        <v>8.9999999999999993E-3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  <c r="AQ159" s="2">
        <v>0</v>
      </c>
      <c r="AR159" s="2">
        <v>0</v>
      </c>
      <c r="AS159" s="2">
        <v>0</v>
      </c>
      <c r="AT159" s="2">
        <v>0</v>
      </c>
      <c r="AU159" s="2">
        <v>0</v>
      </c>
      <c r="AV159" s="2">
        <v>0</v>
      </c>
      <c r="AW159" s="2">
        <v>0</v>
      </c>
      <c r="AX159" s="2">
        <v>0</v>
      </c>
      <c r="AY159" s="2">
        <v>0</v>
      </c>
      <c r="AZ159" s="2">
        <v>0</v>
      </c>
    </row>
    <row r="160" spans="1:52">
      <c r="A160" s="2">
        <v>159</v>
      </c>
      <c r="B160" s="2" t="s">
        <v>79</v>
      </c>
      <c r="C160" s="2" t="s">
        <v>79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9.6000000000000002E-2</v>
      </c>
      <c r="AT160" s="2">
        <v>0</v>
      </c>
      <c r="AU160" s="2">
        <v>0.90400000000000003</v>
      </c>
      <c r="AV160" s="2">
        <v>0</v>
      </c>
      <c r="AW160" s="2">
        <v>0</v>
      </c>
      <c r="AX160" s="2">
        <v>0</v>
      </c>
      <c r="AY160" s="2">
        <v>0</v>
      </c>
      <c r="AZ160" s="2">
        <v>0</v>
      </c>
    </row>
    <row r="161" spans="1:52">
      <c r="A161" s="2">
        <v>160</v>
      </c>
      <c r="B161" s="2" t="s">
        <v>33</v>
      </c>
      <c r="C161" s="2" t="s">
        <v>33</v>
      </c>
      <c r="D161" s="2">
        <v>0</v>
      </c>
      <c r="E161" s="2">
        <v>0</v>
      </c>
      <c r="F161" s="2">
        <v>0</v>
      </c>
      <c r="G161" s="2">
        <v>1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</row>
    <row r="162" spans="1:52">
      <c r="A162" s="2">
        <v>161</v>
      </c>
      <c r="B162" s="2" t="s">
        <v>42</v>
      </c>
      <c r="C162" s="2" t="s">
        <v>42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1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</row>
    <row r="163" spans="1:52">
      <c r="A163" s="2">
        <v>162</v>
      </c>
      <c r="B163" s="2" t="s">
        <v>45</v>
      </c>
      <c r="C163" s="2" t="s">
        <v>45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0.30399999999999999</v>
      </c>
      <c r="V163" s="2">
        <v>1E-3</v>
      </c>
      <c r="W163" s="2">
        <v>0.69499999999999995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0</v>
      </c>
      <c r="AT163" s="2">
        <v>0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0</v>
      </c>
    </row>
    <row r="164" spans="1:52">
      <c r="A164" s="2">
        <v>163</v>
      </c>
      <c r="B164" s="2" t="s">
        <v>102</v>
      </c>
      <c r="C164" s="2" t="s">
        <v>102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4.9000000000000002E-2</v>
      </c>
      <c r="AG164" s="2">
        <v>3.5999999999999997E-2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0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0.91500000000000004</v>
      </c>
    </row>
    <row r="165" spans="1:52">
      <c r="A165" s="2">
        <v>164</v>
      </c>
      <c r="B165" s="2" t="s">
        <v>74</v>
      </c>
      <c r="C165" s="2" t="s">
        <v>74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0.17899999999999999</v>
      </c>
      <c r="AN165" s="2">
        <v>6.0999999999999999E-2</v>
      </c>
      <c r="AO165" s="2">
        <v>0.75900000000000001</v>
      </c>
      <c r="AP165" s="2">
        <v>0</v>
      </c>
      <c r="AQ165" s="2">
        <v>0</v>
      </c>
      <c r="AR165" s="2">
        <v>0</v>
      </c>
      <c r="AS165" s="2">
        <v>0</v>
      </c>
      <c r="AT165" s="2">
        <v>0</v>
      </c>
      <c r="AU165" s="2">
        <v>1E-3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</row>
    <row r="166" spans="1:52">
      <c r="A166" s="2">
        <v>165</v>
      </c>
      <c r="B166" s="2" t="s">
        <v>108</v>
      </c>
      <c r="C166" s="2" t="s">
        <v>108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0.999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1E-3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0</v>
      </c>
      <c r="AS166" s="2">
        <v>0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</row>
    <row r="167" spans="1:52">
      <c r="A167" s="2">
        <v>166</v>
      </c>
      <c r="B167" s="2" t="s">
        <v>22</v>
      </c>
      <c r="C167" s="2" t="s">
        <v>22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0.29599999999999999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0.70399999999999996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0</v>
      </c>
    </row>
    <row r="168" spans="1:52">
      <c r="A168" s="2">
        <v>167</v>
      </c>
      <c r="B168" s="2" t="s">
        <v>49</v>
      </c>
      <c r="C168" s="2" t="s">
        <v>49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0.13400000000000001</v>
      </c>
      <c r="Y168" s="2">
        <v>6.0000000000000001E-3</v>
      </c>
      <c r="Z168" s="2">
        <v>0.86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</row>
    <row r="169" spans="1:52">
      <c r="A169" s="2">
        <v>168</v>
      </c>
      <c r="B169" s="2" t="s">
        <v>33</v>
      </c>
      <c r="C169" s="2" t="s">
        <v>33</v>
      </c>
      <c r="D169" s="2">
        <v>0</v>
      </c>
      <c r="E169" s="2">
        <v>0</v>
      </c>
      <c r="F169" s="2">
        <v>0</v>
      </c>
      <c r="G169" s="2">
        <v>1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0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0</v>
      </c>
    </row>
    <row r="170" spans="1:52">
      <c r="A170" s="2">
        <v>169</v>
      </c>
      <c r="B170" s="2" t="s">
        <v>33</v>
      </c>
      <c r="C170" s="2" t="s">
        <v>33</v>
      </c>
      <c r="D170" s="2">
        <v>0</v>
      </c>
      <c r="E170" s="2">
        <v>0</v>
      </c>
      <c r="F170" s="2">
        <v>0</v>
      </c>
      <c r="G170" s="2">
        <v>1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0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</row>
    <row r="171" spans="1:52">
      <c r="A171" s="2">
        <v>170</v>
      </c>
      <c r="B171" s="2" t="s">
        <v>45</v>
      </c>
      <c r="C171" s="2" t="s">
        <v>45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0.93100000000000005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6.9000000000000006E-2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</row>
    <row r="172" spans="1:52">
      <c r="A172" s="2">
        <v>171</v>
      </c>
      <c r="B172" s="2" t="s">
        <v>49</v>
      </c>
      <c r="C172" s="2" t="s">
        <v>49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0.19900000000000001</v>
      </c>
      <c r="Y172" s="2">
        <v>2E-3</v>
      </c>
      <c r="Z172" s="2">
        <v>0.79600000000000004</v>
      </c>
      <c r="AA172" s="2">
        <v>3.0000000000000001E-3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</row>
    <row r="173" spans="1:52">
      <c r="A173" s="2">
        <v>172</v>
      </c>
      <c r="B173" s="2" t="s">
        <v>49</v>
      </c>
      <c r="C173" s="2" t="s">
        <v>49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1E-3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2.7E-2</v>
      </c>
      <c r="Y173" s="2">
        <v>5.0000000000000001E-3</v>
      </c>
      <c r="Z173" s="2">
        <v>0.80700000000000005</v>
      </c>
      <c r="AA173" s="2">
        <v>0.16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</row>
    <row r="174" spans="1:52">
      <c r="A174" s="2">
        <v>173</v>
      </c>
      <c r="B174" s="2" t="s">
        <v>29</v>
      </c>
      <c r="C174" s="2" t="s">
        <v>29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1</v>
      </c>
      <c r="AK174" s="2">
        <v>0</v>
      </c>
      <c r="AL174" s="2">
        <v>0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</row>
    <row r="175" spans="1:52">
      <c r="A175" s="2">
        <v>174</v>
      </c>
      <c r="B175" s="2" t="s">
        <v>86</v>
      </c>
      <c r="C175" s="2" t="s">
        <v>86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0.88700000000000001</v>
      </c>
      <c r="Z175" s="2">
        <v>1.7999999999999999E-2</v>
      </c>
      <c r="AA175" s="2">
        <v>9.5000000000000001E-2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2">
        <v>0</v>
      </c>
      <c r="AX175" s="2">
        <v>0</v>
      </c>
      <c r="AY175" s="2">
        <v>0</v>
      </c>
      <c r="AZ175" s="2">
        <v>0</v>
      </c>
    </row>
    <row r="176" spans="1:52">
      <c r="A176" s="2">
        <v>175</v>
      </c>
      <c r="B176" s="2" t="s">
        <v>249</v>
      </c>
      <c r="C176" s="2" t="s">
        <v>249</v>
      </c>
      <c r="D176" s="2">
        <v>0.69699999999999995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0.19600000000000001</v>
      </c>
      <c r="P176" s="2">
        <v>0.107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</row>
    <row r="177" spans="1:52">
      <c r="A177" s="2">
        <v>176</v>
      </c>
      <c r="B177" s="2" t="s">
        <v>45</v>
      </c>
      <c r="C177" s="2" t="s">
        <v>45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0.999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1E-3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  <c r="AQ177" s="2">
        <v>0</v>
      </c>
      <c r="AR177" s="2">
        <v>0</v>
      </c>
      <c r="AS177" s="2">
        <v>0</v>
      </c>
      <c r="AT177" s="2">
        <v>0</v>
      </c>
      <c r="AU177" s="2">
        <v>0</v>
      </c>
      <c r="AV177" s="2">
        <v>0</v>
      </c>
      <c r="AW177" s="2">
        <v>0</v>
      </c>
      <c r="AX177" s="2">
        <v>0</v>
      </c>
      <c r="AY177" s="2">
        <v>0</v>
      </c>
      <c r="AZ177" s="2">
        <v>0</v>
      </c>
    </row>
    <row r="178" spans="1:52">
      <c r="A178" s="2">
        <v>177</v>
      </c>
      <c r="B178" s="2" t="s">
        <v>42</v>
      </c>
      <c r="C178" s="2" t="s">
        <v>42</v>
      </c>
      <c r="D178" s="2">
        <v>1.7999999999999999E-2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0.97799999999999998</v>
      </c>
      <c r="P178" s="2">
        <v>4.0000000000000001E-3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</v>
      </c>
      <c r="AV178" s="2">
        <v>0</v>
      </c>
      <c r="AW178" s="2">
        <v>0</v>
      </c>
      <c r="AX178" s="2">
        <v>0</v>
      </c>
      <c r="AY178" s="2">
        <v>0</v>
      </c>
      <c r="AZ178" s="2">
        <v>0</v>
      </c>
    </row>
    <row r="179" spans="1:52">
      <c r="A179" s="2">
        <v>178</v>
      </c>
      <c r="B179" s="2" t="s">
        <v>33</v>
      </c>
      <c r="C179" s="2" t="s">
        <v>33</v>
      </c>
      <c r="D179" s="2">
        <v>0</v>
      </c>
      <c r="E179" s="2">
        <v>0</v>
      </c>
      <c r="F179" s="2">
        <v>0</v>
      </c>
      <c r="G179" s="2">
        <v>1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</row>
    <row r="180" spans="1:52">
      <c r="A180" s="2">
        <v>179</v>
      </c>
      <c r="B180" s="2" t="s">
        <v>86</v>
      </c>
      <c r="C180" s="2" t="s">
        <v>86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2">
        <v>0.85699999999999998</v>
      </c>
      <c r="Z180" s="2">
        <v>0.14299999999999999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0</v>
      </c>
      <c r="AT180" s="2">
        <v>0</v>
      </c>
      <c r="AU180" s="2">
        <v>0</v>
      </c>
      <c r="AV180" s="2">
        <v>0</v>
      </c>
      <c r="AW180" s="2">
        <v>0</v>
      </c>
      <c r="AX180" s="2">
        <v>0</v>
      </c>
      <c r="AY180" s="2">
        <v>0</v>
      </c>
      <c r="AZ180" s="2">
        <v>0</v>
      </c>
    </row>
    <row r="181" spans="1:52">
      <c r="A181" s="2">
        <v>180</v>
      </c>
      <c r="B181" s="2" t="s">
        <v>25</v>
      </c>
      <c r="C181" s="2" t="s">
        <v>25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0.82499999999999996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0.17499999999999999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0</v>
      </c>
      <c r="AT181" s="2">
        <v>0</v>
      </c>
      <c r="AU181" s="2">
        <v>0</v>
      </c>
      <c r="AV181" s="2">
        <v>0</v>
      </c>
      <c r="AW181" s="2">
        <v>0</v>
      </c>
      <c r="AX181" s="2">
        <v>0</v>
      </c>
      <c r="AY181" s="2">
        <v>0</v>
      </c>
      <c r="AZ181" s="2">
        <v>0</v>
      </c>
    </row>
    <row r="182" spans="1:52">
      <c r="A182" s="2">
        <v>181</v>
      </c>
      <c r="B182" s="2" t="s">
        <v>42</v>
      </c>
      <c r="C182" s="2" t="s">
        <v>42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1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0</v>
      </c>
      <c r="AT182" s="2">
        <v>0</v>
      </c>
      <c r="AU182" s="2">
        <v>0</v>
      </c>
      <c r="AV182" s="2">
        <v>0</v>
      </c>
      <c r="AW182" s="2">
        <v>0</v>
      </c>
      <c r="AX182" s="2">
        <v>0</v>
      </c>
      <c r="AY182" s="2">
        <v>0</v>
      </c>
      <c r="AZ182" s="2">
        <v>0</v>
      </c>
    </row>
    <row r="183" spans="1:52">
      <c r="A183" s="2">
        <v>182</v>
      </c>
      <c r="B183" s="2" t="s">
        <v>86</v>
      </c>
      <c r="C183" s="2" t="s">
        <v>86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0.95799999999999996</v>
      </c>
      <c r="Z183" s="2">
        <v>4.2000000000000003E-2</v>
      </c>
      <c r="AA183" s="2">
        <v>0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0</v>
      </c>
      <c r="AT183" s="2">
        <v>0</v>
      </c>
      <c r="AU183" s="2">
        <v>0</v>
      </c>
      <c r="AV183" s="2">
        <v>0</v>
      </c>
      <c r="AW183" s="2">
        <v>0</v>
      </c>
      <c r="AX183" s="2">
        <v>0</v>
      </c>
      <c r="AY183" s="2">
        <v>0</v>
      </c>
      <c r="AZ183" s="2">
        <v>0</v>
      </c>
    </row>
    <row r="184" spans="1:52">
      <c r="A184" s="2">
        <v>183</v>
      </c>
      <c r="B184" s="2" t="s">
        <v>74</v>
      </c>
      <c r="C184" s="2" t="s">
        <v>74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1.4999999999999999E-2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5.2999999999999999E-2</v>
      </c>
      <c r="AN184" s="2">
        <v>0</v>
      </c>
      <c r="AO184" s="2">
        <v>0.93200000000000005</v>
      </c>
      <c r="AP184" s="2">
        <v>0</v>
      </c>
      <c r="AQ184" s="2">
        <v>0</v>
      </c>
      <c r="AR184" s="2">
        <v>0</v>
      </c>
      <c r="AS184" s="2">
        <v>0</v>
      </c>
      <c r="AT184" s="2">
        <v>0</v>
      </c>
      <c r="AU184" s="2">
        <v>0</v>
      </c>
      <c r="AV184" s="2">
        <v>0</v>
      </c>
      <c r="AW184" s="2">
        <v>0</v>
      </c>
      <c r="AX184" s="2">
        <v>0</v>
      </c>
      <c r="AY184" s="2">
        <v>0</v>
      </c>
      <c r="AZ184" s="2">
        <v>0</v>
      </c>
    </row>
    <row r="185" spans="1:52">
      <c r="A185" s="2">
        <v>184</v>
      </c>
      <c r="B185" s="2" t="s">
        <v>54</v>
      </c>
      <c r="C185" s="2" t="s">
        <v>54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7.8E-2</v>
      </c>
      <c r="Z185" s="2">
        <v>5.5E-2</v>
      </c>
      <c r="AA185" s="2">
        <v>0.86699999999999999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0</v>
      </c>
      <c r="AY185" s="2">
        <v>0</v>
      </c>
      <c r="AZ185" s="2">
        <v>0</v>
      </c>
    </row>
    <row r="186" spans="1:52">
      <c r="A186" s="2">
        <v>185</v>
      </c>
      <c r="B186" s="2" t="s">
        <v>45</v>
      </c>
      <c r="C186" s="2" t="s">
        <v>45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1E-3</v>
      </c>
      <c r="W186" s="2">
        <v>0.999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0</v>
      </c>
      <c r="AY186" s="2">
        <v>0</v>
      </c>
      <c r="AZ186" s="2">
        <v>0</v>
      </c>
    </row>
    <row r="187" spans="1:52">
      <c r="A187" s="2">
        <v>186</v>
      </c>
      <c r="B187" s="2" t="s">
        <v>42</v>
      </c>
      <c r="C187" s="2" t="s">
        <v>42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1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  <c r="AQ187" s="2">
        <v>0</v>
      </c>
      <c r="AR187" s="2">
        <v>0</v>
      </c>
      <c r="AS187" s="2">
        <v>0</v>
      </c>
      <c r="AT187" s="2">
        <v>0</v>
      </c>
      <c r="AU187" s="2">
        <v>0</v>
      </c>
      <c r="AV187" s="2">
        <v>0</v>
      </c>
      <c r="AW187" s="2">
        <v>0</v>
      </c>
      <c r="AX187" s="2">
        <v>0</v>
      </c>
      <c r="AY187" s="2">
        <v>0</v>
      </c>
      <c r="AZ187" s="2">
        <v>0</v>
      </c>
    </row>
    <row r="188" spans="1:52">
      <c r="A188" s="2">
        <v>187</v>
      </c>
      <c r="B188" s="2" t="s">
        <v>74</v>
      </c>
      <c r="C188" s="2" t="s">
        <v>74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1.9E-2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0.187</v>
      </c>
      <c r="AN188" s="2">
        <v>0</v>
      </c>
      <c r="AO188" s="2">
        <v>0.79400000000000004</v>
      </c>
      <c r="AP188" s="2">
        <v>0</v>
      </c>
      <c r="AQ188" s="2">
        <v>0</v>
      </c>
      <c r="AR188" s="2">
        <v>0</v>
      </c>
      <c r="AS188" s="2">
        <v>0</v>
      </c>
      <c r="AT188" s="2">
        <v>0</v>
      </c>
      <c r="AU188" s="2">
        <v>0</v>
      </c>
      <c r="AV188" s="2">
        <v>0</v>
      </c>
      <c r="AW188" s="2">
        <v>0</v>
      </c>
      <c r="AX188" s="2">
        <v>0</v>
      </c>
      <c r="AY188" s="2">
        <v>0</v>
      </c>
      <c r="AZ188" s="2">
        <v>0</v>
      </c>
    </row>
    <row r="189" spans="1:52">
      <c r="A189" s="2">
        <v>188</v>
      </c>
      <c r="B189" s="2" t="s">
        <v>79</v>
      </c>
      <c r="C189" s="2" t="s">
        <v>79</v>
      </c>
      <c r="D189" s="2">
        <v>0</v>
      </c>
      <c r="E189" s="2">
        <v>0</v>
      </c>
      <c r="F189" s="2">
        <v>0</v>
      </c>
      <c r="G189" s="2">
        <v>1E-3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  <c r="AQ189" s="2">
        <v>0</v>
      </c>
      <c r="AR189" s="2">
        <v>0</v>
      </c>
      <c r="AS189" s="2">
        <v>0.222</v>
      </c>
      <c r="AT189" s="2">
        <v>0</v>
      </c>
      <c r="AU189" s="2">
        <v>0.77700000000000002</v>
      </c>
      <c r="AV189" s="2">
        <v>0</v>
      </c>
      <c r="AW189" s="2">
        <v>0</v>
      </c>
      <c r="AX189" s="2">
        <v>0</v>
      </c>
      <c r="AY189" s="2">
        <v>0</v>
      </c>
      <c r="AZ189" s="2">
        <v>0</v>
      </c>
    </row>
    <row r="190" spans="1:52">
      <c r="A190" s="2">
        <v>189</v>
      </c>
      <c r="B190" s="2" t="s">
        <v>42</v>
      </c>
      <c r="C190" s="2" t="s">
        <v>42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1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0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0</v>
      </c>
      <c r="AZ190" s="2">
        <v>0</v>
      </c>
    </row>
    <row r="191" spans="1:52">
      <c r="A191" s="2">
        <v>190</v>
      </c>
      <c r="B191" s="2" t="s">
        <v>42</v>
      </c>
      <c r="C191" s="2" t="s">
        <v>42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1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  <c r="AQ191" s="2">
        <v>0</v>
      </c>
      <c r="AR191" s="2">
        <v>0</v>
      </c>
      <c r="AS191" s="2">
        <v>0</v>
      </c>
      <c r="AT191" s="2">
        <v>0</v>
      </c>
      <c r="AU191" s="2">
        <v>0</v>
      </c>
      <c r="AV191" s="2">
        <v>0</v>
      </c>
      <c r="AW191" s="2">
        <v>0</v>
      </c>
      <c r="AX191" s="2">
        <v>0</v>
      </c>
      <c r="AY191" s="2">
        <v>0</v>
      </c>
      <c r="AZ191" s="2">
        <v>0</v>
      </c>
    </row>
    <row r="192" spans="1:52">
      <c r="A192" s="2">
        <v>191</v>
      </c>
      <c r="B192" s="2" t="s">
        <v>266</v>
      </c>
      <c r="C192" s="2" t="s">
        <v>266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0.19500000000000001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2.1999999999999999E-2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0.78300000000000003</v>
      </c>
      <c r="AM192" s="2">
        <v>0</v>
      </c>
      <c r="AN192" s="2">
        <v>0</v>
      </c>
      <c r="AO192" s="2">
        <v>0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0</v>
      </c>
      <c r="AX192" s="2">
        <v>0</v>
      </c>
      <c r="AY192" s="2">
        <v>0</v>
      </c>
      <c r="AZ192" s="2">
        <v>0</v>
      </c>
    </row>
    <row r="193" spans="1:52">
      <c r="A193" s="2">
        <v>192</v>
      </c>
      <c r="B193" s="2" t="s">
        <v>45</v>
      </c>
      <c r="C193" s="2" t="s">
        <v>45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1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  <c r="AQ193" s="2">
        <v>0</v>
      </c>
      <c r="AR193" s="2">
        <v>0</v>
      </c>
      <c r="AS193" s="2">
        <v>0</v>
      </c>
      <c r="AT193" s="2">
        <v>0</v>
      </c>
      <c r="AU193" s="2">
        <v>0</v>
      </c>
      <c r="AV193" s="2">
        <v>0</v>
      </c>
      <c r="AW193" s="2">
        <v>0</v>
      </c>
      <c r="AX193" s="2">
        <v>0</v>
      </c>
      <c r="AY193" s="2">
        <v>0</v>
      </c>
      <c r="AZ193" s="2">
        <v>0</v>
      </c>
    </row>
    <row r="194" spans="1:52">
      <c r="A194" s="2">
        <v>193</v>
      </c>
      <c r="B194" s="2" t="s">
        <v>74</v>
      </c>
      <c r="C194" s="2" t="s">
        <v>74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1.7000000000000001E-2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0.26200000000000001</v>
      </c>
      <c r="AN194" s="2">
        <v>0</v>
      </c>
      <c r="AO194" s="2">
        <v>0.72099999999999997</v>
      </c>
      <c r="AP194" s="2">
        <v>0</v>
      </c>
      <c r="AQ194" s="2">
        <v>0</v>
      </c>
      <c r="AR194" s="2">
        <v>0</v>
      </c>
      <c r="AS194" s="2">
        <v>0</v>
      </c>
      <c r="AT194" s="2">
        <v>0</v>
      </c>
      <c r="AU194" s="2">
        <v>0</v>
      </c>
      <c r="AV194" s="2">
        <v>0</v>
      </c>
      <c r="AW194" s="2">
        <v>0</v>
      </c>
      <c r="AX194" s="2">
        <v>0</v>
      </c>
      <c r="AY194" s="2">
        <v>0</v>
      </c>
      <c r="AZ194" s="2">
        <v>0</v>
      </c>
    </row>
    <row r="195" spans="1:52">
      <c r="A195" s="2">
        <v>194</v>
      </c>
      <c r="B195" s="2" t="s">
        <v>168</v>
      </c>
      <c r="C195" s="2" t="s">
        <v>168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0.97399999999999998</v>
      </c>
      <c r="W195" s="2">
        <v>2.5999999999999999E-2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  <c r="AQ195" s="2">
        <v>0</v>
      </c>
      <c r="AR195" s="2">
        <v>0</v>
      </c>
      <c r="AS195" s="2">
        <v>0</v>
      </c>
      <c r="AT195" s="2">
        <v>0</v>
      </c>
      <c r="AU195" s="2">
        <v>0</v>
      </c>
      <c r="AV195" s="2">
        <v>0</v>
      </c>
      <c r="AW195" s="2">
        <v>0</v>
      </c>
      <c r="AX195" s="2">
        <v>0</v>
      </c>
      <c r="AY195" s="2">
        <v>0</v>
      </c>
      <c r="AZ195" s="2">
        <v>0</v>
      </c>
    </row>
    <row r="196" spans="1:52">
      <c r="A196" s="2">
        <v>195</v>
      </c>
      <c r="B196" s="2" t="s">
        <v>22</v>
      </c>
      <c r="C196" s="2" t="s">
        <v>22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0.23599999999999999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0.76400000000000001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  <c r="AQ196" s="2">
        <v>0</v>
      </c>
      <c r="AR196" s="2">
        <v>0</v>
      </c>
      <c r="AS196" s="2">
        <v>0</v>
      </c>
      <c r="AT196" s="2">
        <v>0</v>
      </c>
      <c r="AU196" s="2">
        <v>0</v>
      </c>
      <c r="AV196" s="2">
        <v>0</v>
      </c>
      <c r="AW196" s="2">
        <v>0</v>
      </c>
      <c r="AX196" s="2">
        <v>0</v>
      </c>
      <c r="AY196" s="2">
        <v>0</v>
      </c>
      <c r="AZ196" s="2">
        <v>0</v>
      </c>
    </row>
    <row r="197" spans="1:52">
      <c r="A197" s="2">
        <v>196</v>
      </c>
      <c r="B197" s="2" t="s">
        <v>108</v>
      </c>
      <c r="C197" s="2" t="s">
        <v>108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1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  <c r="AQ197" s="2">
        <v>0</v>
      </c>
      <c r="AR197" s="2">
        <v>0</v>
      </c>
      <c r="AS197" s="2">
        <v>0</v>
      </c>
      <c r="AT197" s="2">
        <v>0</v>
      </c>
      <c r="AU197" s="2">
        <v>0</v>
      </c>
      <c r="AV197" s="2">
        <v>0</v>
      </c>
      <c r="AW197" s="2">
        <v>0</v>
      </c>
      <c r="AX197" s="2">
        <v>0</v>
      </c>
      <c r="AY197" s="2">
        <v>0</v>
      </c>
      <c r="AZ197" s="2">
        <v>0</v>
      </c>
    </row>
    <row r="198" spans="1:52">
      <c r="A198" s="2">
        <v>197</v>
      </c>
      <c r="B198" s="2" t="s">
        <v>33</v>
      </c>
      <c r="C198" s="2" t="s">
        <v>33</v>
      </c>
      <c r="D198" s="2">
        <v>0</v>
      </c>
      <c r="E198" s="2">
        <v>0</v>
      </c>
      <c r="F198" s="2">
        <v>0</v>
      </c>
      <c r="G198" s="2">
        <v>1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  <c r="AQ198" s="2">
        <v>0</v>
      </c>
      <c r="AR198" s="2">
        <v>0</v>
      </c>
      <c r="AS198" s="2">
        <v>0</v>
      </c>
      <c r="AT198" s="2">
        <v>0</v>
      </c>
      <c r="AU198" s="2">
        <v>0</v>
      </c>
      <c r="AV198" s="2">
        <v>0</v>
      </c>
      <c r="AW198" s="2">
        <v>0</v>
      </c>
      <c r="AX198" s="2">
        <v>0</v>
      </c>
      <c r="AY198" s="2">
        <v>0</v>
      </c>
      <c r="AZ198" s="2">
        <v>0</v>
      </c>
    </row>
    <row r="199" spans="1:52">
      <c r="A199" s="2">
        <v>198</v>
      </c>
      <c r="B199" s="2" t="s">
        <v>42</v>
      </c>
      <c r="C199" s="2" t="s">
        <v>42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1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  <c r="AQ199" s="2">
        <v>0</v>
      </c>
      <c r="AR199" s="2">
        <v>0</v>
      </c>
      <c r="AS199" s="2">
        <v>0</v>
      </c>
      <c r="AT199" s="2">
        <v>0</v>
      </c>
      <c r="AU199" s="2">
        <v>0</v>
      </c>
      <c r="AV199" s="2">
        <v>0</v>
      </c>
      <c r="AW199" s="2">
        <v>0</v>
      </c>
      <c r="AX199" s="2">
        <v>0</v>
      </c>
      <c r="AY199" s="2">
        <v>0</v>
      </c>
      <c r="AZ199" s="2">
        <v>0</v>
      </c>
    </row>
    <row r="200" spans="1:52">
      <c r="A200" s="2">
        <v>199</v>
      </c>
      <c r="B200" s="2" t="s">
        <v>86</v>
      </c>
      <c r="C200" s="2" t="s">
        <v>86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0.92100000000000004</v>
      </c>
      <c r="Z200" s="2">
        <v>5.8000000000000003E-2</v>
      </c>
      <c r="AA200" s="2">
        <v>2.1000000000000001E-2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2">
        <v>0</v>
      </c>
      <c r="AR200" s="2">
        <v>0</v>
      </c>
      <c r="AS200" s="2">
        <v>0</v>
      </c>
      <c r="AT200" s="2">
        <v>0</v>
      </c>
      <c r="AU200" s="2">
        <v>0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</row>
    <row r="201" spans="1:52">
      <c r="A201" s="2">
        <v>200</v>
      </c>
      <c r="B201" s="2" t="s">
        <v>274</v>
      </c>
      <c r="C201" s="2" t="s">
        <v>274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1E-3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</v>
      </c>
      <c r="AQ201" s="2">
        <v>1.4E-2</v>
      </c>
      <c r="AR201" s="2">
        <v>0.98499999999999999</v>
      </c>
      <c r="AS201" s="2">
        <v>0</v>
      </c>
      <c r="AT201" s="2">
        <v>0</v>
      </c>
      <c r="AU201" s="2">
        <v>0</v>
      </c>
      <c r="AV201" s="2">
        <v>0</v>
      </c>
      <c r="AW201" s="2">
        <v>0</v>
      </c>
      <c r="AX201" s="2">
        <v>0</v>
      </c>
      <c r="AY201" s="2">
        <v>0</v>
      </c>
      <c r="AZ201" s="2">
        <v>0</v>
      </c>
    </row>
    <row r="202" spans="1:52">
      <c r="A202" s="2">
        <v>201</v>
      </c>
      <c r="B202" s="2" t="s">
        <v>42</v>
      </c>
      <c r="C202" s="2" t="s">
        <v>42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1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2">
        <v>0</v>
      </c>
      <c r="AP202" s="2">
        <v>0</v>
      </c>
      <c r="AQ202" s="2">
        <v>0</v>
      </c>
      <c r="AR202" s="2">
        <v>0</v>
      </c>
      <c r="AS202" s="2">
        <v>0</v>
      </c>
      <c r="AT202" s="2">
        <v>0</v>
      </c>
      <c r="AU202" s="2">
        <v>0</v>
      </c>
      <c r="AV202" s="2">
        <v>0</v>
      </c>
      <c r="AW202" s="2">
        <v>0</v>
      </c>
      <c r="AX202" s="2">
        <v>0</v>
      </c>
      <c r="AY202" s="2">
        <v>0</v>
      </c>
      <c r="AZ202" s="2">
        <v>0</v>
      </c>
    </row>
    <row r="203" spans="1:52">
      <c r="A203" s="2">
        <v>202</v>
      </c>
      <c r="B203" s="2" t="s">
        <v>42</v>
      </c>
      <c r="C203" s="2" t="s">
        <v>42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1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0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2">
        <v>0</v>
      </c>
      <c r="AN203" s="2">
        <v>0</v>
      </c>
      <c r="AO203" s="2">
        <v>0</v>
      </c>
      <c r="AP203" s="2">
        <v>0</v>
      </c>
      <c r="AQ203" s="2">
        <v>0</v>
      </c>
      <c r="AR203" s="2">
        <v>0</v>
      </c>
      <c r="AS203" s="2">
        <v>0</v>
      </c>
      <c r="AT203" s="2">
        <v>0</v>
      </c>
      <c r="AU203" s="2">
        <v>0</v>
      </c>
      <c r="AV203" s="2">
        <v>0</v>
      </c>
      <c r="AW203" s="2">
        <v>0</v>
      </c>
      <c r="AX203" s="2">
        <v>0</v>
      </c>
      <c r="AY203" s="2">
        <v>0</v>
      </c>
      <c r="AZ203" s="2">
        <v>0</v>
      </c>
    </row>
    <row r="204" spans="1:52">
      <c r="A204" s="2">
        <v>203</v>
      </c>
      <c r="B204" s="2" t="s">
        <v>86</v>
      </c>
      <c r="C204" s="2" t="s">
        <v>86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0.98799999999999999</v>
      </c>
      <c r="Z204" s="2">
        <v>1.0999999999999999E-2</v>
      </c>
      <c r="AA204" s="2">
        <v>1E-3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0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  <c r="AQ204" s="2">
        <v>0</v>
      </c>
      <c r="AR204" s="2">
        <v>0</v>
      </c>
      <c r="AS204" s="2">
        <v>0</v>
      </c>
      <c r="AT204" s="2">
        <v>0</v>
      </c>
      <c r="AU204" s="2">
        <v>0</v>
      </c>
      <c r="AV204" s="2">
        <v>0</v>
      </c>
      <c r="AW204" s="2">
        <v>0</v>
      </c>
      <c r="AX204" s="2">
        <v>0</v>
      </c>
      <c r="AY204" s="2">
        <v>0</v>
      </c>
      <c r="AZ204" s="2">
        <v>0</v>
      </c>
    </row>
    <row r="205" spans="1:52">
      <c r="A205" s="2">
        <v>204</v>
      </c>
      <c r="B205" s="2" t="s">
        <v>81</v>
      </c>
      <c r="C205" s="2" t="s">
        <v>81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0.70299999999999996</v>
      </c>
      <c r="AN205" s="2">
        <v>0</v>
      </c>
      <c r="AO205" s="2">
        <v>0.29699999999999999</v>
      </c>
      <c r="AP205" s="2">
        <v>0</v>
      </c>
      <c r="AQ205" s="2">
        <v>0</v>
      </c>
      <c r="AR205" s="2">
        <v>0</v>
      </c>
      <c r="AS205" s="2">
        <v>0</v>
      </c>
      <c r="AT205" s="2">
        <v>0</v>
      </c>
      <c r="AU205" s="2">
        <v>0</v>
      </c>
      <c r="AV205" s="2">
        <v>0</v>
      </c>
      <c r="AW205" s="2">
        <v>0</v>
      </c>
      <c r="AX205" s="2">
        <v>0</v>
      </c>
      <c r="AY205" s="2">
        <v>0</v>
      </c>
      <c r="AZ205" s="2">
        <v>0</v>
      </c>
    </row>
    <row r="206" spans="1:52">
      <c r="A206" s="2">
        <v>205</v>
      </c>
      <c r="B206" s="2" t="s">
        <v>118</v>
      </c>
      <c r="C206" s="2" t="s">
        <v>118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0.57099999999999995</v>
      </c>
      <c r="AG206" s="2">
        <v>0.36599999999999999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6.3E-2</v>
      </c>
    </row>
    <row r="207" spans="1:52">
      <c r="A207" s="2">
        <v>206</v>
      </c>
      <c r="B207" s="2" t="s">
        <v>42</v>
      </c>
      <c r="C207" s="2" t="s">
        <v>42</v>
      </c>
      <c r="D207" s="2">
        <v>3.1E-2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0.94599999999999995</v>
      </c>
      <c r="P207" s="2">
        <v>2.3E-2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0</v>
      </c>
      <c r="AS207" s="2">
        <v>0</v>
      </c>
      <c r="AT207" s="2">
        <v>0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</row>
    <row r="208" spans="1:52">
      <c r="A208" s="2">
        <v>207</v>
      </c>
      <c r="B208" s="2" t="s">
        <v>280</v>
      </c>
      <c r="C208" s="2" t="s">
        <v>280</v>
      </c>
      <c r="D208" s="2">
        <v>0</v>
      </c>
      <c r="E208" s="2">
        <v>0</v>
      </c>
      <c r="F208" s="2">
        <v>0</v>
      </c>
      <c r="G208" s="2">
        <v>0</v>
      </c>
      <c r="H208" s="2">
        <v>1E-3</v>
      </c>
      <c r="I208" s="2">
        <v>0</v>
      </c>
      <c r="J208" s="2">
        <v>0</v>
      </c>
      <c r="K208" s="2">
        <v>1E-3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2E-3</v>
      </c>
      <c r="W208" s="2">
        <v>0</v>
      </c>
      <c r="X208" s="2">
        <v>1E-3</v>
      </c>
      <c r="Y208" s="2">
        <v>0</v>
      </c>
      <c r="Z208" s="2">
        <v>1E-3</v>
      </c>
      <c r="AA208" s="2">
        <v>0</v>
      </c>
      <c r="AB208" s="2">
        <v>0</v>
      </c>
      <c r="AC208" s="2">
        <v>0.97899999999999998</v>
      </c>
      <c r="AD208" s="2">
        <v>0</v>
      </c>
      <c r="AE208" s="2">
        <v>0</v>
      </c>
      <c r="AF208" s="2">
        <v>0</v>
      </c>
      <c r="AG208" s="2">
        <v>2E-3</v>
      </c>
      <c r="AH208" s="2">
        <v>0</v>
      </c>
      <c r="AI208" s="2">
        <v>8.0000000000000002E-3</v>
      </c>
      <c r="AJ208" s="2">
        <v>0</v>
      </c>
      <c r="AK208" s="2">
        <v>0</v>
      </c>
      <c r="AL208" s="2">
        <v>1E-3</v>
      </c>
      <c r="AM208" s="2">
        <v>0</v>
      </c>
      <c r="AN208" s="2">
        <v>0</v>
      </c>
      <c r="AO208" s="2">
        <v>0</v>
      </c>
      <c r="AP208" s="2">
        <v>1E-3</v>
      </c>
      <c r="AQ208" s="2">
        <v>1E-3</v>
      </c>
      <c r="AR208" s="2">
        <v>0</v>
      </c>
      <c r="AS208" s="2">
        <v>0</v>
      </c>
      <c r="AT208" s="2">
        <v>0</v>
      </c>
      <c r="AU208" s="2">
        <v>0</v>
      </c>
      <c r="AV208" s="2">
        <v>0</v>
      </c>
      <c r="AW208" s="2">
        <v>0</v>
      </c>
      <c r="AX208" s="2">
        <v>2E-3</v>
      </c>
      <c r="AY208" s="2">
        <v>0</v>
      </c>
      <c r="AZ208" s="2">
        <v>0</v>
      </c>
    </row>
    <row r="209" spans="1:52">
      <c r="A209" s="2">
        <v>208</v>
      </c>
      <c r="B209" s="2" t="s">
        <v>174</v>
      </c>
      <c r="C209" s="2" t="s">
        <v>174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2">
        <v>0</v>
      </c>
      <c r="AP209" s="2">
        <v>0</v>
      </c>
      <c r="AQ209" s="2">
        <v>0</v>
      </c>
      <c r="AR209" s="2">
        <v>0</v>
      </c>
      <c r="AS209" s="2">
        <v>0</v>
      </c>
      <c r="AT209" s="2">
        <v>1</v>
      </c>
      <c r="AU209" s="2">
        <v>0</v>
      </c>
      <c r="AV209" s="2">
        <v>0</v>
      </c>
      <c r="AW209" s="2">
        <v>0</v>
      </c>
      <c r="AX209" s="2">
        <v>0</v>
      </c>
      <c r="AY209" s="2">
        <v>0</v>
      </c>
      <c r="AZ209" s="2">
        <v>0</v>
      </c>
    </row>
    <row r="210" spans="1:52">
      <c r="A210" s="2">
        <v>209</v>
      </c>
      <c r="B210" s="2" t="s">
        <v>49</v>
      </c>
      <c r="C210" s="2" t="s">
        <v>49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8.0000000000000002E-3</v>
      </c>
      <c r="W210" s="2">
        <v>0</v>
      </c>
      <c r="X210" s="2">
        <v>0</v>
      </c>
      <c r="Y210" s="2">
        <v>0.20300000000000001</v>
      </c>
      <c r="Z210" s="2">
        <v>0.78900000000000003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2">
        <v>0</v>
      </c>
      <c r="AP210" s="2">
        <v>0</v>
      </c>
      <c r="AQ210" s="2">
        <v>0</v>
      </c>
      <c r="AR210" s="2">
        <v>0</v>
      </c>
      <c r="AS210" s="2">
        <v>0</v>
      </c>
      <c r="AT210" s="2">
        <v>0</v>
      </c>
      <c r="AU210" s="2">
        <v>0</v>
      </c>
      <c r="AV210" s="2">
        <v>0</v>
      </c>
      <c r="AW210" s="2">
        <v>0</v>
      </c>
      <c r="AX210" s="2">
        <v>0</v>
      </c>
      <c r="AY210" s="2">
        <v>0</v>
      </c>
      <c r="AZ210" s="2">
        <v>0</v>
      </c>
    </row>
    <row r="211" spans="1:52">
      <c r="A211" s="2">
        <v>210</v>
      </c>
      <c r="B211" s="2" t="s">
        <v>25</v>
      </c>
      <c r="C211" s="2" t="s">
        <v>25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0.76700000000000002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0.23300000000000001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0</v>
      </c>
    </row>
    <row r="212" spans="1:52">
      <c r="A212" s="2">
        <v>211</v>
      </c>
      <c r="B212" s="2" t="s">
        <v>29</v>
      </c>
      <c r="C212" s="2" t="s">
        <v>29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1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0</v>
      </c>
    </row>
    <row r="213" spans="1:52">
      <c r="A213" s="2">
        <v>212</v>
      </c>
      <c r="B213" s="2" t="s">
        <v>33</v>
      </c>
      <c r="C213" s="2" t="s">
        <v>33</v>
      </c>
      <c r="D213" s="2">
        <v>0</v>
      </c>
      <c r="E213" s="2">
        <v>0</v>
      </c>
      <c r="F213" s="2">
        <v>0</v>
      </c>
      <c r="G213" s="2">
        <v>1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</v>
      </c>
    </row>
    <row r="214" spans="1:52">
      <c r="A214" s="2">
        <v>213</v>
      </c>
      <c r="B214" s="2" t="s">
        <v>42</v>
      </c>
      <c r="C214" s="2" t="s">
        <v>42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1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0</v>
      </c>
    </row>
    <row r="215" spans="1:52">
      <c r="A215" s="2">
        <v>214</v>
      </c>
      <c r="B215" s="2" t="s">
        <v>33</v>
      </c>
      <c r="C215" s="2" t="s">
        <v>33</v>
      </c>
      <c r="D215" s="2">
        <v>0</v>
      </c>
      <c r="E215" s="2">
        <v>0</v>
      </c>
      <c r="F215" s="2">
        <v>0</v>
      </c>
      <c r="G215" s="2">
        <v>0.99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2">
        <v>0</v>
      </c>
      <c r="AP215" s="2">
        <v>0</v>
      </c>
      <c r="AQ215" s="2">
        <v>0</v>
      </c>
      <c r="AR215" s="2">
        <v>0</v>
      </c>
      <c r="AS215" s="2">
        <v>0</v>
      </c>
      <c r="AT215" s="2">
        <v>0</v>
      </c>
      <c r="AU215" s="2">
        <v>0</v>
      </c>
      <c r="AV215" s="2">
        <v>0</v>
      </c>
      <c r="AW215" s="2">
        <v>0</v>
      </c>
      <c r="AX215" s="2">
        <v>0</v>
      </c>
      <c r="AY215" s="2">
        <v>0.01</v>
      </c>
      <c r="AZ215" s="2">
        <v>0</v>
      </c>
    </row>
    <row r="216" spans="1:52">
      <c r="A216" s="2">
        <v>215</v>
      </c>
      <c r="B216" s="2" t="s">
        <v>42</v>
      </c>
      <c r="C216" s="2" t="s">
        <v>42</v>
      </c>
      <c r="D216" s="2">
        <v>0.02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0.96</v>
      </c>
      <c r="P216" s="2">
        <v>0.02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0</v>
      </c>
      <c r="AQ216" s="2">
        <v>0</v>
      </c>
      <c r="AR216" s="2">
        <v>0</v>
      </c>
      <c r="AS216" s="2">
        <v>0</v>
      </c>
      <c r="AT216" s="2">
        <v>0</v>
      </c>
      <c r="AU216" s="2">
        <v>0</v>
      </c>
      <c r="AV216" s="2">
        <v>0</v>
      </c>
      <c r="AW216" s="2">
        <v>0</v>
      </c>
      <c r="AX216" s="2">
        <v>0</v>
      </c>
      <c r="AY216" s="2">
        <v>0</v>
      </c>
      <c r="AZ216" s="2">
        <v>0</v>
      </c>
    </row>
    <row r="217" spans="1:52">
      <c r="A217" s="2">
        <v>216</v>
      </c>
      <c r="B217" s="2" t="s">
        <v>96</v>
      </c>
      <c r="C217" s="2" t="s">
        <v>96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0.999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1E-3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2">
        <v>0</v>
      </c>
      <c r="AP217" s="2">
        <v>0</v>
      </c>
      <c r="AQ217" s="2">
        <v>0</v>
      </c>
      <c r="AR217" s="2">
        <v>0</v>
      </c>
      <c r="AS217" s="2">
        <v>0</v>
      </c>
      <c r="AT217" s="2">
        <v>0</v>
      </c>
      <c r="AU217" s="2">
        <v>0</v>
      </c>
      <c r="AV217" s="2">
        <v>0</v>
      </c>
      <c r="AW217" s="2">
        <v>0</v>
      </c>
      <c r="AX217" s="2">
        <v>0</v>
      </c>
      <c r="AY217" s="2">
        <v>0</v>
      </c>
      <c r="AZ217" s="2">
        <v>0</v>
      </c>
    </row>
    <row r="218" spans="1:52">
      <c r="A218" s="2">
        <v>217</v>
      </c>
      <c r="B218" s="2" t="s">
        <v>147</v>
      </c>
      <c r="C218" s="2" t="s">
        <v>147</v>
      </c>
      <c r="D218" s="2">
        <v>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0.55800000000000005</v>
      </c>
      <c r="Y218" s="2">
        <v>2.7E-2</v>
      </c>
      <c r="Z218" s="2">
        <v>0.41399999999999998</v>
      </c>
      <c r="AA218" s="2">
        <v>1E-3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2">
        <v>0</v>
      </c>
      <c r="AP218" s="2">
        <v>0</v>
      </c>
      <c r="AQ218" s="2">
        <v>0</v>
      </c>
      <c r="AR218" s="2">
        <v>0</v>
      </c>
      <c r="AS218" s="2">
        <v>0</v>
      </c>
      <c r="AT218" s="2">
        <v>0</v>
      </c>
      <c r="AU218" s="2">
        <v>0</v>
      </c>
      <c r="AV218" s="2">
        <v>0</v>
      </c>
      <c r="AW218" s="2">
        <v>0</v>
      </c>
      <c r="AX218" s="2">
        <v>0</v>
      </c>
      <c r="AY218" s="2">
        <v>0</v>
      </c>
      <c r="AZ218" s="2">
        <v>0</v>
      </c>
    </row>
    <row r="219" spans="1:52">
      <c r="A219" s="2">
        <v>218</v>
      </c>
      <c r="B219" s="2" t="s">
        <v>91</v>
      </c>
      <c r="C219" s="2" t="s">
        <v>91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  <c r="AQ219" s="2">
        <v>0</v>
      </c>
      <c r="AR219" s="2">
        <v>0</v>
      </c>
      <c r="AS219" s="2">
        <v>0</v>
      </c>
      <c r="AT219" s="2">
        <v>0</v>
      </c>
      <c r="AU219" s="2">
        <v>0</v>
      </c>
      <c r="AV219" s="2">
        <v>1</v>
      </c>
      <c r="AW219" s="2">
        <v>0</v>
      </c>
      <c r="AX219" s="2">
        <v>0</v>
      </c>
      <c r="AY219" s="2">
        <v>0</v>
      </c>
      <c r="AZ219" s="2">
        <v>0</v>
      </c>
    </row>
    <row r="220" spans="1:52">
      <c r="A220" s="2">
        <v>219</v>
      </c>
      <c r="B220" s="2" t="s">
        <v>29</v>
      </c>
      <c r="C220" s="2" t="s">
        <v>29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1E-3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0.999</v>
      </c>
      <c r="AK220" s="2">
        <v>0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U220" s="2">
        <v>0</v>
      </c>
      <c r="AV220" s="2">
        <v>0</v>
      </c>
      <c r="AW220" s="2">
        <v>0</v>
      </c>
      <c r="AX220" s="2">
        <v>0</v>
      </c>
      <c r="AY220" s="2">
        <v>0</v>
      </c>
      <c r="AZ220" s="2">
        <v>0</v>
      </c>
    </row>
    <row r="221" spans="1:52">
      <c r="A221" s="2">
        <v>220</v>
      </c>
      <c r="B221" s="2" t="s">
        <v>174</v>
      </c>
      <c r="C221" s="2" t="s">
        <v>174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1E-3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  <c r="AQ221" s="2">
        <v>0</v>
      </c>
      <c r="AR221" s="2">
        <v>0</v>
      </c>
      <c r="AS221" s="2">
        <v>0</v>
      </c>
      <c r="AT221" s="2">
        <v>0.999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0</v>
      </c>
    </row>
    <row r="222" spans="1:52">
      <c r="A222" s="2">
        <v>221</v>
      </c>
      <c r="B222" s="2" t="s">
        <v>37</v>
      </c>
      <c r="C222" s="2" t="s">
        <v>37</v>
      </c>
      <c r="D222" s="2">
        <v>0</v>
      </c>
      <c r="E222" s="2">
        <v>0</v>
      </c>
      <c r="F222" s="2">
        <v>0</v>
      </c>
      <c r="G222" s="2">
        <v>0</v>
      </c>
      <c r="H222" s="2">
        <v>0.82799999999999996</v>
      </c>
      <c r="I222" s="2">
        <v>0</v>
      </c>
      <c r="J222" s="2">
        <v>2.7E-2</v>
      </c>
      <c r="K222" s="2">
        <v>0.13900000000000001</v>
      </c>
      <c r="L222" s="2">
        <v>1E-3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5.0000000000000001E-3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</row>
    <row r="223" spans="1:52">
      <c r="A223" s="2">
        <v>222</v>
      </c>
      <c r="B223" s="2" t="s">
        <v>91</v>
      </c>
      <c r="C223" s="2" t="s">
        <v>91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2">
        <v>0</v>
      </c>
      <c r="AN223" s="2">
        <v>0</v>
      </c>
      <c r="AO223" s="2">
        <v>0</v>
      </c>
      <c r="AP223" s="2">
        <v>0</v>
      </c>
      <c r="AQ223" s="2">
        <v>0</v>
      </c>
      <c r="AR223" s="2">
        <v>0</v>
      </c>
      <c r="AS223" s="2">
        <v>0</v>
      </c>
      <c r="AT223" s="2">
        <v>0</v>
      </c>
      <c r="AU223" s="2">
        <v>0</v>
      </c>
      <c r="AV223" s="2">
        <v>1</v>
      </c>
      <c r="AW223" s="2">
        <v>0</v>
      </c>
      <c r="AX223" s="2">
        <v>0</v>
      </c>
      <c r="AY223" s="2">
        <v>0</v>
      </c>
      <c r="AZ223" s="2">
        <v>0</v>
      </c>
    </row>
    <row r="224" spans="1:52">
      <c r="A224" s="2">
        <v>223</v>
      </c>
      <c r="B224" s="2" t="s">
        <v>96</v>
      </c>
      <c r="C224" s="2" t="s">
        <v>96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0.999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1E-3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  <c r="AQ224" s="2">
        <v>0</v>
      </c>
      <c r="AR224" s="2">
        <v>0</v>
      </c>
      <c r="AS224" s="2">
        <v>0</v>
      </c>
      <c r="AT224" s="2">
        <v>0</v>
      </c>
      <c r="AU224" s="2">
        <v>0</v>
      </c>
      <c r="AV224" s="2">
        <v>0</v>
      </c>
      <c r="AW224" s="2">
        <v>0</v>
      </c>
      <c r="AX224" s="2">
        <v>0</v>
      </c>
      <c r="AY224" s="2">
        <v>0</v>
      </c>
      <c r="AZ224" s="2">
        <v>0</v>
      </c>
    </row>
    <row r="225" spans="1:52">
      <c r="A225" s="2">
        <v>224</v>
      </c>
      <c r="B225" s="2" t="s">
        <v>33</v>
      </c>
      <c r="C225" s="2" t="s">
        <v>33</v>
      </c>
      <c r="D225" s="2">
        <v>0</v>
      </c>
      <c r="E225" s="2">
        <v>0</v>
      </c>
      <c r="F225" s="2">
        <v>0</v>
      </c>
      <c r="G225" s="2">
        <v>0.995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  <c r="AQ225" s="2">
        <v>0</v>
      </c>
      <c r="AR225" s="2">
        <v>0</v>
      </c>
      <c r="AS225" s="2">
        <v>0</v>
      </c>
      <c r="AT225" s="2">
        <v>0</v>
      </c>
      <c r="AU225" s="2">
        <v>0</v>
      </c>
      <c r="AV225" s="2">
        <v>0</v>
      </c>
      <c r="AW225" s="2">
        <v>0</v>
      </c>
      <c r="AX225" s="2">
        <v>0</v>
      </c>
      <c r="AY225" s="2">
        <v>5.0000000000000001E-3</v>
      </c>
      <c r="AZ225" s="2">
        <v>0</v>
      </c>
    </row>
    <row r="226" spans="1:52">
      <c r="A226" s="2">
        <v>225</v>
      </c>
      <c r="B226" s="2" t="s">
        <v>33</v>
      </c>
      <c r="C226" s="2" t="s">
        <v>33</v>
      </c>
      <c r="D226" s="2">
        <v>0</v>
      </c>
      <c r="E226" s="2">
        <v>0</v>
      </c>
      <c r="F226" s="2">
        <v>0</v>
      </c>
      <c r="G226" s="2">
        <v>1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  <c r="AQ226" s="2">
        <v>0</v>
      </c>
      <c r="AR226" s="2">
        <v>0</v>
      </c>
      <c r="AS226" s="2">
        <v>0</v>
      </c>
      <c r="AT226" s="2">
        <v>0</v>
      </c>
      <c r="AU226" s="2">
        <v>0</v>
      </c>
      <c r="AV226" s="2">
        <v>0</v>
      </c>
      <c r="AW226" s="2">
        <v>0</v>
      </c>
      <c r="AX226" s="2">
        <v>0</v>
      </c>
      <c r="AY226" s="2">
        <v>0</v>
      </c>
      <c r="AZ226" s="2">
        <v>0</v>
      </c>
    </row>
    <row r="227" spans="1:52">
      <c r="A227" s="2">
        <v>226</v>
      </c>
      <c r="B227" s="2" t="s">
        <v>25</v>
      </c>
      <c r="C227" s="2" t="s">
        <v>25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0.873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0.127</v>
      </c>
      <c r="AL227" s="2">
        <v>0</v>
      </c>
      <c r="AM227" s="2">
        <v>0</v>
      </c>
      <c r="AN227" s="2">
        <v>0</v>
      </c>
      <c r="AO227" s="2">
        <v>0</v>
      </c>
      <c r="AP227" s="2">
        <v>0</v>
      </c>
      <c r="AQ227" s="2">
        <v>0</v>
      </c>
      <c r="AR227" s="2">
        <v>0</v>
      </c>
      <c r="AS227" s="2">
        <v>0</v>
      </c>
      <c r="AT227" s="2">
        <v>0</v>
      </c>
      <c r="AU227" s="2">
        <v>0</v>
      </c>
      <c r="AV227" s="2">
        <v>0</v>
      </c>
      <c r="AW227" s="2">
        <v>0</v>
      </c>
      <c r="AX227" s="2">
        <v>0</v>
      </c>
      <c r="AY227" s="2">
        <v>0</v>
      </c>
      <c r="AZ227" s="2">
        <v>0</v>
      </c>
    </row>
    <row r="228" spans="1:52">
      <c r="A228" s="2">
        <v>227</v>
      </c>
      <c r="B228" s="2" t="s">
        <v>134</v>
      </c>
      <c r="C228" s="2" t="s">
        <v>134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0.13600000000000001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0.86399999999999999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0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</row>
    <row r="229" spans="1:52">
      <c r="A229" s="2">
        <v>228</v>
      </c>
      <c r="B229" s="2" t="s">
        <v>211</v>
      </c>
      <c r="C229" s="2" t="s">
        <v>211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1.0999999999999999E-2</v>
      </c>
      <c r="AG229" s="2">
        <v>0.83699999999999997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0</v>
      </c>
      <c r="AQ229" s="2">
        <v>0</v>
      </c>
      <c r="AR229" s="2">
        <v>0</v>
      </c>
      <c r="AS229" s="2">
        <v>0</v>
      </c>
      <c r="AT229" s="2">
        <v>0</v>
      </c>
      <c r="AU229" s="2">
        <v>0</v>
      </c>
      <c r="AV229" s="2">
        <v>0</v>
      </c>
      <c r="AW229" s="2">
        <v>0</v>
      </c>
      <c r="AX229" s="2">
        <v>0</v>
      </c>
      <c r="AY229" s="2">
        <v>0</v>
      </c>
      <c r="AZ229" s="2">
        <v>0.152</v>
      </c>
    </row>
    <row r="230" spans="1:52">
      <c r="A230" s="2">
        <v>229</v>
      </c>
      <c r="B230" s="2" t="s">
        <v>42</v>
      </c>
      <c r="C230" s="2" t="s">
        <v>42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0</v>
      </c>
      <c r="AQ230" s="2">
        <v>0</v>
      </c>
      <c r="AR230" s="2">
        <v>0</v>
      </c>
      <c r="AS230" s="2">
        <v>0</v>
      </c>
      <c r="AT230" s="2">
        <v>0</v>
      </c>
      <c r="AU230" s="2">
        <v>0</v>
      </c>
      <c r="AV230" s="2">
        <v>0</v>
      </c>
      <c r="AW230" s="2">
        <v>0</v>
      </c>
      <c r="AX230" s="2">
        <v>0</v>
      </c>
      <c r="AY230" s="2">
        <v>0</v>
      </c>
      <c r="AZ230" s="2">
        <v>0</v>
      </c>
    </row>
    <row r="231" spans="1:52">
      <c r="A231" s="2">
        <v>230</v>
      </c>
      <c r="B231" s="2" t="s">
        <v>280</v>
      </c>
      <c r="C231" s="2" t="s">
        <v>280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1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2">
        <v>0</v>
      </c>
      <c r="AP231" s="2">
        <v>0</v>
      </c>
      <c r="AQ231" s="2">
        <v>0</v>
      </c>
      <c r="AR231" s="2">
        <v>0</v>
      </c>
      <c r="AS231" s="2">
        <v>0</v>
      </c>
      <c r="AT231" s="2">
        <v>0</v>
      </c>
      <c r="AU231" s="2">
        <v>0</v>
      </c>
      <c r="AV231" s="2">
        <v>0</v>
      </c>
      <c r="AW231" s="2">
        <v>0</v>
      </c>
      <c r="AX231" s="2">
        <v>0</v>
      </c>
      <c r="AY231" s="2">
        <v>0</v>
      </c>
      <c r="AZ231" s="2">
        <v>0</v>
      </c>
    </row>
    <row r="232" spans="1:52">
      <c r="A232" s="2">
        <v>231</v>
      </c>
      <c r="B232" s="2" t="s">
        <v>64</v>
      </c>
      <c r="C232" s="2" t="s">
        <v>64</v>
      </c>
      <c r="D232" s="2">
        <v>0</v>
      </c>
      <c r="E232" s="2">
        <v>0</v>
      </c>
      <c r="F232" s="2">
        <v>0</v>
      </c>
      <c r="G232" s="2">
        <v>0</v>
      </c>
      <c r="H232" s="2">
        <v>1E-3</v>
      </c>
      <c r="I232" s="2">
        <v>0</v>
      </c>
      <c r="J232" s="2">
        <v>0</v>
      </c>
      <c r="K232" s="2">
        <v>1E-3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0.998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0</v>
      </c>
      <c r="AQ232" s="2">
        <v>0</v>
      </c>
      <c r="AR232" s="2">
        <v>0</v>
      </c>
      <c r="AS232" s="2">
        <v>0</v>
      </c>
      <c r="AT232" s="2">
        <v>0</v>
      </c>
      <c r="AU232" s="2">
        <v>0</v>
      </c>
      <c r="AV232" s="2">
        <v>0</v>
      </c>
      <c r="AW232" s="2">
        <v>0</v>
      </c>
      <c r="AX232" s="2">
        <v>0</v>
      </c>
      <c r="AY232" s="2">
        <v>0</v>
      </c>
      <c r="AZ232" s="2">
        <v>0</v>
      </c>
    </row>
    <row r="233" spans="1:52">
      <c r="A233" s="2">
        <v>232</v>
      </c>
      <c r="B233" s="2" t="s">
        <v>54</v>
      </c>
      <c r="C233" s="2" t="s">
        <v>54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1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0</v>
      </c>
      <c r="AV233" s="2">
        <v>0</v>
      </c>
      <c r="AW233" s="2">
        <v>0</v>
      </c>
      <c r="AX233" s="2">
        <v>0</v>
      </c>
      <c r="AY233" s="2">
        <v>0</v>
      </c>
      <c r="AZ233" s="2">
        <v>0</v>
      </c>
    </row>
    <row r="234" spans="1:52">
      <c r="A234" s="2">
        <v>233</v>
      </c>
      <c r="B234" s="2" t="s">
        <v>49</v>
      </c>
      <c r="C234" s="2" t="s">
        <v>49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0.11899999999999999</v>
      </c>
      <c r="Y234" s="2">
        <v>0.03</v>
      </c>
      <c r="Z234" s="2">
        <v>0.85099999999999998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2">
        <v>0</v>
      </c>
      <c r="AP234" s="2">
        <v>0</v>
      </c>
      <c r="AQ234" s="2">
        <v>0</v>
      </c>
      <c r="AR234" s="2">
        <v>0</v>
      </c>
      <c r="AS234" s="2">
        <v>0</v>
      </c>
      <c r="AT234" s="2">
        <v>0</v>
      </c>
      <c r="AU234" s="2">
        <v>0</v>
      </c>
      <c r="AV234" s="2">
        <v>0</v>
      </c>
      <c r="AW234" s="2">
        <v>0</v>
      </c>
      <c r="AX234" s="2">
        <v>0</v>
      </c>
      <c r="AY234" s="2">
        <v>0</v>
      </c>
      <c r="AZ234" s="2">
        <v>0</v>
      </c>
    </row>
    <row r="235" spans="1:52">
      <c r="A235" s="2">
        <v>234</v>
      </c>
      <c r="B235" s="2" t="s">
        <v>22</v>
      </c>
      <c r="C235" s="2" t="s">
        <v>22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0.124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0.876</v>
      </c>
      <c r="AL235" s="2">
        <v>0</v>
      </c>
      <c r="AM235" s="2">
        <v>0</v>
      </c>
      <c r="AN235" s="2">
        <v>0</v>
      </c>
      <c r="AO235" s="2">
        <v>0</v>
      </c>
      <c r="AP235" s="2">
        <v>0</v>
      </c>
      <c r="AQ235" s="2">
        <v>0</v>
      </c>
      <c r="AR235" s="2">
        <v>0</v>
      </c>
      <c r="AS235" s="2">
        <v>0</v>
      </c>
      <c r="AT235" s="2">
        <v>0</v>
      </c>
      <c r="AU235" s="2">
        <v>0</v>
      </c>
      <c r="AV235" s="2">
        <v>0</v>
      </c>
      <c r="AW235" s="2">
        <v>0</v>
      </c>
      <c r="AX235" s="2">
        <v>0</v>
      </c>
      <c r="AY235" s="2">
        <v>0</v>
      </c>
      <c r="AZ235" s="2">
        <v>0</v>
      </c>
    </row>
    <row r="236" spans="1:52">
      <c r="A236" s="2">
        <v>235</v>
      </c>
      <c r="B236" s="2" t="s">
        <v>33</v>
      </c>
      <c r="C236" s="2" t="s">
        <v>33</v>
      </c>
      <c r="D236" s="2">
        <v>0</v>
      </c>
      <c r="E236" s="2">
        <v>0</v>
      </c>
      <c r="F236" s="2">
        <v>0</v>
      </c>
      <c r="G236" s="2">
        <v>1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0</v>
      </c>
      <c r="AS236" s="2">
        <v>0</v>
      </c>
      <c r="AT236" s="2">
        <v>0</v>
      </c>
      <c r="AU236" s="2">
        <v>0</v>
      </c>
      <c r="AV236" s="2">
        <v>0</v>
      </c>
      <c r="AW236" s="2">
        <v>0</v>
      </c>
      <c r="AX236" s="2">
        <v>0</v>
      </c>
      <c r="AY236" s="2">
        <v>0</v>
      </c>
      <c r="AZ236" s="2">
        <v>0</v>
      </c>
    </row>
    <row r="237" spans="1:52">
      <c r="A237" s="2">
        <v>236</v>
      </c>
      <c r="B237" s="2" t="s">
        <v>33</v>
      </c>
      <c r="C237" s="2" t="s">
        <v>33</v>
      </c>
      <c r="D237" s="2">
        <v>0</v>
      </c>
      <c r="E237" s="2">
        <v>0</v>
      </c>
      <c r="F237" s="2">
        <v>0</v>
      </c>
      <c r="G237" s="2">
        <v>1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2">
        <v>0</v>
      </c>
      <c r="AP237" s="2">
        <v>0</v>
      </c>
      <c r="AQ237" s="2">
        <v>0</v>
      </c>
      <c r="AR237" s="2">
        <v>0</v>
      </c>
      <c r="AS237" s="2">
        <v>0</v>
      </c>
      <c r="AT237" s="2">
        <v>0</v>
      </c>
      <c r="AU237" s="2">
        <v>0</v>
      </c>
      <c r="AV237" s="2">
        <v>0</v>
      </c>
      <c r="AW237" s="2">
        <v>0</v>
      </c>
      <c r="AX237" s="2">
        <v>0</v>
      </c>
      <c r="AY237" s="2">
        <v>0</v>
      </c>
      <c r="AZ237" s="2">
        <v>0</v>
      </c>
    </row>
    <row r="238" spans="1:52">
      <c r="A238" s="2">
        <v>237</v>
      </c>
      <c r="B238" s="2" t="s">
        <v>49</v>
      </c>
      <c r="C238" s="2" t="s">
        <v>49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3.6999999999999998E-2</v>
      </c>
      <c r="Y238" s="2">
        <v>0.20300000000000001</v>
      </c>
      <c r="Z238" s="2">
        <v>0.65100000000000002</v>
      </c>
      <c r="AA238" s="2">
        <v>0.109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0</v>
      </c>
      <c r="AS238" s="2">
        <v>0</v>
      </c>
      <c r="AT238" s="2">
        <v>0</v>
      </c>
      <c r="AU238" s="2">
        <v>0</v>
      </c>
      <c r="AV238" s="2">
        <v>0</v>
      </c>
      <c r="AW238" s="2">
        <v>0</v>
      </c>
      <c r="AX238" s="2">
        <v>0</v>
      </c>
      <c r="AY238" s="2">
        <v>0</v>
      </c>
      <c r="AZ238" s="2">
        <v>0</v>
      </c>
    </row>
    <row r="239" spans="1:52">
      <c r="A239" s="2">
        <v>238</v>
      </c>
      <c r="B239" s="2" t="s">
        <v>54</v>
      </c>
      <c r="C239" s="2" t="s">
        <v>54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4.2000000000000003E-2</v>
      </c>
      <c r="Z239" s="2">
        <v>9.8000000000000004E-2</v>
      </c>
      <c r="AA239" s="2">
        <v>0.86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2">
        <v>0</v>
      </c>
      <c r="AP239" s="2">
        <v>0</v>
      </c>
      <c r="AQ239" s="2">
        <v>0</v>
      </c>
      <c r="AR239" s="2">
        <v>0</v>
      </c>
      <c r="AS239" s="2">
        <v>0</v>
      </c>
      <c r="AT239" s="2">
        <v>0</v>
      </c>
      <c r="AU239" s="2">
        <v>0</v>
      </c>
      <c r="AV239" s="2">
        <v>0</v>
      </c>
      <c r="AW239" s="2">
        <v>0</v>
      </c>
      <c r="AX239" s="2">
        <v>0</v>
      </c>
      <c r="AY239" s="2">
        <v>0</v>
      </c>
      <c r="AZ239" s="2">
        <v>0</v>
      </c>
    </row>
    <row r="240" spans="1:52">
      <c r="A240" s="2">
        <v>239</v>
      </c>
      <c r="B240" s="2" t="s">
        <v>143</v>
      </c>
      <c r="C240" s="2" t="s">
        <v>143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5.0000000000000001E-3</v>
      </c>
      <c r="K240" s="2">
        <v>0.995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2">
        <v>0</v>
      </c>
      <c r="AP240" s="2">
        <v>0</v>
      </c>
      <c r="AQ240" s="2">
        <v>0</v>
      </c>
      <c r="AR240" s="2">
        <v>0</v>
      </c>
      <c r="AS240" s="2">
        <v>0</v>
      </c>
      <c r="AT240" s="2">
        <v>0</v>
      </c>
      <c r="AU240" s="2">
        <v>0</v>
      </c>
      <c r="AV240" s="2">
        <v>0</v>
      </c>
      <c r="AW240" s="2">
        <v>0</v>
      </c>
      <c r="AX240" s="2">
        <v>0</v>
      </c>
      <c r="AY240" s="2">
        <v>0</v>
      </c>
      <c r="AZ240" s="2">
        <v>0</v>
      </c>
    </row>
    <row r="241" spans="1:52">
      <c r="A241" s="2">
        <v>240</v>
      </c>
      <c r="B241" s="2" t="s">
        <v>33</v>
      </c>
      <c r="C241" s="2" t="s">
        <v>33</v>
      </c>
      <c r="D241" s="2">
        <v>0</v>
      </c>
      <c r="E241" s="2">
        <v>0</v>
      </c>
      <c r="F241" s="2">
        <v>0</v>
      </c>
      <c r="G241" s="2">
        <v>0.96899999999999997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2">
        <v>0</v>
      </c>
      <c r="AP241" s="2">
        <v>0</v>
      </c>
      <c r="AQ241" s="2">
        <v>0</v>
      </c>
      <c r="AR241" s="2">
        <v>0</v>
      </c>
      <c r="AS241" s="2">
        <v>0</v>
      </c>
      <c r="AT241" s="2">
        <v>0</v>
      </c>
      <c r="AU241" s="2">
        <v>0</v>
      </c>
      <c r="AV241" s="2">
        <v>0</v>
      </c>
      <c r="AW241" s="2">
        <v>0</v>
      </c>
      <c r="AX241" s="2">
        <v>0</v>
      </c>
      <c r="AY241" s="2">
        <v>3.1E-2</v>
      </c>
      <c r="AZ241" s="2">
        <v>0</v>
      </c>
    </row>
    <row r="242" spans="1:52">
      <c r="A242" s="2">
        <v>241</v>
      </c>
      <c r="B242" s="2" t="s">
        <v>42</v>
      </c>
      <c r="C242" s="2" t="s">
        <v>42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1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  <c r="AQ242" s="2">
        <v>0</v>
      </c>
      <c r="AR242" s="2">
        <v>0</v>
      </c>
      <c r="AS242" s="2">
        <v>0</v>
      </c>
      <c r="AT242" s="2">
        <v>0</v>
      </c>
      <c r="AU242" s="2">
        <v>0</v>
      </c>
      <c r="AV242" s="2">
        <v>0</v>
      </c>
      <c r="AW242" s="2">
        <v>0</v>
      </c>
      <c r="AX242" s="2">
        <v>0</v>
      </c>
      <c r="AY242" s="2">
        <v>0</v>
      </c>
      <c r="AZ242" s="2">
        <v>0</v>
      </c>
    </row>
    <row r="243" spans="1:52">
      <c r="A243" s="2">
        <v>242</v>
      </c>
      <c r="B243" s="2" t="s">
        <v>74</v>
      </c>
      <c r="C243" s="2" t="s">
        <v>74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2">
        <v>0.14000000000000001</v>
      </c>
      <c r="AN243" s="2">
        <v>0</v>
      </c>
      <c r="AO243" s="2">
        <v>0.86</v>
      </c>
      <c r="AP243" s="2">
        <v>0</v>
      </c>
      <c r="AQ243" s="2">
        <v>0</v>
      </c>
      <c r="AR243" s="2">
        <v>0</v>
      </c>
      <c r="AS243" s="2">
        <v>0</v>
      </c>
      <c r="AT243" s="2">
        <v>0</v>
      </c>
      <c r="AU243" s="2">
        <v>0</v>
      </c>
      <c r="AV243" s="2">
        <v>0</v>
      </c>
      <c r="AW243" s="2">
        <v>0</v>
      </c>
      <c r="AX243" s="2">
        <v>0</v>
      </c>
      <c r="AY243" s="2">
        <v>0</v>
      </c>
      <c r="AZ243" s="2">
        <v>0</v>
      </c>
    </row>
    <row r="244" spans="1:52">
      <c r="A244" s="2">
        <v>243</v>
      </c>
      <c r="B244" s="2" t="s">
        <v>25</v>
      </c>
      <c r="C244" s="2" t="s">
        <v>25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0.78700000000000003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0.21299999999999999</v>
      </c>
      <c r="AL244" s="2">
        <v>0</v>
      </c>
      <c r="AM244" s="2">
        <v>0</v>
      </c>
      <c r="AN244" s="2">
        <v>0</v>
      </c>
      <c r="AO244" s="2">
        <v>0</v>
      </c>
      <c r="AP244" s="2">
        <v>0</v>
      </c>
      <c r="AQ244" s="2">
        <v>0</v>
      </c>
      <c r="AR244" s="2">
        <v>0</v>
      </c>
      <c r="AS244" s="2">
        <v>0</v>
      </c>
      <c r="AT244" s="2">
        <v>0</v>
      </c>
      <c r="AU244" s="2">
        <v>0</v>
      </c>
      <c r="AV244" s="2">
        <v>0</v>
      </c>
      <c r="AW244" s="2">
        <v>0</v>
      </c>
      <c r="AX244" s="2">
        <v>0</v>
      </c>
      <c r="AY244" s="2">
        <v>0</v>
      </c>
      <c r="AZ244" s="2">
        <v>0</v>
      </c>
    </row>
    <row r="245" spans="1:52">
      <c r="A245" s="2">
        <v>244</v>
      </c>
      <c r="B245" s="2" t="s">
        <v>54</v>
      </c>
      <c r="C245" s="2" t="s">
        <v>54</v>
      </c>
      <c r="D245" s="2">
        <v>0</v>
      </c>
      <c r="E245" s="2">
        <v>0</v>
      </c>
      <c r="F245" s="2">
        <v>1E-3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5.0000000000000001E-3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1.4E-2</v>
      </c>
      <c r="Y245" s="2">
        <v>0</v>
      </c>
      <c r="Z245" s="2">
        <v>0.20300000000000001</v>
      </c>
      <c r="AA245" s="2">
        <v>0.77300000000000002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2">
        <v>0</v>
      </c>
      <c r="AP245" s="2">
        <v>0</v>
      </c>
      <c r="AQ245" s="2">
        <v>0</v>
      </c>
      <c r="AR245" s="2">
        <v>0</v>
      </c>
      <c r="AS245" s="2">
        <v>0</v>
      </c>
      <c r="AT245" s="2">
        <v>0</v>
      </c>
      <c r="AU245" s="2">
        <v>0</v>
      </c>
      <c r="AV245" s="2">
        <v>4.0000000000000001E-3</v>
      </c>
      <c r="AW245" s="2">
        <v>0</v>
      </c>
      <c r="AX245" s="2">
        <v>0</v>
      </c>
      <c r="AY245" s="2">
        <v>0</v>
      </c>
      <c r="AZ245" s="2">
        <v>0</v>
      </c>
    </row>
    <row r="246" spans="1:52">
      <c r="A246" s="2">
        <v>245</v>
      </c>
      <c r="B246" s="2" t="s">
        <v>86</v>
      </c>
      <c r="C246" s="2" t="s">
        <v>86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0.91</v>
      </c>
      <c r="Z246" s="2">
        <v>0.09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2">
        <v>0</v>
      </c>
      <c r="AP246" s="2">
        <v>0</v>
      </c>
      <c r="AQ246" s="2">
        <v>0</v>
      </c>
      <c r="AR246" s="2">
        <v>0</v>
      </c>
      <c r="AS246" s="2">
        <v>0</v>
      </c>
      <c r="AT246" s="2">
        <v>0</v>
      </c>
      <c r="AU246" s="2">
        <v>0</v>
      </c>
      <c r="AV246" s="2">
        <v>0</v>
      </c>
      <c r="AW246" s="2">
        <v>0</v>
      </c>
      <c r="AX246" s="2">
        <v>0</v>
      </c>
      <c r="AY246" s="2">
        <v>0</v>
      </c>
      <c r="AZ246" s="2">
        <v>0</v>
      </c>
    </row>
    <row r="247" spans="1:52">
      <c r="A247" s="2">
        <v>246</v>
      </c>
      <c r="B247" s="2" t="s">
        <v>70</v>
      </c>
      <c r="C247" s="2" t="s">
        <v>70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0.86499999999999999</v>
      </c>
      <c r="V247" s="2">
        <v>0</v>
      </c>
      <c r="W247" s="2">
        <v>0.13500000000000001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2">
        <v>0</v>
      </c>
      <c r="AP247" s="2">
        <v>0</v>
      </c>
      <c r="AQ247" s="2">
        <v>0</v>
      </c>
      <c r="AR247" s="2">
        <v>0</v>
      </c>
      <c r="AS247" s="2">
        <v>0</v>
      </c>
      <c r="AT247" s="2">
        <v>0</v>
      </c>
      <c r="AU247" s="2">
        <v>0</v>
      </c>
      <c r="AV247" s="2">
        <v>0</v>
      </c>
      <c r="AW247" s="2">
        <v>0</v>
      </c>
      <c r="AX247" s="2">
        <v>0</v>
      </c>
      <c r="AY247" s="2">
        <v>0</v>
      </c>
      <c r="AZ247" s="2">
        <v>0</v>
      </c>
    </row>
    <row r="248" spans="1:52">
      <c r="A248" s="2">
        <v>247</v>
      </c>
      <c r="B248" s="2" t="s">
        <v>33</v>
      </c>
      <c r="C248" s="2" t="s">
        <v>33</v>
      </c>
      <c r="D248" s="2">
        <v>0</v>
      </c>
      <c r="E248" s="2">
        <v>0</v>
      </c>
      <c r="F248" s="2">
        <v>0</v>
      </c>
      <c r="G248" s="2">
        <v>1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2">
        <v>0</v>
      </c>
      <c r="AP248" s="2">
        <v>0</v>
      </c>
      <c r="AQ248" s="2">
        <v>0</v>
      </c>
      <c r="AR248" s="2">
        <v>0</v>
      </c>
      <c r="AS248" s="2">
        <v>0</v>
      </c>
      <c r="AT248" s="2">
        <v>0</v>
      </c>
      <c r="AU248" s="2">
        <v>0</v>
      </c>
      <c r="AV248" s="2">
        <v>0</v>
      </c>
      <c r="AW248" s="2">
        <v>0</v>
      </c>
      <c r="AX248" s="2">
        <v>0</v>
      </c>
      <c r="AY248" s="2">
        <v>0</v>
      </c>
      <c r="AZ248" s="2">
        <v>0</v>
      </c>
    </row>
    <row r="249" spans="1:52">
      <c r="A249" s="2">
        <v>248</v>
      </c>
      <c r="B249" s="2" t="s">
        <v>25</v>
      </c>
      <c r="C249" s="2" t="s">
        <v>25</v>
      </c>
      <c r="D249" s="2">
        <v>0</v>
      </c>
      <c r="E249" s="2">
        <v>0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0.86499999999999999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0.13500000000000001</v>
      </c>
      <c r="AL249" s="2">
        <v>0</v>
      </c>
      <c r="AM249" s="2">
        <v>0</v>
      </c>
      <c r="AN249" s="2">
        <v>0</v>
      </c>
      <c r="AO249" s="2">
        <v>0</v>
      </c>
      <c r="AP249" s="2">
        <v>0</v>
      </c>
      <c r="AQ249" s="2">
        <v>0</v>
      </c>
      <c r="AR249" s="2">
        <v>0</v>
      </c>
      <c r="AS249" s="2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2">
        <v>0</v>
      </c>
      <c r="AZ249" s="2">
        <v>0</v>
      </c>
    </row>
    <row r="250" spans="1:52">
      <c r="A250" s="2">
        <v>249</v>
      </c>
      <c r="B250" s="2" t="s">
        <v>316</v>
      </c>
      <c r="C250" s="2" t="s">
        <v>316</v>
      </c>
      <c r="D250" s="2">
        <v>0</v>
      </c>
      <c r="E250" s="2">
        <v>0</v>
      </c>
      <c r="F250" s="2">
        <v>0.88900000000000001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2">
        <v>0</v>
      </c>
      <c r="AP250" s="2">
        <v>0</v>
      </c>
      <c r="AQ250" s="2">
        <v>0</v>
      </c>
      <c r="AR250" s="2">
        <v>0</v>
      </c>
      <c r="AS250" s="2">
        <v>0</v>
      </c>
      <c r="AT250" s="2">
        <v>0</v>
      </c>
      <c r="AU250" s="2">
        <v>0</v>
      </c>
      <c r="AV250" s="2">
        <v>0</v>
      </c>
      <c r="AW250" s="2">
        <v>0.111</v>
      </c>
      <c r="AX250" s="2">
        <v>0</v>
      </c>
      <c r="AY250" s="2">
        <v>0</v>
      </c>
      <c r="AZ250" s="2">
        <v>0</v>
      </c>
    </row>
    <row r="251" spans="1:52">
      <c r="A251" s="2">
        <v>250</v>
      </c>
      <c r="B251" s="2" t="s">
        <v>54</v>
      </c>
      <c r="C251" s="2" t="s">
        <v>54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8.7999999999999995E-2</v>
      </c>
      <c r="Z251" s="2">
        <v>0.10299999999999999</v>
      </c>
      <c r="AA251" s="2">
        <v>0.80900000000000005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2">
        <v>0</v>
      </c>
      <c r="AP251" s="2">
        <v>0</v>
      </c>
      <c r="AQ251" s="2">
        <v>0</v>
      </c>
      <c r="AR251" s="2">
        <v>0</v>
      </c>
      <c r="AS251" s="2">
        <v>0</v>
      </c>
      <c r="AT251" s="2">
        <v>0</v>
      </c>
      <c r="AU251" s="2">
        <v>0</v>
      </c>
      <c r="AV251" s="2">
        <v>0</v>
      </c>
      <c r="AW251" s="2">
        <v>0</v>
      </c>
      <c r="AX251" s="2">
        <v>0</v>
      </c>
      <c r="AY251" s="2">
        <v>0</v>
      </c>
      <c r="AZ251" s="2">
        <v>0</v>
      </c>
    </row>
    <row r="252" spans="1:52">
      <c r="A252" s="2">
        <v>251</v>
      </c>
      <c r="B252" s="2" t="s">
        <v>42</v>
      </c>
      <c r="C252" s="2" t="s">
        <v>42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1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2">
        <v>0</v>
      </c>
      <c r="AP252" s="2">
        <v>0</v>
      </c>
      <c r="AQ252" s="2">
        <v>0</v>
      </c>
      <c r="AR252" s="2">
        <v>0</v>
      </c>
      <c r="AS252" s="2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2">
        <v>0</v>
      </c>
      <c r="AZ252" s="2">
        <v>0</v>
      </c>
    </row>
    <row r="253" spans="1:52">
      <c r="A253" s="2">
        <v>252</v>
      </c>
      <c r="B253" s="2" t="s">
        <v>131</v>
      </c>
      <c r="C253" s="2" t="s">
        <v>131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2">
        <v>0</v>
      </c>
      <c r="AP253" s="2">
        <v>0</v>
      </c>
      <c r="AQ253" s="2">
        <v>0</v>
      </c>
      <c r="AR253" s="2">
        <v>0</v>
      </c>
      <c r="AS253" s="2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2">
        <v>0</v>
      </c>
      <c r="AZ253" s="2">
        <v>0</v>
      </c>
    </row>
    <row r="254" spans="1:52">
      <c r="A254" s="2">
        <v>253</v>
      </c>
      <c r="B254" s="2" t="s">
        <v>96</v>
      </c>
      <c r="C254" s="2" t="s">
        <v>96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2">
        <v>0</v>
      </c>
      <c r="J254" s="2">
        <v>1E-3</v>
      </c>
      <c r="K254" s="2">
        <v>0</v>
      </c>
      <c r="L254" s="2">
        <v>0</v>
      </c>
      <c r="M254" s="2">
        <v>0</v>
      </c>
      <c r="N254" s="2">
        <v>0.99299999999999999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6.0000000000000001E-3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  <c r="AQ254" s="2">
        <v>0</v>
      </c>
      <c r="AR254" s="2">
        <v>0</v>
      </c>
      <c r="AS254" s="2">
        <v>0</v>
      </c>
      <c r="AT254" s="2">
        <v>0</v>
      </c>
      <c r="AU254" s="2">
        <v>0</v>
      </c>
      <c r="AV254" s="2">
        <v>0</v>
      </c>
      <c r="AW254" s="2">
        <v>0</v>
      </c>
      <c r="AX254" s="2">
        <v>0</v>
      </c>
      <c r="AY254" s="2">
        <v>0</v>
      </c>
      <c r="AZ254" s="2">
        <v>0</v>
      </c>
    </row>
    <row r="255" spans="1:52">
      <c r="A255" s="2">
        <v>254</v>
      </c>
      <c r="B255" s="2" t="s">
        <v>49</v>
      </c>
      <c r="C255" s="2" t="s">
        <v>49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3.4000000000000002E-2</v>
      </c>
      <c r="Z255" s="2">
        <v>0.66800000000000004</v>
      </c>
      <c r="AA255" s="2">
        <v>0.29799999999999999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2">
        <v>0</v>
      </c>
      <c r="AP255" s="2">
        <v>0</v>
      </c>
      <c r="AQ255" s="2">
        <v>0</v>
      </c>
      <c r="AR255" s="2">
        <v>0</v>
      </c>
      <c r="AS255" s="2">
        <v>0</v>
      </c>
      <c r="AT255" s="2">
        <v>0</v>
      </c>
      <c r="AU255" s="2">
        <v>0</v>
      </c>
      <c r="AV255" s="2">
        <v>0</v>
      </c>
      <c r="AW255" s="2">
        <v>0</v>
      </c>
      <c r="AX255" s="2">
        <v>0</v>
      </c>
      <c r="AY255" s="2">
        <v>0</v>
      </c>
      <c r="AZ255" s="2">
        <v>0</v>
      </c>
    </row>
    <row r="256" spans="1:52">
      <c r="A256" s="2">
        <v>255</v>
      </c>
      <c r="B256" s="2" t="s">
        <v>108</v>
      </c>
      <c r="C256" s="2" t="s">
        <v>108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0.998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2E-3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  <c r="AQ256" s="2">
        <v>0</v>
      </c>
      <c r="AR256" s="2">
        <v>0</v>
      </c>
      <c r="AS256" s="2">
        <v>0</v>
      </c>
      <c r="AT256" s="2">
        <v>0</v>
      </c>
      <c r="AU256" s="2">
        <v>0</v>
      </c>
      <c r="AV256" s="2">
        <v>0</v>
      </c>
      <c r="AW256" s="2">
        <v>0</v>
      </c>
      <c r="AX256" s="2">
        <v>0</v>
      </c>
      <c r="AY256" s="2">
        <v>0</v>
      </c>
      <c r="AZ256" s="2">
        <v>0</v>
      </c>
    </row>
    <row r="257" spans="1:52">
      <c r="A257" s="2">
        <v>256</v>
      </c>
      <c r="B257" s="2" t="s">
        <v>33</v>
      </c>
      <c r="C257" s="2" t="s">
        <v>33</v>
      </c>
      <c r="D257" s="2">
        <v>0</v>
      </c>
      <c r="E257" s="2">
        <v>0</v>
      </c>
      <c r="F257" s="2">
        <v>0</v>
      </c>
      <c r="G257" s="2">
        <v>1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2">
        <v>0</v>
      </c>
      <c r="AP257" s="2">
        <v>0</v>
      </c>
      <c r="AQ257" s="2">
        <v>0</v>
      </c>
      <c r="AR257" s="2">
        <v>0</v>
      </c>
      <c r="AS257" s="2">
        <v>0</v>
      </c>
      <c r="AT257" s="2">
        <v>0</v>
      </c>
      <c r="AU257" s="2">
        <v>0</v>
      </c>
      <c r="AV257" s="2">
        <v>0</v>
      </c>
      <c r="AW257" s="2">
        <v>0</v>
      </c>
      <c r="AX257" s="2">
        <v>0</v>
      </c>
      <c r="AY257" s="2">
        <v>0</v>
      </c>
      <c r="AZ257" s="2">
        <v>0</v>
      </c>
    </row>
    <row r="258" spans="1:52">
      <c r="A258" s="2">
        <v>257</v>
      </c>
      <c r="B258" s="2" t="s">
        <v>29</v>
      </c>
      <c r="C258" s="2" t="s">
        <v>29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1</v>
      </c>
      <c r="AK258" s="2">
        <v>0</v>
      </c>
      <c r="AL258" s="2">
        <v>0</v>
      </c>
      <c r="AM258" s="2">
        <v>0</v>
      </c>
      <c r="AN258" s="2">
        <v>0</v>
      </c>
      <c r="AO258" s="2">
        <v>0</v>
      </c>
      <c r="AP258" s="2">
        <v>0</v>
      </c>
      <c r="AQ258" s="2">
        <v>0</v>
      </c>
      <c r="AR258" s="2">
        <v>0</v>
      </c>
      <c r="AS258" s="2">
        <v>0</v>
      </c>
      <c r="AT258" s="2">
        <v>0</v>
      </c>
      <c r="AU258" s="2">
        <v>0</v>
      </c>
      <c r="AV258" s="2">
        <v>0</v>
      </c>
      <c r="AW258" s="2">
        <v>0</v>
      </c>
      <c r="AX258" s="2">
        <v>0</v>
      </c>
      <c r="AY258" s="2">
        <v>0</v>
      </c>
      <c r="AZ258" s="2">
        <v>0</v>
      </c>
    </row>
    <row r="259" spans="1:52">
      <c r="A259" s="2">
        <v>258</v>
      </c>
      <c r="B259" s="2" t="s">
        <v>25</v>
      </c>
      <c r="C259" s="2" t="s">
        <v>25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1E-3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0.86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0.13900000000000001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  <c r="AQ259" s="2">
        <v>0</v>
      </c>
      <c r="AR259" s="2">
        <v>0</v>
      </c>
      <c r="AS259" s="2">
        <v>0</v>
      </c>
      <c r="AT259" s="2">
        <v>0</v>
      </c>
      <c r="AU259" s="2">
        <v>0</v>
      </c>
      <c r="AV259" s="2">
        <v>0</v>
      </c>
      <c r="AW259" s="2">
        <v>0</v>
      </c>
      <c r="AX259" s="2">
        <v>0</v>
      </c>
      <c r="AY259" s="2">
        <v>0</v>
      </c>
      <c r="AZ259" s="2">
        <v>0</v>
      </c>
    </row>
    <row r="260" spans="1:52">
      <c r="A260" s="2">
        <v>259</v>
      </c>
      <c r="B260" s="2" t="s">
        <v>316</v>
      </c>
      <c r="C260" s="2" t="s">
        <v>316</v>
      </c>
      <c r="D260" s="2">
        <v>0</v>
      </c>
      <c r="E260" s="2">
        <v>0</v>
      </c>
      <c r="F260" s="2">
        <v>0.73499999999999999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2E-3</v>
      </c>
      <c r="X260" s="2">
        <v>2E-3</v>
      </c>
      <c r="Y260" s="2">
        <v>0</v>
      </c>
      <c r="Z260" s="2">
        <v>0</v>
      </c>
      <c r="AA260" s="2">
        <v>0</v>
      </c>
      <c r="AB260" s="2">
        <v>0</v>
      </c>
      <c r="AC260" s="2">
        <v>1E-3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2">
        <v>0</v>
      </c>
      <c r="AP260" s="2">
        <v>0</v>
      </c>
      <c r="AQ260" s="2">
        <v>0</v>
      </c>
      <c r="AR260" s="2">
        <v>0</v>
      </c>
      <c r="AS260" s="2">
        <v>0</v>
      </c>
      <c r="AT260" s="2">
        <v>0</v>
      </c>
      <c r="AU260" s="2">
        <v>0</v>
      </c>
      <c r="AV260" s="2">
        <v>0</v>
      </c>
      <c r="AW260" s="2">
        <v>0.25900000000000001</v>
      </c>
      <c r="AX260" s="2">
        <v>1E-3</v>
      </c>
      <c r="AY260" s="2">
        <v>0</v>
      </c>
      <c r="AZ260" s="2">
        <v>0</v>
      </c>
    </row>
    <row r="261" spans="1:52">
      <c r="A261" s="2">
        <v>260</v>
      </c>
      <c r="B261" s="2" t="s">
        <v>45</v>
      </c>
      <c r="C261" s="2" t="s">
        <v>45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0.219</v>
      </c>
      <c r="V261" s="2">
        <v>0</v>
      </c>
      <c r="W261" s="2">
        <v>0.78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  <c r="AQ261" s="2">
        <v>0</v>
      </c>
      <c r="AR261" s="2">
        <v>0</v>
      </c>
      <c r="AS261" s="2">
        <v>0</v>
      </c>
      <c r="AT261" s="2">
        <v>0</v>
      </c>
      <c r="AU261" s="2">
        <v>0</v>
      </c>
      <c r="AV261" s="2">
        <v>0</v>
      </c>
      <c r="AW261" s="2">
        <v>0</v>
      </c>
      <c r="AX261" s="2">
        <v>1E-3</v>
      </c>
      <c r="AY261" s="2">
        <v>0</v>
      </c>
      <c r="AZ261" s="2">
        <v>0</v>
      </c>
    </row>
    <row r="262" spans="1:52">
      <c r="A262" s="2">
        <v>261</v>
      </c>
      <c r="B262" s="2" t="s">
        <v>327</v>
      </c>
      <c r="C262" s="2" t="s">
        <v>327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0.98799999999999999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1E-3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1.0999999999999999E-2</v>
      </c>
      <c r="AM262" s="2">
        <v>0</v>
      </c>
      <c r="AN262" s="2">
        <v>0</v>
      </c>
      <c r="AO262" s="2">
        <v>0</v>
      </c>
      <c r="AP262" s="2">
        <v>0</v>
      </c>
      <c r="AQ262" s="2">
        <v>0</v>
      </c>
      <c r="AR262" s="2">
        <v>0</v>
      </c>
      <c r="AS262" s="2">
        <v>0</v>
      </c>
      <c r="AT262" s="2">
        <v>0</v>
      </c>
      <c r="AU262" s="2">
        <v>0</v>
      </c>
      <c r="AV262" s="2">
        <v>0</v>
      </c>
      <c r="AW262" s="2">
        <v>0</v>
      </c>
      <c r="AX262" s="2">
        <v>0</v>
      </c>
      <c r="AY262" s="2">
        <v>0</v>
      </c>
      <c r="AZ262" s="2">
        <v>0</v>
      </c>
    </row>
    <row r="263" spans="1:52">
      <c r="A263" s="2">
        <v>262</v>
      </c>
      <c r="B263" s="2" t="s">
        <v>42</v>
      </c>
      <c r="C263" s="2" t="s">
        <v>42</v>
      </c>
      <c r="D263" s="2">
        <v>0.13100000000000001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0.66</v>
      </c>
      <c r="P263" s="2">
        <v>0.20899999999999999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0</v>
      </c>
      <c r="AL263" s="2">
        <v>0</v>
      </c>
      <c r="AM263" s="2">
        <v>0</v>
      </c>
      <c r="AN263" s="2">
        <v>0</v>
      </c>
      <c r="AO263" s="2">
        <v>0</v>
      </c>
      <c r="AP263" s="2">
        <v>0</v>
      </c>
      <c r="AQ263" s="2">
        <v>0</v>
      </c>
      <c r="AR263" s="2">
        <v>0</v>
      </c>
      <c r="AS263" s="2">
        <v>0</v>
      </c>
      <c r="AT263" s="2">
        <v>0</v>
      </c>
      <c r="AU263" s="2">
        <v>0</v>
      </c>
      <c r="AV263" s="2">
        <v>0</v>
      </c>
      <c r="AW263" s="2">
        <v>0</v>
      </c>
      <c r="AX263" s="2">
        <v>0</v>
      </c>
      <c r="AY263" s="2">
        <v>0</v>
      </c>
      <c r="AZ263" s="2">
        <v>0</v>
      </c>
    </row>
    <row r="264" spans="1:52">
      <c r="A264" s="2">
        <v>263</v>
      </c>
      <c r="B264" s="2" t="s">
        <v>330</v>
      </c>
      <c r="C264" s="2" t="s">
        <v>330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3.0000000000000001E-3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0.98599999999999999</v>
      </c>
      <c r="AF264" s="2">
        <v>4.0000000000000001E-3</v>
      </c>
      <c r="AG264" s="2">
        <v>0</v>
      </c>
      <c r="AH264" s="2">
        <v>0</v>
      </c>
      <c r="AI264" s="2">
        <v>0</v>
      </c>
      <c r="AJ264" s="2">
        <v>0</v>
      </c>
      <c r="AK264" s="2">
        <v>0</v>
      </c>
      <c r="AL264" s="2">
        <v>0</v>
      </c>
      <c r="AM264" s="2">
        <v>0</v>
      </c>
      <c r="AN264" s="2">
        <v>0</v>
      </c>
      <c r="AO264" s="2">
        <v>0</v>
      </c>
      <c r="AP264" s="2">
        <v>0</v>
      </c>
      <c r="AQ264" s="2">
        <v>0</v>
      </c>
      <c r="AR264" s="2">
        <v>4.0000000000000001E-3</v>
      </c>
      <c r="AS264" s="2">
        <v>0</v>
      </c>
      <c r="AT264" s="2">
        <v>0</v>
      </c>
      <c r="AU264" s="2">
        <v>0</v>
      </c>
      <c r="AV264" s="2">
        <v>2E-3</v>
      </c>
      <c r="AW264" s="2">
        <v>0</v>
      </c>
      <c r="AX264" s="2">
        <v>1E-3</v>
      </c>
      <c r="AY264" s="2">
        <v>0</v>
      </c>
      <c r="AZ264" s="2">
        <v>0</v>
      </c>
    </row>
    <row r="265" spans="1:52">
      <c r="A265" s="2">
        <v>264</v>
      </c>
      <c r="B265" s="2" t="s">
        <v>45</v>
      </c>
      <c r="C265" s="2" t="s">
        <v>45</v>
      </c>
      <c r="D265" s="2">
        <v>1E-3</v>
      </c>
      <c r="E265" s="2">
        <v>3.0000000000000001E-3</v>
      </c>
      <c r="F265" s="2">
        <v>8.9999999999999993E-3</v>
      </c>
      <c r="G265" s="2">
        <v>1.4E-2</v>
      </c>
      <c r="H265" s="2">
        <v>2E-3</v>
      </c>
      <c r="I265" s="2">
        <v>4.0000000000000001E-3</v>
      </c>
      <c r="J265" s="2">
        <v>0</v>
      </c>
      <c r="K265" s="2">
        <v>0</v>
      </c>
      <c r="L265" s="2">
        <v>6.0000000000000001E-3</v>
      </c>
      <c r="M265" s="2">
        <v>0</v>
      </c>
      <c r="N265" s="2">
        <v>0</v>
      </c>
      <c r="O265" s="2">
        <v>3.0000000000000001E-3</v>
      </c>
      <c r="P265" s="2">
        <v>0</v>
      </c>
      <c r="Q265" s="2">
        <v>8.0000000000000002E-3</v>
      </c>
      <c r="R265" s="2">
        <v>4.0000000000000001E-3</v>
      </c>
      <c r="S265" s="2">
        <v>0</v>
      </c>
      <c r="T265" s="2">
        <v>1E-3</v>
      </c>
      <c r="U265" s="2">
        <v>0</v>
      </c>
      <c r="V265" s="2">
        <v>0</v>
      </c>
      <c r="W265" s="2">
        <v>0.85099999999999998</v>
      </c>
      <c r="X265" s="2">
        <v>7.0000000000000001E-3</v>
      </c>
      <c r="Y265" s="2">
        <v>2.1000000000000001E-2</v>
      </c>
      <c r="Z265" s="2">
        <v>3.0000000000000001E-3</v>
      </c>
      <c r="AA265" s="2">
        <v>0</v>
      </c>
      <c r="AB265" s="2">
        <v>0</v>
      </c>
      <c r="AC265" s="2">
        <v>1E-3</v>
      </c>
      <c r="AD265" s="2">
        <v>2E-3</v>
      </c>
      <c r="AE265" s="2">
        <v>2E-3</v>
      </c>
      <c r="AF265" s="2">
        <v>7.0000000000000001E-3</v>
      </c>
      <c r="AG265" s="2">
        <v>0</v>
      </c>
      <c r="AH265" s="2">
        <v>1E-3</v>
      </c>
      <c r="AI265" s="2">
        <v>3.0000000000000001E-3</v>
      </c>
      <c r="AJ265" s="2">
        <v>7.0000000000000001E-3</v>
      </c>
      <c r="AK265" s="2">
        <v>0</v>
      </c>
      <c r="AL265" s="2">
        <v>5.0000000000000001E-3</v>
      </c>
      <c r="AM265" s="2">
        <v>2E-3</v>
      </c>
      <c r="AN265" s="2">
        <v>0</v>
      </c>
      <c r="AO265" s="2">
        <v>0</v>
      </c>
      <c r="AP265" s="2">
        <v>8.0000000000000002E-3</v>
      </c>
      <c r="AQ265" s="2">
        <v>0.01</v>
      </c>
      <c r="AR265" s="2">
        <v>4.0000000000000001E-3</v>
      </c>
      <c r="AS265" s="2">
        <v>1E-3</v>
      </c>
      <c r="AT265" s="2">
        <v>0</v>
      </c>
      <c r="AU265" s="2">
        <v>2E-3</v>
      </c>
      <c r="AV265" s="2">
        <v>5.0000000000000001E-3</v>
      </c>
      <c r="AW265" s="2">
        <v>0</v>
      </c>
      <c r="AX265" s="2">
        <v>3.0000000000000001E-3</v>
      </c>
      <c r="AY265" s="2">
        <v>0</v>
      </c>
      <c r="AZ265" s="2">
        <v>0</v>
      </c>
    </row>
    <row r="266" spans="1:52">
      <c r="A266" s="2">
        <v>265</v>
      </c>
      <c r="B266" s="2" t="s">
        <v>42</v>
      </c>
      <c r="C266" s="2" t="s">
        <v>42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1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2">
        <v>0</v>
      </c>
      <c r="AP266" s="2">
        <v>0</v>
      </c>
      <c r="AQ266" s="2">
        <v>0</v>
      </c>
      <c r="AR266" s="2">
        <v>0</v>
      </c>
      <c r="AS266" s="2">
        <v>0</v>
      </c>
      <c r="AT266" s="2">
        <v>0</v>
      </c>
      <c r="AU266" s="2">
        <v>0</v>
      </c>
      <c r="AV266" s="2">
        <v>0</v>
      </c>
      <c r="AW266" s="2">
        <v>0</v>
      </c>
      <c r="AX266" s="2">
        <v>0</v>
      </c>
      <c r="AY266" s="2">
        <v>0</v>
      </c>
      <c r="AZ266" s="2">
        <v>0</v>
      </c>
    </row>
    <row r="267" spans="1:52">
      <c r="A267" s="2">
        <v>266</v>
      </c>
      <c r="B267" s="2" t="s">
        <v>81</v>
      </c>
      <c r="C267" s="2" t="s">
        <v>81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0.111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0.61099999999999999</v>
      </c>
      <c r="AN267" s="2">
        <v>1.2E-2</v>
      </c>
      <c r="AO267" s="2">
        <v>0.26600000000000001</v>
      </c>
      <c r="AP267" s="2">
        <v>0</v>
      </c>
      <c r="AQ267" s="2">
        <v>0</v>
      </c>
      <c r="AR267" s="2">
        <v>0</v>
      </c>
      <c r="AS267" s="2">
        <v>0</v>
      </c>
      <c r="AT267" s="2">
        <v>0</v>
      </c>
      <c r="AU267" s="2">
        <v>0</v>
      </c>
      <c r="AV267" s="2">
        <v>0</v>
      </c>
      <c r="AW267" s="2">
        <v>0</v>
      </c>
      <c r="AX267" s="2">
        <v>0</v>
      </c>
      <c r="AY267" s="2">
        <v>0</v>
      </c>
      <c r="AZ267" s="2">
        <v>0</v>
      </c>
    </row>
    <row r="268" spans="1:52">
      <c r="A268" s="2">
        <v>267</v>
      </c>
      <c r="B268" s="2" t="s">
        <v>22</v>
      </c>
      <c r="C268" s="2" t="s">
        <v>22</v>
      </c>
      <c r="D268" s="2">
        <v>0</v>
      </c>
      <c r="E268" s="2">
        <v>0</v>
      </c>
      <c r="F268" s="2">
        <v>0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0.16800000000000001</v>
      </c>
      <c r="AC268" s="2">
        <v>0</v>
      </c>
      <c r="AD268" s="2">
        <v>0</v>
      </c>
      <c r="AE268" s="2">
        <v>0</v>
      </c>
      <c r="AF268" s="2">
        <v>0</v>
      </c>
      <c r="AG268" s="2">
        <v>0</v>
      </c>
      <c r="AH268" s="2">
        <v>0</v>
      </c>
      <c r="AI268" s="2">
        <v>0</v>
      </c>
      <c r="AJ268" s="2">
        <v>0</v>
      </c>
      <c r="AK268" s="2">
        <v>0.83199999999999996</v>
      </c>
      <c r="AL268" s="2">
        <v>0</v>
      </c>
      <c r="AM268" s="2">
        <v>0</v>
      </c>
      <c r="AN268" s="2">
        <v>0</v>
      </c>
      <c r="AO268" s="2">
        <v>0</v>
      </c>
      <c r="AP268" s="2">
        <v>0</v>
      </c>
      <c r="AQ268" s="2">
        <v>0</v>
      </c>
      <c r="AR268" s="2">
        <v>0</v>
      </c>
      <c r="AS268" s="2">
        <v>0</v>
      </c>
      <c r="AT268" s="2">
        <v>0</v>
      </c>
      <c r="AU268" s="2">
        <v>0</v>
      </c>
      <c r="AV268" s="2">
        <v>0</v>
      </c>
      <c r="AW268" s="2">
        <v>0</v>
      </c>
      <c r="AX268" s="2">
        <v>0</v>
      </c>
      <c r="AY268" s="2">
        <v>0</v>
      </c>
      <c r="AZ268" s="2">
        <v>0</v>
      </c>
    </row>
    <row r="269" spans="1:52">
      <c r="A269" s="2">
        <v>268</v>
      </c>
      <c r="B269" s="2" t="s">
        <v>25</v>
      </c>
      <c r="C269" s="2" t="s">
        <v>25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0.71799999999999997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0.28199999999999997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  <c r="AQ269" s="2">
        <v>0</v>
      </c>
      <c r="AR269" s="2">
        <v>0</v>
      </c>
      <c r="AS269" s="2">
        <v>0</v>
      </c>
      <c r="AT269" s="2">
        <v>0</v>
      </c>
      <c r="AU269" s="2">
        <v>0</v>
      </c>
      <c r="AV269" s="2">
        <v>0</v>
      </c>
      <c r="AW269" s="2">
        <v>0</v>
      </c>
      <c r="AX269" s="2">
        <v>0</v>
      </c>
      <c r="AY269" s="2">
        <v>0</v>
      </c>
      <c r="AZ269" s="2">
        <v>0</v>
      </c>
    </row>
    <row r="270" spans="1:52">
      <c r="A270" s="2">
        <v>269</v>
      </c>
      <c r="B270" s="2" t="s">
        <v>33</v>
      </c>
      <c r="C270" s="2" t="s">
        <v>33</v>
      </c>
      <c r="D270" s="2">
        <v>0</v>
      </c>
      <c r="E270" s="2">
        <v>0</v>
      </c>
      <c r="F270" s="2">
        <v>0</v>
      </c>
      <c r="G270" s="2">
        <v>1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2">
        <v>0</v>
      </c>
      <c r="AP270" s="2">
        <v>0</v>
      </c>
      <c r="AQ270" s="2">
        <v>0</v>
      </c>
      <c r="AR270" s="2">
        <v>0</v>
      </c>
      <c r="AS270" s="2">
        <v>0</v>
      </c>
      <c r="AT270" s="2">
        <v>0</v>
      </c>
      <c r="AU270" s="2">
        <v>0</v>
      </c>
      <c r="AV270" s="2">
        <v>0</v>
      </c>
      <c r="AW270" s="2">
        <v>0</v>
      </c>
      <c r="AX270" s="2">
        <v>0</v>
      </c>
      <c r="AY270" s="2">
        <v>0</v>
      </c>
      <c r="AZ270" s="2">
        <v>0</v>
      </c>
    </row>
    <row r="271" spans="1:52">
      <c r="A271" s="2">
        <v>270</v>
      </c>
      <c r="B271" s="2" t="s">
        <v>339</v>
      </c>
      <c r="C271" s="2" t="s">
        <v>339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0.94399999999999995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1.9E-2</v>
      </c>
      <c r="AN271" s="2">
        <v>1E-3</v>
      </c>
      <c r="AO271" s="2">
        <v>3.5999999999999997E-2</v>
      </c>
      <c r="AP271" s="2">
        <v>0</v>
      </c>
      <c r="AQ271" s="2">
        <v>0</v>
      </c>
      <c r="AR271" s="2">
        <v>0</v>
      </c>
      <c r="AS271" s="2">
        <v>0</v>
      </c>
      <c r="AT271" s="2">
        <v>0</v>
      </c>
      <c r="AU271" s="2">
        <v>0</v>
      </c>
      <c r="AV271" s="2">
        <v>0</v>
      </c>
      <c r="AW271" s="2">
        <v>0</v>
      </c>
      <c r="AX271" s="2">
        <v>0</v>
      </c>
      <c r="AY271" s="2">
        <v>0</v>
      </c>
      <c r="AZ271" s="2">
        <v>0</v>
      </c>
    </row>
    <row r="272" spans="1:52">
      <c r="A272" s="2">
        <v>271</v>
      </c>
      <c r="B272" s="2" t="s">
        <v>25</v>
      </c>
      <c r="C272" s="2" t="s">
        <v>25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0.98899999999999999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1.0999999999999999E-2</v>
      </c>
      <c r="AL272" s="2">
        <v>0</v>
      </c>
      <c r="AM272" s="2">
        <v>0</v>
      </c>
      <c r="AN272" s="2">
        <v>0</v>
      </c>
      <c r="AO272" s="2">
        <v>0</v>
      </c>
      <c r="AP272" s="2">
        <v>0</v>
      </c>
      <c r="AQ272" s="2">
        <v>0</v>
      </c>
      <c r="AR272" s="2">
        <v>0</v>
      </c>
      <c r="AS272" s="2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2">
        <v>0</v>
      </c>
      <c r="AZ272" s="2">
        <v>0</v>
      </c>
    </row>
    <row r="273" spans="1:52">
      <c r="A273" s="2">
        <v>272</v>
      </c>
      <c r="B273" s="2" t="s">
        <v>49</v>
      </c>
      <c r="C273" s="2" t="s">
        <v>49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2E-3</v>
      </c>
      <c r="Y273" s="2">
        <v>2.3E-2</v>
      </c>
      <c r="Z273" s="2">
        <v>0.97499999999999998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2">
        <v>0</v>
      </c>
      <c r="AP273" s="2">
        <v>0</v>
      </c>
      <c r="AQ273" s="2">
        <v>0</v>
      </c>
      <c r="AR273" s="2">
        <v>0</v>
      </c>
      <c r="AS273" s="2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2">
        <v>0</v>
      </c>
      <c r="AZ273" s="2">
        <v>0</v>
      </c>
    </row>
    <row r="274" spans="1:52">
      <c r="A274" s="2">
        <v>273</v>
      </c>
      <c r="B274" s="2" t="s">
        <v>33</v>
      </c>
      <c r="C274" s="2" t="s">
        <v>33</v>
      </c>
      <c r="D274" s="2">
        <v>0</v>
      </c>
      <c r="E274" s="2">
        <v>0</v>
      </c>
      <c r="F274" s="2">
        <v>0</v>
      </c>
      <c r="G274" s="2">
        <v>0.99399999999999999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2">
        <v>0</v>
      </c>
      <c r="AP274" s="2">
        <v>0</v>
      </c>
      <c r="AQ274" s="2">
        <v>0</v>
      </c>
      <c r="AR274" s="2">
        <v>0</v>
      </c>
      <c r="AS274" s="2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2">
        <v>6.0000000000000001E-3</v>
      </c>
      <c r="AZ274" s="2">
        <v>0</v>
      </c>
    </row>
    <row r="275" spans="1:52">
      <c r="A275" s="2">
        <v>274</v>
      </c>
      <c r="B275" s="2" t="s">
        <v>33</v>
      </c>
      <c r="C275" s="2" t="s">
        <v>33</v>
      </c>
      <c r="D275" s="2">
        <v>0</v>
      </c>
      <c r="E275" s="2">
        <v>0</v>
      </c>
      <c r="F275" s="2">
        <v>0</v>
      </c>
      <c r="G275" s="2">
        <v>0.95899999999999996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2">
        <v>0</v>
      </c>
      <c r="AP275" s="2">
        <v>0</v>
      </c>
      <c r="AQ275" s="2">
        <v>0</v>
      </c>
      <c r="AR275" s="2">
        <v>0</v>
      </c>
      <c r="AS275" s="2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2">
        <v>4.1000000000000002E-2</v>
      </c>
      <c r="AZ275" s="2">
        <v>0</v>
      </c>
    </row>
    <row r="276" spans="1:52">
      <c r="A276" s="2">
        <v>275</v>
      </c>
      <c r="B276" s="2" t="s">
        <v>86</v>
      </c>
      <c r="C276" s="2" t="s">
        <v>86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2">
        <v>0.81399999999999995</v>
      </c>
      <c r="Z276" s="2">
        <v>0.121</v>
      </c>
      <c r="AA276" s="2">
        <v>6.5000000000000002E-2</v>
      </c>
      <c r="AB276" s="2">
        <v>0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2">
        <v>0</v>
      </c>
      <c r="AN276" s="2">
        <v>0</v>
      </c>
      <c r="AO276" s="2">
        <v>0</v>
      </c>
      <c r="AP276" s="2">
        <v>0</v>
      </c>
      <c r="AQ276" s="2">
        <v>0</v>
      </c>
      <c r="AR276" s="2">
        <v>0</v>
      </c>
      <c r="AS276" s="2">
        <v>0</v>
      </c>
      <c r="AT276" s="2">
        <v>0</v>
      </c>
      <c r="AU276" s="2">
        <v>0</v>
      </c>
      <c r="AV276" s="2">
        <v>0</v>
      </c>
      <c r="AW276" s="2">
        <v>0</v>
      </c>
      <c r="AX276" s="2">
        <v>0</v>
      </c>
      <c r="AY276" s="2">
        <v>0</v>
      </c>
      <c r="AZ276" s="2">
        <v>0</v>
      </c>
    </row>
    <row r="277" spans="1:52">
      <c r="A277" s="2">
        <v>276</v>
      </c>
      <c r="B277" s="2" t="s">
        <v>64</v>
      </c>
      <c r="C277" s="2" t="s">
        <v>64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1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2">
        <v>0</v>
      </c>
      <c r="AP277" s="2">
        <v>0</v>
      </c>
      <c r="AQ277" s="2">
        <v>0</v>
      </c>
      <c r="AR277" s="2">
        <v>0</v>
      </c>
      <c r="AS277" s="2">
        <v>0</v>
      </c>
      <c r="AT277" s="2">
        <v>0</v>
      </c>
      <c r="AU277" s="2">
        <v>0</v>
      </c>
      <c r="AV277" s="2">
        <v>0</v>
      </c>
      <c r="AW277" s="2">
        <v>0</v>
      </c>
      <c r="AX277" s="2">
        <v>0</v>
      </c>
      <c r="AY277" s="2">
        <v>0</v>
      </c>
      <c r="AZ277" s="2">
        <v>0</v>
      </c>
    </row>
    <row r="278" spans="1:52">
      <c r="A278" s="2">
        <v>277</v>
      </c>
      <c r="B278" s="2" t="s">
        <v>86</v>
      </c>
      <c r="C278" s="2" t="s">
        <v>86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0.99299999999999999</v>
      </c>
      <c r="Z278" s="2">
        <v>5.0000000000000001E-3</v>
      </c>
      <c r="AA278" s="2">
        <v>2E-3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2">
        <v>0</v>
      </c>
      <c r="AP278" s="2">
        <v>0</v>
      </c>
      <c r="AQ278" s="2">
        <v>0</v>
      </c>
      <c r="AR278" s="2">
        <v>0</v>
      </c>
      <c r="AS278" s="2">
        <v>0</v>
      </c>
      <c r="AT278" s="2">
        <v>0</v>
      </c>
      <c r="AU278" s="2">
        <v>0</v>
      </c>
      <c r="AV278" s="2">
        <v>0</v>
      </c>
      <c r="AW278" s="2">
        <v>0</v>
      </c>
      <c r="AX278" s="2">
        <v>0</v>
      </c>
      <c r="AY278" s="2">
        <v>0</v>
      </c>
      <c r="AZ278" s="2">
        <v>0</v>
      </c>
    </row>
    <row r="279" spans="1:52">
      <c r="A279" s="2">
        <v>278</v>
      </c>
      <c r="B279" s="2" t="s">
        <v>22</v>
      </c>
      <c r="C279" s="2" t="s">
        <v>22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0.252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0.748</v>
      </c>
      <c r="AL279" s="2">
        <v>0</v>
      </c>
      <c r="AM279" s="2">
        <v>0</v>
      </c>
      <c r="AN279" s="2">
        <v>0</v>
      </c>
      <c r="AO279" s="2">
        <v>0</v>
      </c>
      <c r="AP279" s="2">
        <v>0</v>
      </c>
      <c r="AQ279" s="2">
        <v>0</v>
      </c>
      <c r="AR279" s="2">
        <v>0</v>
      </c>
      <c r="AS279" s="2">
        <v>0</v>
      </c>
      <c r="AT279" s="2">
        <v>0</v>
      </c>
      <c r="AU279" s="2">
        <v>0</v>
      </c>
      <c r="AV279" s="2">
        <v>0</v>
      </c>
      <c r="AW279" s="2">
        <v>0</v>
      </c>
      <c r="AX279" s="2">
        <v>0</v>
      </c>
      <c r="AY279" s="2">
        <v>0</v>
      </c>
      <c r="AZ279" s="2">
        <v>0</v>
      </c>
    </row>
    <row r="280" spans="1:52">
      <c r="A280" s="2">
        <v>279</v>
      </c>
      <c r="B280" s="2" t="s">
        <v>49</v>
      </c>
      <c r="C280" s="2" t="s">
        <v>49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2E-3</v>
      </c>
      <c r="Y280" s="2">
        <v>0</v>
      </c>
      <c r="Z280" s="2">
        <v>0.998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2">
        <v>0</v>
      </c>
      <c r="AP280" s="2">
        <v>0</v>
      </c>
      <c r="AQ280" s="2">
        <v>0</v>
      </c>
      <c r="AR280" s="2">
        <v>0</v>
      </c>
      <c r="AS280" s="2">
        <v>0</v>
      </c>
      <c r="AT280" s="2">
        <v>0</v>
      </c>
      <c r="AU280" s="2">
        <v>0</v>
      </c>
      <c r="AV280" s="2">
        <v>0</v>
      </c>
      <c r="AW280" s="2">
        <v>0</v>
      </c>
      <c r="AX280" s="2">
        <v>0</v>
      </c>
      <c r="AY280" s="2">
        <v>0</v>
      </c>
      <c r="AZ280" s="2">
        <v>0</v>
      </c>
    </row>
    <row r="281" spans="1:52">
      <c r="A281" s="2">
        <v>280</v>
      </c>
      <c r="B281" s="2" t="s">
        <v>54</v>
      </c>
      <c r="C281" s="2" t="s">
        <v>54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0.104</v>
      </c>
      <c r="Z281" s="2">
        <v>1E-3</v>
      </c>
      <c r="AA281" s="2">
        <v>0.89500000000000002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  <c r="AQ281" s="2">
        <v>0</v>
      </c>
      <c r="AR281" s="2">
        <v>0</v>
      </c>
      <c r="AS281" s="2">
        <v>0</v>
      </c>
      <c r="AT281" s="2">
        <v>0</v>
      </c>
      <c r="AU281" s="2">
        <v>0</v>
      </c>
      <c r="AV281" s="2">
        <v>0</v>
      </c>
      <c r="AW281" s="2">
        <v>0</v>
      </c>
      <c r="AX281" s="2">
        <v>0</v>
      </c>
      <c r="AY281" s="2">
        <v>0</v>
      </c>
      <c r="AZ281" s="2">
        <v>0</v>
      </c>
    </row>
    <row r="282" spans="1:52">
      <c r="A282" s="2">
        <v>281</v>
      </c>
      <c r="B282" s="2" t="s">
        <v>86</v>
      </c>
      <c r="C282" s="2" t="s">
        <v>86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0.995</v>
      </c>
      <c r="Z282" s="2">
        <v>5.0000000000000001E-3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2">
        <v>0</v>
      </c>
      <c r="AP282" s="2">
        <v>0</v>
      </c>
      <c r="AQ282" s="2">
        <v>0</v>
      </c>
      <c r="AR282" s="2">
        <v>0</v>
      </c>
      <c r="AS282" s="2">
        <v>0</v>
      </c>
      <c r="AT282" s="2">
        <v>0</v>
      </c>
      <c r="AU282" s="2">
        <v>0</v>
      </c>
      <c r="AV282" s="2">
        <v>0</v>
      </c>
      <c r="AW282" s="2">
        <v>0</v>
      </c>
      <c r="AX282" s="2">
        <v>0</v>
      </c>
      <c r="AY282" s="2">
        <v>0</v>
      </c>
      <c r="AZ282" s="2">
        <v>0</v>
      </c>
    </row>
    <row r="283" spans="1:52">
      <c r="A283" s="2">
        <v>282</v>
      </c>
      <c r="B283" s="2" t="s">
        <v>33</v>
      </c>
      <c r="C283" s="2" t="s">
        <v>33</v>
      </c>
      <c r="D283" s="2">
        <v>0</v>
      </c>
      <c r="E283" s="2">
        <v>0</v>
      </c>
      <c r="F283" s="2">
        <v>0</v>
      </c>
      <c r="G283" s="2">
        <v>1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2">
        <v>0</v>
      </c>
      <c r="AP283" s="2">
        <v>0</v>
      </c>
      <c r="AQ283" s="2">
        <v>0</v>
      </c>
      <c r="AR283" s="2">
        <v>0</v>
      </c>
      <c r="AS283" s="2">
        <v>0</v>
      </c>
      <c r="AT283" s="2">
        <v>0</v>
      </c>
      <c r="AU283" s="2">
        <v>0</v>
      </c>
      <c r="AV283" s="2">
        <v>0</v>
      </c>
      <c r="AW283" s="2">
        <v>0</v>
      </c>
      <c r="AX283" s="2">
        <v>0</v>
      </c>
      <c r="AY283" s="2">
        <v>0</v>
      </c>
      <c r="AZ283" s="2">
        <v>0</v>
      </c>
    </row>
    <row r="284" spans="1:52">
      <c r="A284" s="2">
        <v>283</v>
      </c>
      <c r="B284" s="2" t="s">
        <v>91</v>
      </c>
      <c r="C284" s="2" t="s">
        <v>91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0</v>
      </c>
      <c r="AL284" s="2">
        <v>0</v>
      </c>
      <c r="AM284" s="2">
        <v>0</v>
      </c>
      <c r="AN284" s="2">
        <v>0</v>
      </c>
      <c r="AO284" s="2">
        <v>0</v>
      </c>
      <c r="AP284" s="2">
        <v>0</v>
      </c>
      <c r="AQ284" s="2">
        <v>0</v>
      </c>
      <c r="AR284" s="2">
        <v>0</v>
      </c>
      <c r="AS284" s="2">
        <v>0</v>
      </c>
      <c r="AT284" s="2">
        <v>0</v>
      </c>
      <c r="AU284" s="2">
        <v>0</v>
      </c>
      <c r="AV284" s="2">
        <v>1</v>
      </c>
      <c r="AW284" s="2">
        <v>0</v>
      </c>
      <c r="AX284" s="2">
        <v>0</v>
      </c>
      <c r="AY284" s="2">
        <v>0</v>
      </c>
      <c r="AZ284" s="2">
        <v>0</v>
      </c>
    </row>
    <row r="285" spans="1:52">
      <c r="A285" s="2">
        <v>284</v>
      </c>
      <c r="B285" s="2" t="s">
        <v>274</v>
      </c>
      <c r="C285" s="2" t="s">
        <v>274</v>
      </c>
      <c r="D285" s="2">
        <v>0</v>
      </c>
      <c r="E285" s="2">
        <v>0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2">
        <v>0</v>
      </c>
      <c r="AM285" s="2">
        <v>0</v>
      </c>
      <c r="AN285" s="2">
        <v>0</v>
      </c>
      <c r="AO285" s="2">
        <v>0</v>
      </c>
      <c r="AP285" s="2">
        <v>0</v>
      </c>
      <c r="AQ285" s="2">
        <v>0.20499999999999999</v>
      </c>
      <c r="AR285" s="2">
        <v>0.79200000000000004</v>
      </c>
      <c r="AS285" s="2">
        <v>0</v>
      </c>
      <c r="AT285" s="2">
        <v>0</v>
      </c>
      <c r="AU285" s="2">
        <v>0</v>
      </c>
      <c r="AV285" s="2">
        <v>0</v>
      </c>
      <c r="AW285" s="2">
        <v>0</v>
      </c>
      <c r="AX285" s="2">
        <v>3.0000000000000001E-3</v>
      </c>
      <c r="AY285" s="2">
        <v>0</v>
      </c>
      <c r="AZ285" s="2">
        <v>0</v>
      </c>
    </row>
    <row r="286" spans="1:52">
      <c r="A286" s="2">
        <v>285</v>
      </c>
      <c r="B286" s="2" t="s">
        <v>86</v>
      </c>
      <c r="C286" s="2" t="s">
        <v>86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0.97799999999999998</v>
      </c>
      <c r="Z286" s="2">
        <v>5.0000000000000001E-3</v>
      </c>
      <c r="AA286" s="2">
        <v>1.7000000000000001E-2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2">
        <v>0</v>
      </c>
      <c r="AP286" s="2">
        <v>0</v>
      </c>
      <c r="AQ286" s="2">
        <v>0</v>
      </c>
      <c r="AR286" s="2">
        <v>0</v>
      </c>
      <c r="AS286" s="2">
        <v>0</v>
      </c>
      <c r="AT286" s="2">
        <v>0</v>
      </c>
      <c r="AU286" s="2">
        <v>0</v>
      </c>
      <c r="AV286" s="2">
        <v>0</v>
      </c>
      <c r="AW286" s="2">
        <v>0</v>
      </c>
      <c r="AX286" s="2">
        <v>0</v>
      </c>
      <c r="AY286" s="2">
        <v>0</v>
      </c>
      <c r="AZ286" s="2">
        <v>0</v>
      </c>
    </row>
    <row r="287" spans="1:52">
      <c r="A287" s="2">
        <v>286</v>
      </c>
      <c r="B287" s="2" t="s">
        <v>33</v>
      </c>
      <c r="C287" s="2" t="s">
        <v>33</v>
      </c>
      <c r="D287" s="2">
        <v>0</v>
      </c>
      <c r="E287" s="2">
        <v>0</v>
      </c>
      <c r="F287" s="2">
        <v>0</v>
      </c>
      <c r="G287" s="2">
        <v>1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2">
        <v>0</v>
      </c>
      <c r="AP287" s="2">
        <v>0</v>
      </c>
      <c r="AQ287" s="2">
        <v>0</v>
      </c>
      <c r="AR287" s="2">
        <v>0</v>
      </c>
      <c r="AS287" s="2">
        <v>0</v>
      </c>
      <c r="AT287" s="2">
        <v>0</v>
      </c>
      <c r="AU287" s="2">
        <v>0</v>
      </c>
      <c r="AV287" s="2">
        <v>0</v>
      </c>
      <c r="AW287" s="2">
        <v>0</v>
      </c>
      <c r="AX287" s="2">
        <v>0</v>
      </c>
      <c r="AY287" s="2">
        <v>0</v>
      </c>
      <c r="AZ287" s="2">
        <v>0</v>
      </c>
    </row>
    <row r="288" spans="1:52">
      <c r="A288" s="2">
        <v>287</v>
      </c>
      <c r="B288" s="2" t="s">
        <v>42</v>
      </c>
      <c r="C288" s="2" t="s">
        <v>42</v>
      </c>
      <c r="D288" s="2">
        <v>5.0000000000000001E-3</v>
      </c>
      <c r="E288" s="2">
        <v>0</v>
      </c>
      <c r="F288" s="2">
        <v>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0.995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0</v>
      </c>
      <c r="AH288" s="2">
        <v>0</v>
      </c>
      <c r="AI288" s="2">
        <v>0</v>
      </c>
      <c r="AJ288" s="2">
        <v>0</v>
      </c>
      <c r="AK288" s="2">
        <v>0</v>
      </c>
      <c r="AL288" s="2">
        <v>0</v>
      </c>
      <c r="AM288" s="2">
        <v>0</v>
      </c>
      <c r="AN288" s="2">
        <v>0</v>
      </c>
      <c r="AO288" s="2">
        <v>0</v>
      </c>
      <c r="AP288" s="2">
        <v>0</v>
      </c>
      <c r="AQ288" s="2">
        <v>0</v>
      </c>
      <c r="AR288" s="2">
        <v>0</v>
      </c>
      <c r="AS288" s="2">
        <v>0</v>
      </c>
      <c r="AT288" s="2">
        <v>0</v>
      </c>
      <c r="AU288" s="2">
        <v>0</v>
      </c>
      <c r="AV288" s="2">
        <v>0</v>
      </c>
      <c r="AW288" s="2">
        <v>0</v>
      </c>
      <c r="AX288" s="2">
        <v>0</v>
      </c>
      <c r="AY288" s="2">
        <v>0</v>
      </c>
      <c r="AZ288" s="2">
        <v>0</v>
      </c>
    </row>
    <row r="289" spans="1:52">
      <c r="A289" s="2">
        <v>288</v>
      </c>
      <c r="B289" s="2" t="s">
        <v>178</v>
      </c>
      <c r="C289" s="2" t="s">
        <v>178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2">
        <v>0</v>
      </c>
      <c r="AP289" s="2">
        <v>1</v>
      </c>
      <c r="AQ289" s="2">
        <v>0</v>
      </c>
      <c r="AR289" s="2">
        <v>0</v>
      </c>
      <c r="AS289" s="2">
        <v>0</v>
      </c>
      <c r="AT289" s="2">
        <v>0</v>
      </c>
      <c r="AU289" s="2">
        <v>0</v>
      </c>
      <c r="AV289" s="2">
        <v>0</v>
      </c>
      <c r="AW289" s="2">
        <v>0</v>
      </c>
      <c r="AX289" s="2">
        <v>0</v>
      </c>
      <c r="AY289" s="2">
        <v>0</v>
      </c>
      <c r="AZ289" s="2">
        <v>0</v>
      </c>
    </row>
    <row r="290" spans="1:52">
      <c r="A290" s="2">
        <v>289</v>
      </c>
      <c r="B290" s="2" t="s">
        <v>37</v>
      </c>
      <c r="C290" s="2" t="s">
        <v>37</v>
      </c>
      <c r="D290" s="2">
        <v>0</v>
      </c>
      <c r="E290" s="2">
        <v>0</v>
      </c>
      <c r="F290" s="2">
        <v>0</v>
      </c>
      <c r="G290" s="2">
        <v>0</v>
      </c>
      <c r="H290" s="2">
        <v>0.64</v>
      </c>
      <c r="I290" s="2">
        <v>0</v>
      </c>
      <c r="J290" s="2">
        <v>0.08</v>
      </c>
      <c r="K290" s="2">
        <v>0.27200000000000002</v>
      </c>
      <c r="L290" s="2">
        <v>1E-3</v>
      </c>
      <c r="M290" s="2">
        <v>0</v>
      </c>
      <c r="N290" s="2">
        <v>6.0000000000000001E-3</v>
      </c>
      <c r="O290" s="2">
        <v>0</v>
      </c>
      <c r="P290" s="2">
        <v>0</v>
      </c>
      <c r="Q290" s="2">
        <v>0</v>
      </c>
      <c r="R290" s="2">
        <v>0</v>
      </c>
      <c r="S290" s="2">
        <v>0</v>
      </c>
      <c r="T290" s="2">
        <v>1E-3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2">
        <v>0</v>
      </c>
      <c r="AP290" s="2">
        <v>0</v>
      </c>
      <c r="AQ290" s="2">
        <v>0</v>
      </c>
      <c r="AR290" s="2">
        <v>0</v>
      </c>
      <c r="AS290" s="2">
        <v>0</v>
      </c>
      <c r="AT290" s="2">
        <v>0</v>
      </c>
      <c r="AU290" s="2">
        <v>0</v>
      </c>
      <c r="AV290" s="2">
        <v>0</v>
      </c>
      <c r="AW290" s="2">
        <v>0</v>
      </c>
      <c r="AX290" s="2">
        <v>0</v>
      </c>
      <c r="AY290" s="2">
        <v>0</v>
      </c>
      <c r="AZ290" s="2">
        <v>0</v>
      </c>
    </row>
    <row r="291" spans="1:52">
      <c r="A291" s="2">
        <v>290</v>
      </c>
      <c r="B291" s="2" t="s">
        <v>226</v>
      </c>
      <c r="C291" s="2" t="s">
        <v>226</v>
      </c>
      <c r="D291" s="2">
        <v>0</v>
      </c>
      <c r="E291" s="2">
        <v>0</v>
      </c>
      <c r="F291" s="2">
        <v>0</v>
      </c>
      <c r="G291" s="2">
        <v>0</v>
      </c>
      <c r="H291" s="2">
        <v>0</v>
      </c>
      <c r="I291" s="2">
        <v>2E-3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4.0000000000000001E-3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6.0000000000000001E-3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2">
        <v>0</v>
      </c>
      <c r="AP291" s="2">
        <v>0</v>
      </c>
      <c r="AQ291" s="2">
        <v>1E-3</v>
      </c>
      <c r="AR291" s="2">
        <v>1E-3</v>
      </c>
      <c r="AS291" s="2">
        <v>0</v>
      </c>
      <c r="AT291" s="2">
        <v>0</v>
      </c>
      <c r="AU291" s="2">
        <v>0</v>
      </c>
      <c r="AV291" s="2">
        <v>0</v>
      </c>
      <c r="AW291" s="2">
        <v>0</v>
      </c>
      <c r="AX291" s="2">
        <v>0.98599999999999999</v>
      </c>
      <c r="AY291" s="2">
        <v>0</v>
      </c>
      <c r="AZ291" s="2">
        <v>0</v>
      </c>
    </row>
    <row r="292" spans="1:52">
      <c r="A292" s="2">
        <v>291</v>
      </c>
      <c r="B292" s="2" t="s">
        <v>70</v>
      </c>
      <c r="C292" s="2" t="s">
        <v>70</v>
      </c>
      <c r="D292" s="2">
        <v>0</v>
      </c>
      <c r="E292" s="2">
        <v>0</v>
      </c>
      <c r="F292" s="2">
        <v>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0.98099999999999998</v>
      </c>
      <c r="V292" s="2">
        <v>0</v>
      </c>
      <c r="W292" s="2">
        <v>1.9E-2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2">
        <v>0</v>
      </c>
      <c r="AP292" s="2">
        <v>0</v>
      </c>
      <c r="AQ292" s="2">
        <v>0</v>
      </c>
      <c r="AR292" s="2">
        <v>0</v>
      </c>
      <c r="AS292" s="2">
        <v>0</v>
      </c>
      <c r="AT292" s="2">
        <v>0</v>
      </c>
      <c r="AU292" s="2">
        <v>0</v>
      </c>
      <c r="AV292" s="2">
        <v>0</v>
      </c>
      <c r="AW292" s="2">
        <v>0</v>
      </c>
      <c r="AX292" s="2">
        <v>0</v>
      </c>
      <c r="AY292" s="2">
        <v>0</v>
      </c>
      <c r="AZ292" s="2">
        <v>0</v>
      </c>
    </row>
    <row r="293" spans="1:52">
      <c r="A293" s="2">
        <v>292</v>
      </c>
      <c r="B293" s="2" t="s">
        <v>33</v>
      </c>
      <c r="C293" s="2" t="s">
        <v>33</v>
      </c>
      <c r="D293" s="2">
        <v>0</v>
      </c>
      <c r="E293" s="2">
        <v>0</v>
      </c>
      <c r="F293" s="2">
        <v>0</v>
      </c>
      <c r="G293" s="2">
        <v>1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2">
        <v>0</v>
      </c>
      <c r="AP293" s="2">
        <v>0</v>
      </c>
      <c r="AQ293" s="2">
        <v>0</v>
      </c>
      <c r="AR293" s="2">
        <v>0</v>
      </c>
      <c r="AS293" s="2">
        <v>0</v>
      </c>
      <c r="AT293" s="2">
        <v>0</v>
      </c>
      <c r="AU293" s="2">
        <v>0</v>
      </c>
      <c r="AV293" s="2">
        <v>0</v>
      </c>
      <c r="AW293" s="2">
        <v>0</v>
      </c>
      <c r="AX293" s="2">
        <v>0</v>
      </c>
      <c r="AY293" s="2">
        <v>0</v>
      </c>
      <c r="AZ293" s="2">
        <v>0</v>
      </c>
    </row>
    <row r="294" spans="1:52">
      <c r="A294" s="2">
        <v>293</v>
      </c>
      <c r="B294" s="2" t="s">
        <v>33</v>
      </c>
      <c r="C294" s="2" t="s">
        <v>33</v>
      </c>
      <c r="D294" s="2">
        <v>0</v>
      </c>
      <c r="E294" s="2">
        <v>0</v>
      </c>
      <c r="F294" s="2">
        <v>0</v>
      </c>
      <c r="G294" s="2">
        <v>1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2">
        <v>0</v>
      </c>
      <c r="AP294" s="2">
        <v>0</v>
      </c>
      <c r="AQ294" s="2">
        <v>0</v>
      </c>
      <c r="AR294" s="2">
        <v>0</v>
      </c>
      <c r="AS294" s="2">
        <v>0</v>
      </c>
      <c r="AT294" s="2">
        <v>0</v>
      </c>
      <c r="AU294" s="2">
        <v>0</v>
      </c>
      <c r="AV294" s="2">
        <v>0</v>
      </c>
      <c r="AW294" s="2">
        <v>0</v>
      </c>
      <c r="AX294" s="2">
        <v>0</v>
      </c>
      <c r="AY294" s="2">
        <v>0</v>
      </c>
      <c r="AZ294" s="2">
        <v>0</v>
      </c>
    </row>
    <row r="295" spans="1:52">
      <c r="A295" s="2">
        <v>294</v>
      </c>
      <c r="B295" s="2" t="s">
        <v>42</v>
      </c>
      <c r="C295" s="2" t="s">
        <v>42</v>
      </c>
      <c r="D295" s="2">
        <v>6.0000000000000001E-3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0.98</v>
      </c>
      <c r="P295" s="2">
        <v>1.4E-2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2">
        <v>0</v>
      </c>
      <c r="AP295" s="2">
        <v>0</v>
      </c>
      <c r="AQ295" s="2">
        <v>0</v>
      </c>
      <c r="AR295" s="2">
        <v>0</v>
      </c>
      <c r="AS295" s="2">
        <v>0</v>
      </c>
      <c r="AT295" s="2">
        <v>0</v>
      </c>
      <c r="AU295" s="2">
        <v>0</v>
      </c>
      <c r="AV295" s="2">
        <v>0</v>
      </c>
      <c r="AW295" s="2">
        <v>0</v>
      </c>
      <c r="AX295" s="2">
        <v>0</v>
      </c>
      <c r="AY295" s="2">
        <v>0</v>
      </c>
      <c r="AZ295" s="2">
        <v>0</v>
      </c>
    </row>
    <row r="296" spans="1:52">
      <c r="A296" s="2">
        <v>295</v>
      </c>
      <c r="B296" s="2" t="s">
        <v>42</v>
      </c>
      <c r="C296" s="2" t="s">
        <v>42</v>
      </c>
      <c r="D296" s="2">
        <v>0.02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2">
        <v>0.96299999999999997</v>
      </c>
      <c r="P296" s="2">
        <v>1.7000000000000001E-2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  <c r="AG296" s="2">
        <v>0</v>
      </c>
      <c r="AH296" s="2">
        <v>0</v>
      </c>
      <c r="AI296" s="2">
        <v>0</v>
      </c>
      <c r="AJ296" s="2">
        <v>0</v>
      </c>
      <c r="AK296" s="2">
        <v>0</v>
      </c>
      <c r="AL296" s="2">
        <v>0</v>
      </c>
      <c r="AM296" s="2">
        <v>0</v>
      </c>
      <c r="AN296" s="2">
        <v>0</v>
      </c>
      <c r="AO296" s="2">
        <v>0</v>
      </c>
      <c r="AP296" s="2">
        <v>0</v>
      </c>
      <c r="AQ296" s="2">
        <v>0</v>
      </c>
      <c r="AR296" s="2">
        <v>0</v>
      </c>
      <c r="AS296" s="2">
        <v>0</v>
      </c>
      <c r="AT296" s="2">
        <v>0</v>
      </c>
      <c r="AU296" s="2">
        <v>0</v>
      </c>
      <c r="AV296" s="2">
        <v>0</v>
      </c>
      <c r="AW296" s="2">
        <v>0</v>
      </c>
      <c r="AX296" s="2">
        <v>0</v>
      </c>
      <c r="AY296" s="2">
        <v>0</v>
      </c>
      <c r="AZ296" s="2">
        <v>0</v>
      </c>
    </row>
    <row r="297" spans="1:52">
      <c r="A297" s="2">
        <v>296</v>
      </c>
      <c r="B297" s="2" t="s">
        <v>131</v>
      </c>
      <c r="C297" s="2" t="s">
        <v>131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0.97799999999999998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1.7000000000000001E-2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1E-3</v>
      </c>
      <c r="AK297" s="2">
        <v>4.0000000000000001E-3</v>
      </c>
      <c r="AL297" s="2">
        <v>0</v>
      </c>
      <c r="AM297" s="2">
        <v>0</v>
      </c>
      <c r="AN297" s="2">
        <v>0</v>
      </c>
      <c r="AO297" s="2">
        <v>0</v>
      </c>
      <c r="AP297" s="2">
        <v>0</v>
      </c>
      <c r="AQ297" s="2">
        <v>0</v>
      </c>
      <c r="AR297" s="2">
        <v>0</v>
      </c>
      <c r="AS297" s="2">
        <v>0</v>
      </c>
      <c r="AT297" s="2">
        <v>0</v>
      </c>
      <c r="AU297" s="2">
        <v>0</v>
      </c>
      <c r="AV297" s="2">
        <v>0</v>
      </c>
      <c r="AW297" s="2">
        <v>0</v>
      </c>
      <c r="AX297" s="2">
        <v>0</v>
      </c>
      <c r="AY297" s="2">
        <v>0</v>
      </c>
      <c r="AZ297" s="2">
        <v>0</v>
      </c>
    </row>
    <row r="298" spans="1:52">
      <c r="A298" s="2">
        <v>297</v>
      </c>
      <c r="B298" s="2" t="s">
        <v>22</v>
      </c>
      <c r="C298" s="2" t="s">
        <v>22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0.16400000000000001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0.83599999999999997</v>
      </c>
      <c r="AL298" s="2">
        <v>0</v>
      </c>
      <c r="AM298" s="2">
        <v>0</v>
      </c>
      <c r="AN298" s="2">
        <v>0</v>
      </c>
      <c r="AO298" s="2">
        <v>0</v>
      </c>
      <c r="AP298" s="2">
        <v>0</v>
      </c>
      <c r="AQ298" s="2">
        <v>0</v>
      </c>
      <c r="AR298" s="2">
        <v>0</v>
      </c>
      <c r="AS298" s="2">
        <v>0</v>
      </c>
      <c r="AT298" s="2">
        <v>0</v>
      </c>
      <c r="AU298" s="2">
        <v>0</v>
      </c>
      <c r="AV298" s="2">
        <v>0</v>
      </c>
      <c r="AW298" s="2">
        <v>0</v>
      </c>
      <c r="AX298" s="2">
        <v>0</v>
      </c>
      <c r="AY298" s="2">
        <v>0</v>
      </c>
      <c r="AZ298" s="2">
        <v>0</v>
      </c>
    </row>
    <row r="299" spans="1:52">
      <c r="A299" s="2">
        <v>298</v>
      </c>
      <c r="B299" s="2" t="s">
        <v>45</v>
      </c>
      <c r="C299" s="2" t="s">
        <v>45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1E-3</v>
      </c>
      <c r="W299" s="2">
        <v>0.81299999999999994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0.186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2">
        <v>0</v>
      </c>
      <c r="AP299" s="2">
        <v>0</v>
      </c>
      <c r="AQ299" s="2">
        <v>0</v>
      </c>
      <c r="AR299" s="2">
        <v>0</v>
      </c>
      <c r="AS299" s="2">
        <v>0</v>
      </c>
      <c r="AT299" s="2">
        <v>0</v>
      </c>
      <c r="AU299" s="2">
        <v>0</v>
      </c>
      <c r="AV299" s="2">
        <v>0</v>
      </c>
      <c r="AW299" s="2">
        <v>0</v>
      </c>
      <c r="AX299" s="2">
        <v>0</v>
      </c>
      <c r="AY299" s="2">
        <v>0</v>
      </c>
      <c r="AZ299" s="2">
        <v>0</v>
      </c>
    </row>
    <row r="300" spans="1:52">
      <c r="A300" s="2">
        <v>299</v>
      </c>
      <c r="B300" s="2" t="s">
        <v>366</v>
      </c>
      <c r="C300" s="2" t="s">
        <v>366</v>
      </c>
      <c r="D300" s="2">
        <v>0</v>
      </c>
      <c r="E300" s="2">
        <v>0</v>
      </c>
      <c r="F300" s="2">
        <v>0</v>
      </c>
      <c r="G300" s="2">
        <v>1E-3</v>
      </c>
      <c r="H300" s="2">
        <v>0</v>
      </c>
      <c r="I300" s="2">
        <v>0</v>
      </c>
      <c r="J300" s="2">
        <v>3.0000000000000001E-3</v>
      </c>
      <c r="K300" s="2">
        <v>0</v>
      </c>
      <c r="L300" s="2">
        <v>0.98699999999999999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2E-3</v>
      </c>
      <c r="W300" s="2">
        <v>2E-3</v>
      </c>
      <c r="X300" s="2">
        <v>0</v>
      </c>
      <c r="Y300" s="2">
        <v>0</v>
      </c>
      <c r="Z300" s="2">
        <v>1E-3</v>
      </c>
      <c r="AA300" s="2">
        <v>0</v>
      </c>
      <c r="AB300" s="2">
        <v>1E-3</v>
      </c>
      <c r="AC300" s="2">
        <v>0</v>
      </c>
      <c r="AD300" s="2">
        <v>0</v>
      </c>
      <c r="AE300" s="2">
        <v>0</v>
      </c>
      <c r="AF300" s="2">
        <v>1E-3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1E-3</v>
      </c>
      <c r="AM300" s="2">
        <v>0</v>
      </c>
      <c r="AN300" s="2">
        <v>0</v>
      </c>
      <c r="AO300" s="2">
        <v>0</v>
      </c>
      <c r="AP300" s="2">
        <v>0</v>
      </c>
      <c r="AQ300" s="2">
        <v>1E-3</v>
      </c>
      <c r="AR300" s="2">
        <v>0</v>
      </c>
      <c r="AS300" s="2">
        <v>0</v>
      </c>
      <c r="AT300" s="2">
        <v>0</v>
      </c>
      <c r="AU300" s="2">
        <v>0</v>
      </c>
      <c r="AV300" s="2">
        <v>0</v>
      </c>
      <c r="AW300" s="2">
        <v>0</v>
      </c>
      <c r="AX300" s="2">
        <v>0</v>
      </c>
      <c r="AY300" s="2">
        <v>0</v>
      </c>
      <c r="AZ300" s="2">
        <v>0</v>
      </c>
    </row>
    <row r="301" spans="1:52">
      <c r="A301" s="2">
        <v>300</v>
      </c>
      <c r="B301" s="2" t="s">
        <v>33</v>
      </c>
      <c r="C301" s="2" t="s">
        <v>33</v>
      </c>
      <c r="D301" s="2">
        <v>0</v>
      </c>
      <c r="E301" s="2">
        <v>0</v>
      </c>
      <c r="F301" s="2">
        <v>0</v>
      </c>
      <c r="G301" s="2">
        <v>1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2">
        <v>0</v>
      </c>
      <c r="AP301" s="2">
        <v>0</v>
      </c>
      <c r="AQ301" s="2">
        <v>0</v>
      </c>
      <c r="AR301" s="2">
        <v>0</v>
      </c>
      <c r="AS301" s="2">
        <v>0</v>
      </c>
      <c r="AT301" s="2">
        <v>0</v>
      </c>
      <c r="AU301" s="2">
        <v>0</v>
      </c>
      <c r="AV301" s="2">
        <v>0</v>
      </c>
      <c r="AW301" s="2">
        <v>0</v>
      </c>
      <c r="AX301" s="2">
        <v>0</v>
      </c>
      <c r="AY301" s="2">
        <v>0</v>
      </c>
      <c r="AZ301" s="2">
        <v>0</v>
      </c>
    </row>
    <row r="302" spans="1:52">
      <c r="A302" s="2">
        <v>301</v>
      </c>
      <c r="B302" s="2" t="s">
        <v>108</v>
      </c>
      <c r="C302" s="2" t="s">
        <v>108</v>
      </c>
      <c r="D302" s="2">
        <v>0</v>
      </c>
      <c r="E302" s="2">
        <v>0</v>
      </c>
      <c r="F302" s="2">
        <v>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0.996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4.0000000000000001E-3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2">
        <v>0</v>
      </c>
      <c r="AP302" s="2">
        <v>0</v>
      </c>
      <c r="AQ302" s="2">
        <v>0</v>
      </c>
      <c r="AR302" s="2">
        <v>0</v>
      </c>
      <c r="AS302" s="2">
        <v>0</v>
      </c>
      <c r="AT302" s="2">
        <v>0</v>
      </c>
      <c r="AU302" s="2">
        <v>0</v>
      </c>
      <c r="AV302" s="2">
        <v>0</v>
      </c>
      <c r="AW302" s="2">
        <v>0</v>
      </c>
      <c r="AX302" s="2">
        <v>0</v>
      </c>
      <c r="AY302" s="2">
        <v>0</v>
      </c>
      <c r="AZ302" s="2">
        <v>0</v>
      </c>
    </row>
    <row r="303" spans="1:52">
      <c r="A303" s="2">
        <v>302</v>
      </c>
      <c r="B303" s="2" t="s">
        <v>33</v>
      </c>
      <c r="C303" s="2" t="s">
        <v>33</v>
      </c>
      <c r="D303" s="2">
        <v>0</v>
      </c>
      <c r="E303" s="2">
        <v>0</v>
      </c>
      <c r="F303" s="2">
        <v>0</v>
      </c>
      <c r="G303" s="2">
        <v>1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2">
        <v>0</v>
      </c>
      <c r="AP303" s="2">
        <v>0</v>
      </c>
      <c r="AQ303" s="2">
        <v>0</v>
      </c>
      <c r="AR303" s="2">
        <v>0</v>
      </c>
      <c r="AS303" s="2">
        <v>0</v>
      </c>
      <c r="AT303" s="2">
        <v>0</v>
      </c>
      <c r="AU303" s="2">
        <v>0</v>
      </c>
      <c r="AV303" s="2">
        <v>0</v>
      </c>
      <c r="AW303" s="2">
        <v>0</v>
      </c>
      <c r="AX303" s="2">
        <v>0</v>
      </c>
      <c r="AY303" s="2">
        <v>0</v>
      </c>
      <c r="AZ303" s="2">
        <v>0</v>
      </c>
    </row>
    <row r="304" spans="1:52">
      <c r="A304" s="2">
        <v>303</v>
      </c>
      <c r="B304" s="2" t="s">
        <v>70</v>
      </c>
      <c r="C304" s="2" t="s">
        <v>70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0.80700000000000005</v>
      </c>
      <c r="V304" s="2">
        <v>0</v>
      </c>
      <c r="W304" s="2">
        <v>0.193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0</v>
      </c>
      <c r="AL304" s="2">
        <v>0</v>
      </c>
      <c r="AM304" s="2">
        <v>0</v>
      </c>
      <c r="AN304" s="2">
        <v>0</v>
      </c>
      <c r="AO304" s="2">
        <v>0</v>
      </c>
      <c r="AP304" s="2">
        <v>0</v>
      </c>
      <c r="AQ304" s="2">
        <v>0</v>
      </c>
      <c r="AR304" s="2">
        <v>0</v>
      </c>
      <c r="AS304" s="2">
        <v>0</v>
      </c>
      <c r="AT304" s="2">
        <v>0</v>
      </c>
      <c r="AU304" s="2">
        <v>0</v>
      </c>
      <c r="AV304" s="2">
        <v>0</v>
      </c>
      <c r="AW304" s="2">
        <v>0</v>
      </c>
      <c r="AX304" s="2">
        <v>0</v>
      </c>
      <c r="AY304" s="2">
        <v>0</v>
      </c>
      <c r="AZ304" s="2">
        <v>0</v>
      </c>
    </row>
    <row r="305" spans="1:52">
      <c r="A305" s="2">
        <v>304</v>
      </c>
      <c r="B305" s="2" t="s">
        <v>33</v>
      </c>
      <c r="C305" s="2" t="s">
        <v>33</v>
      </c>
      <c r="D305" s="2">
        <v>0</v>
      </c>
      <c r="E305" s="2">
        <v>0</v>
      </c>
      <c r="F305" s="2">
        <v>0</v>
      </c>
      <c r="G305" s="2">
        <v>1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0</v>
      </c>
      <c r="AG305" s="2">
        <v>0</v>
      </c>
      <c r="AH305" s="2">
        <v>0</v>
      </c>
      <c r="AI305" s="2">
        <v>0</v>
      </c>
      <c r="AJ305" s="2">
        <v>0</v>
      </c>
      <c r="AK305" s="2">
        <v>0</v>
      </c>
      <c r="AL305" s="2">
        <v>0</v>
      </c>
      <c r="AM305" s="2">
        <v>0</v>
      </c>
      <c r="AN305" s="2">
        <v>0</v>
      </c>
      <c r="AO305" s="2">
        <v>0</v>
      </c>
      <c r="AP305" s="2">
        <v>0</v>
      </c>
      <c r="AQ305" s="2">
        <v>0</v>
      </c>
      <c r="AR305" s="2">
        <v>0</v>
      </c>
      <c r="AS305" s="2">
        <v>0</v>
      </c>
      <c r="AT305" s="2">
        <v>0</v>
      </c>
      <c r="AU305" s="2">
        <v>0</v>
      </c>
      <c r="AV305" s="2">
        <v>0</v>
      </c>
      <c r="AW305" s="2">
        <v>0</v>
      </c>
      <c r="AX305" s="2">
        <v>0</v>
      </c>
      <c r="AY305" s="2">
        <v>0</v>
      </c>
      <c r="AZ305" s="2">
        <v>0</v>
      </c>
    </row>
    <row r="306" spans="1:52">
      <c r="A306" s="2">
        <v>305</v>
      </c>
      <c r="B306" s="2" t="s">
        <v>86</v>
      </c>
      <c r="C306" s="2" t="s">
        <v>86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0.81299999999999994</v>
      </c>
      <c r="Z306" s="2">
        <v>0.154</v>
      </c>
      <c r="AA306" s="2">
        <v>3.3000000000000002E-2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2">
        <v>0</v>
      </c>
      <c r="AP306" s="2">
        <v>0</v>
      </c>
      <c r="AQ306" s="2">
        <v>0</v>
      </c>
      <c r="AR306" s="2">
        <v>0</v>
      </c>
      <c r="AS306" s="2">
        <v>0</v>
      </c>
      <c r="AT306" s="2">
        <v>0</v>
      </c>
      <c r="AU306" s="2">
        <v>0</v>
      </c>
      <c r="AV306" s="2">
        <v>0</v>
      </c>
      <c r="AW306" s="2">
        <v>0</v>
      </c>
      <c r="AX306" s="2">
        <v>0</v>
      </c>
      <c r="AY306" s="2">
        <v>0</v>
      </c>
      <c r="AZ306" s="2">
        <v>0</v>
      </c>
    </row>
    <row r="307" spans="1:52">
      <c r="A307" s="2">
        <v>306</v>
      </c>
      <c r="B307" s="2" t="s">
        <v>174</v>
      </c>
      <c r="C307" s="2" t="s">
        <v>174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2">
        <v>0</v>
      </c>
      <c r="AP307" s="2">
        <v>0</v>
      </c>
      <c r="AQ307" s="2">
        <v>0</v>
      </c>
      <c r="AR307" s="2">
        <v>0</v>
      </c>
      <c r="AS307" s="2">
        <v>0</v>
      </c>
      <c r="AT307" s="2">
        <v>1</v>
      </c>
      <c r="AU307" s="2">
        <v>0</v>
      </c>
      <c r="AV307" s="2">
        <v>0</v>
      </c>
      <c r="AW307" s="2">
        <v>0</v>
      </c>
      <c r="AX307" s="2">
        <v>0</v>
      </c>
      <c r="AY307" s="2">
        <v>0</v>
      </c>
      <c r="AZ307" s="2">
        <v>0</v>
      </c>
    </row>
    <row r="308" spans="1:52">
      <c r="A308" s="2">
        <v>307</v>
      </c>
      <c r="B308" s="2" t="s">
        <v>147</v>
      </c>
      <c r="C308" s="2" t="s">
        <v>147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0.747</v>
      </c>
      <c r="Y308" s="2">
        <v>1E-3</v>
      </c>
      <c r="Z308" s="2">
        <v>0.251</v>
      </c>
      <c r="AA308" s="2">
        <v>1E-3</v>
      </c>
      <c r="AB308" s="2">
        <v>0</v>
      </c>
      <c r="AC308" s="2">
        <v>0</v>
      </c>
      <c r="AD308" s="2">
        <v>0</v>
      </c>
      <c r="AE308" s="2">
        <v>0</v>
      </c>
      <c r="AF308" s="2">
        <v>0</v>
      </c>
      <c r="AG308" s="2">
        <v>0</v>
      </c>
      <c r="AH308" s="2">
        <v>0</v>
      </c>
      <c r="AI308" s="2">
        <v>0</v>
      </c>
      <c r="AJ308" s="2">
        <v>0</v>
      </c>
      <c r="AK308" s="2">
        <v>0</v>
      </c>
      <c r="AL308" s="2">
        <v>0</v>
      </c>
      <c r="AM308" s="2">
        <v>0</v>
      </c>
      <c r="AN308" s="2">
        <v>0</v>
      </c>
      <c r="AO308" s="2">
        <v>0</v>
      </c>
      <c r="AP308" s="2">
        <v>0</v>
      </c>
      <c r="AQ308" s="2">
        <v>0</v>
      </c>
      <c r="AR308" s="2">
        <v>0</v>
      </c>
      <c r="AS308" s="2">
        <v>0</v>
      </c>
      <c r="AT308" s="2">
        <v>0</v>
      </c>
      <c r="AU308" s="2">
        <v>0</v>
      </c>
      <c r="AV308" s="2">
        <v>0</v>
      </c>
      <c r="AW308" s="2">
        <v>0</v>
      </c>
      <c r="AX308" s="2">
        <v>0</v>
      </c>
      <c r="AY308" s="2">
        <v>0</v>
      </c>
      <c r="AZ308" s="2">
        <v>0</v>
      </c>
    </row>
    <row r="309" spans="1:52">
      <c r="A309" s="2">
        <v>308</v>
      </c>
      <c r="B309" s="2" t="s">
        <v>33</v>
      </c>
      <c r="C309" s="2" t="s">
        <v>33</v>
      </c>
      <c r="D309" s="2">
        <v>0</v>
      </c>
      <c r="E309" s="2">
        <v>0</v>
      </c>
      <c r="F309" s="2">
        <v>0</v>
      </c>
      <c r="G309" s="2">
        <v>1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0</v>
      </c>
      <c r="AL309" s="2">
        <v>0</v>
      </c>
      <c r="AM309" s="2">
        <v>0</v>
      </c>
      <c r="AN309" s="2">
        <v>0</v>
      </c>
      <c r="AO309" s="2">
        <v>0</v>
      </c>
      <c r="AP309" s="2">
        <v>0</v>
      </c>
      <c r="AQ309" s="2">
        <v>0</v>
      </c>
      <c r="AR309" s="2">
        <v>0</v>
      </c>
      <c r="AS309" s="2">
        <v>0</v>
      </c>
      <c r="AT309" s="2">
        <v>0</v>
      </c>
      <c r="AU309" s="2">
        <v>0</v>
      </c>
      <c r="AV309" s="2">
        <v>0</v>
      </c>
      <c r="AW309" s="2">
        <v>0</v>
      </c>
      <c r="AX309" s="2">
        <v>0</v>
      </c>
      <c r="AY309" s="2">
        <v>0</v>
      </c>
      <c r="AZ309" s="2">
        <v>0</v>
      </c>
    </row>
    <row r="310" spans="1:52">
      <c r="A310" s="2">
        <v>309</v>
      </c>
      <c r="B310" s="2" t="s">
        <v>134</v>
      </c>
      <c r="C310" s="2" t="s">
        <v>134</v>
      </c>
      <c r="D310" s="2">
        <v>0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3.0000000000000001E-3</v>
      </c>
      <c r="V310" s="2">
        <v>3.2000000000000001E-2</v>
      </c>
      <c r="W310" s="2">
        <v>0.153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0</v>
      </c>
      <c r="AF310" s="2">
        <v>0</v>
      </c>
      <c r="AG310" s="2">
        <v>0</v>
      </c>
      <c r="AH310" s="2">
        <v>0.81200000000000006</v>
      </c>
      <c r="AI310" s="2">
        <v>0</v>
      </c>
      <c r="AJ310" s="2">
        <v>0</v>
      </c>
      <c r="AK310" s="2">
        <v>0</v>
      </c>
      <c r="AL310" s="2">
        <v>0</v>
      </c>
      <c r="AM310" s="2">
        <v>0</v>
      </c>
      <c r="AN310" s="2">
        <v>0</v>
      </c>
      <c r="AO310" s="2">
        <v>0</v>
      </c>
      <c r="AP310" s="2">
        <v>0</v>
      </c>
      <c r="AQ310" s="2">
        <v>0</v>
      </c>
      <c r="AR310" s="2">
        <v>0</v>
      </c>
      <c r="AS310" s="2">
        <v>0</v>
      </c>
      <c r="AT310" s="2">
        <v>0</v>
      </c>
      <c r="AU310" s="2">
        <v>0</v>
      </c>
      <c r="AV310" s="2">
        <v>0</v>
      </c>
      <c r="AW310" s="2">
        <v>0</v>
      </c>
      <c r="AX310" s="2">
        <v>0</v>
      </c>
      <c r="AY310" s="2">
        <v>0</v>
      </c>
      <c r="AZ310" s="2">
        <v>0</v>
      </c>
    </row>
    <row r="311" spans="1:52">
      <c r="A311" s="2">
        <v>310</v>
      </c>
      <c r="B311" s="2" t="s">
        <v>42</v>
      </c>
      <c r="C311" s="2" t="s">
        <v>42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1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2">
        <v>0</v>
      </c>
      <c r="AP311" s="2">
        <v>0</v>
      </c>
      <c r="AQ311" s="2">
        <v>0</v>
      </c>
      <c r="AR311" s="2">
        <v>0</v>
      </c>
      <c r="AS311" s="2">
        <v>0</v>
      </c>
      <c r="AT311" s="2">
        <v>0</v>
      </c>
      <c r="AU311" s="2">
        <v>0</v>
      </c>
      <c r="AV311" s="2">
        <v>0</v>
      </c>
      <c r="AW311" s="2">
        <v>0</v>
      </c>
      <c r="AX311" s="2">
        <v>0</v>
      </c>
      <c r="AY311" s="2">
        <v>0</v>
      </c>
      <c r="AZ311" s="2">
        <v>0</v>
      </c>
    </row>
    <row r="312" spans="1:52">
      <c r="A312" s="2">
        <v>311</v>
      </c>
      <c r="B312" s="2" t="s">
        <v>42</v>
      </c>
      <c r="C312" s="2" t="s">
        <v>42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1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2">
        <v>0</v>
      </c>
      <c r="AP312" s="2">
        <v>0</v>
      </c>
      <c r="AQ312" s="2">
        <v>0</v>
      </c>
      <c r="AR312" s="2">
        <v>0</v>
      </c>
      <c r="AS312" s="2">
        <v>0</v>
      </c>
      <c r="AT312" s="2">
        <v>0</v>
      </c>
      <c r="AU312" s="2">
        <v>0</v>
      </c>
      <c r="AV312" s="2">
        <v>0</v>
      </c>
      <c r="AW312" s="2">
        <v>0</v>
      </c>
      <c r="AX312" s="2">
        <v>0</v>
      </c>
      <c r="AY312" s="2">
        <v>0</v>
      </c>
      <c r="AZ312" s="2">
        <v>0</v>
      </c>
    </row>
    <row r="313" spans="1:52">
      <c r="A313" s="2">
        <v>312</v>
      </c>
      <c r="B313" s="2" t="s">
        <v>134</v>
      </c>
      <c r="C313" s="2" t="s">
        <v>134</v>
      </c>
      <c r="D313" s="2">
        <v>0</v>
      </c>
      <c r="E313" s="2">
        <v>0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2E-3</v>
      </c>
      <c r="W313" s="2">
        <v>0.10199999999999999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0.89600000000000002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2">
        <v>0</v>
      </c>
      <c r="AP313" s="2">
        <v>0</v>
      </c>
      <c r="AQ313" s="2">
        <v>0</v>
      </c>
      <c r="AR313" s="2">
        <v>0</v>
      </c>
      <c r="AS313" s="2">
        <v>0</v>
      </c>
      <c r="AT313" s="2">
        <v>0</v>
      </c>
      <c r="AU313" s="2">
        <v>0</v>
      </c>
      <c r="AV313" s="2">
        <v>0</v>
      </c>
      <c r="AW313" s="2">
        <v>0</v>
      </c>
      <c r="AX313" s="2">
        <v>0</v>
      </c>
      <c r="AY313" s="2">
        <v>0</v>
      </c>
      <c r="AZ313" s="2">
        <v>0</v>
      </c>
    </row>
    <row r="314" spans="1:52">
      <c r="A314" s="2">
        <v>313</v>
      </c>
      <c r="B314" s="2" t="s">
        <v>33</v>
      </c>
      <c r="C314" s="2" t="s">
        <v>33</v>
      </c>
      <c r="D314" s="2">
        <v>0</v>
      </c>
      <c r="E314" s="2">
        <v>0</v>
      </c>
      <c r="F314" s="2">
        <v>0</v>
      </c>
      <c r="G314" s="2">
        <v>1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2">
        <v>0</v>
      </c>
      <c r="AP314" s="2">
        <v>0</v>
      </c>
      <c r="AQ314" s="2">
        <v>0</v>
      </c>
      <c r="AR314" s="2">
        <v>0</v>
      </c>
      <c r="AS314" s="2">
        <v>0</v>
      </c>
      <c r="AT314" s="2">
        <v>0</v>
      </c>
      <c r="AU314" s="2">
        <v>0</v>
      </c>
      <c r="AV314" s="2">
        <v>0</v>
      </c>
      <c r="AW314" s="2">
        <v>0</v>
      </c>
      <c r="AX314" s="2">
        <v>0</v>
      </c>
      <c r="AY314" s="2">
        <v>0</v>
      </c>
      <c r="AZ314" s="2">
        <v>0</v>
      </c>
    </row>
    <row r="315" spans="1:52">
      <c r="A315" s="2">
        <v>314</v>
      </c>
      <c r="B315" s="2" t="s">
        <v>29</v>
      </c>
      <c r="C315" s="2" t="s">
        <v>29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1</v>
      </c>
      <c r="AK315" s="2">
        <v>0</v>
      </c>
      <c r="AL315" s="2">
        <v>0</v>
      </c>
      <c r="AM315" s="2">
        <v>0</v>
      </c>
      <c r="AN315" s="2">
        <v>0</v>
      </c>
      <c r="AO315" s="2">
        <v>0</v>
      </c>
      <c r="AP315" s="2">
        <v>0</v>
      </c>
      <c r="AQ315" s="2">
        <v>0</v>
      </c>
      <c r="AR315" s="2">
        <v>0</v>
      </c>
      <c r="AS315" s="2">
        <v>0</v>
      </c>
      <c r="AT315" s="2">
        <v>0</v>
      </c>
      <c r="AU315" s="2">
        <v>0</v>
      </c>
      <c r="AV315" s="2">
        <v>0</v>
      </c>
      <c r="AW315" s="2">
        <v>0</v>
      </c>
      <c r="AX315" s="2">
        <v>0</v>
      </c>
      <c r="AY315" s="2">
        <v>0</v>
      </c>
      <c r="AZ315" s="2">
        <v>0</v>
      </c>
    </row>
    <row r="316" spans="1:52">
      <c r="A316" s="2">
        <v>315</v>
      </c>
      <c r="B316" s="2" t="s">
        <v>316</v>
      </c>
      <c r="C316" s="2" t="s">
        <v>316</v>
      </c>
      <c r="D316" s="2">
        <v>0</v>
      </c>
      <c r="E316" s="2">
        <v>0</v>
      </c>
      <c r="F316" s="2">
        <v>0.91400000000000003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0</v>
      </c>
      <c r="AL316" s="2">
        <v>0</v>
      </c>
      <c r="AM316" s="2">
        <v>0</v>
      </c>
      <c r="AN316" s="2">
        <v>0</v>
      </c>
      <c r="AO316" s="2">
        <v>0</v>
      </c>
      <c r="AP316" s="2">
        <v>0</v>
      </c>
      <c r="AQ316" s="2">
        <v>0</v>
      </c>
      <c r="AR316" s="2">
        <v>0</v>
      </c>
      <c r="AS316" s="2">
        <v>0</v>
      </c>
      <c r="AT316" s="2">
        <v>0</v>
      </c>
      <c r="AU316" s="2">
        <v>0</v>
      </c>
      <c r="AV316" s="2">
        <v>0</v>
      </c>
      <c r="AW316" s="2">
        <v>8.5999999999999993E-2</v>
      </c>
      <c r="AX316" s="2">
        <v>0</v>
      </c>
      <c r="AY316" s="2">
        <v>0</v>
      </c>
      <c r="AZ316" s="2">
        <v>0</v>
      </c>
    </row>
    <row r="317" spans="1:52">
      <c r="A317" s="2">
        <v>316</v>
      </c>
      <c r="B317" s="2" t="s">
        <v>45</v>
      </c>
      <c r="C317" s="2" t="s">
        <v>45</v>
      </c>
      <c r="D317" s="2">
        <v>0</v>
      </c>
      <c r="E317" s="2">
        <v>0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1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2">
        <v>0</v>
      </c>
      <c r="AP317" s="2">
        <v>0</v>
      </c>
      <c r="AQ317" s="2">
        <v>0</v>
      </c>
      <c r="AR317" s="2">
        <v>0</v>
      </c>
      <c r="AS317" s="2">
        <v>0</v>
      </c>
      <c r="AT317" s="2">
        <v>0</v>
      </c>
      <c r="AU317" s="2">
        <v>0</v>
      </c>
      <c r="AV317" s="2">
        <v>0</v>
      </c>
      <c r="AW317" s="2">
        <v>0</v>
      </c>
      <c r="AX317" s="2">
        <v>0</v>
      </c>
      <c r="AY317" s="2">
        <v>0</v>
      </c>
      <c r="AZ317" s="2">
        <v>0</v>
      </c>
    </row>
    <row r="318" spans="1:52">
      <c r="A318" s="2">
        <v>317</v>
      </c>
      <c r="B318" s="2" t="s">
        <v>33</v>
      </c>
      <c r="C318" s="2" t="s">
        <v>33</v>
      </c>
      <c r="D318" s="2">
        <v>0</v>
      </c>
      <c r="E318" s="2">
        <v>0</v>
      </c>
      <c r="F318" s="2">
        <v>0</v>
      </c>
      <c r="G318" s="2">
        <v>1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2">
        <v>0</v>
      </c>
      <c r="AP318" s="2">
        <v>0</v>
      </c>
      <c r="AQ318" s="2">
        <v>0</v>
      </c>
      <c r="AR318" s="2">
        <v>0</v>
      </c>
      <c r="AS318" s="2">
        <v>0</v>
      </c>
      <c r="AT318" s="2">
        <v>0</v>
      </c>
      <c r="AU318" s="2">
        <v>0</v>
      </c>
      <c r="AV318" s="2">
        <v>0</v>
      </c>
      <c r="AW318" s="2">
        <v>0</v>
      </c>
      <c r="AX318" s="2">
        <v>0</v>
      </c>
      <c r="AY318" s="2">
        <v>0</v>
      </c>
      <c r="AZ318" s="2">
        <v>0</v>
      </c>
    </row>
    <row r="319" spans="1:52">
      <c r="A319" s="2">
        <v>318</v>
      </c>
      <c r="B319" s="2" t="s">
        <v>134</v>
      </c>
      <c r="C319" s="2" t="s">
        <v>134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5.3999999999999999E-2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0.94599999999999995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2">
        <v>0</v>
      </c>
      <c r="AP319" s="2">
        <v>0</v>
      </c>
      <c r="AQ319" s="2">
        <v>0</v>
      </c>
      <c r="AR319" s="2">
        <v>0</v>
      </c>
      <c r="AS319" s="2">
        <v>0</v>
      </c>
      <c r="AT319" s="2">
        <v>0</v>
      </c>
      <c r="AU319" s="2">
        <v>0</v>
      </c>
      <c r="AV319" s="2">
        <v>0</v>
      </c>
      <c r="AW319" s="2">
        <v>0</v>
      </c>
      <c r="AX319" s="2">
        <v>0</v>
      </c>
      <c r="AY319" s="2">
        <v>0</v>
      </c>
      <c r="AZ319" s="2">
        <v>0</v>
      </c>
    </row>
    <row r="320" spans="1:52">
      <c r="A320" s="2">
        <v>319</v>
      </c>
      <c r="B320" s="2" t="s">
        <v>380</v>
      </c>
      <c r="C320" s="2" t="s">
        <v>380</v>
      </c>
      <c r="D320" s="2">
        <v>0</v>
      </c>
      <c r="E320" s="2">
        <v>0</v>
      </c>
      <c r="F320" s="2">
        <v>0</v>
      </c>
      <c r="G320" s="2">
        <v>1E-3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3.0000000000000001E-3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1E-3</v>
      </c>
      <c r="AF320" s="2">
        <v>1E-3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1E-3</v>
      </c>
      <c r="AN320" s="2">
        <v>0</v>
      </c>
      <c r="AO320" s="2">
        <v>0</v>
      </c>
      <c r="AP320" s="2">
        <v>0</v>
      </c>
      <c r="AQ320" s="2">
        <v>0.93899999999999995</v>
      </c>
      <c r="AR320" s="2">
        <v>5.3999999999999999E-2</v>
      </c>
      <c r="AS320" s="2">
        <v>0</v>
      </c>
      <c r="AT320" s="2">
        <v>0</v>
      </c>
      <c r="AU320" s="2">
        <v>0</v>
      </c>
      <c r="AV320" s="2">
        <v>0</v>
      </c>
      <c r="AW320" s="2">
        <v>0</v>
      </c>
      <c r="AX320" s="2">
        <v>0</v>
      </c>
      <c r="AY320" s="2">
        <v>0</v>
      </c>
      <c r="AZ320" s="2">
        <v>0</v>
      </c>
    </row>
    <row r="321" spans="1:52">
      <c r="A321" s="2">
        <v>320</v>
      </c>
      <c r="B321" s="2" t="s">
        <v>174</v>
      </c>
      <c r="C321" s="2" t="s">
        <v>174</v>
      </c>
      <c r="D321" s="2">
        <v>0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2">
        <v>0</v>
      </c>
      <c r="AP321" s="2">
        <v>0</v>
      </c>
      <c r="AQ321" s="2">
        <v>0</v>
      </c>
      <c r="AR321" s="2">
        <v>0</v>
      </c>
      <c r="AS321" s="2">
        <v>0</v>
      </c>
      <c r="AT321" s="2">
        <v>1</v>
      </c>
      <c r="AU321" s="2">
        <v>0</v>
      </c>
      <c r="AV321" s="2">
        <v>0</v>
      </c>
      <c r="AW321" s="2">
        <v>0</v>
      </c>
      <c r="AX321" s="2">
        <v>0</v>
      </c>
      <c r="AY321" s="2">
        <v>0</v>
      </c>
      <c r="AZ321" s="2">
        <v>0</v>
      </c>
    </row>
    <row r="322" spans="1:52">
      <c r="A322" s="2">
        <v>321</v>
      </c>
      <c r="B322" s="2" t="s">
        <v>33</v>
      </c>
      <c r="C322" s="2" t="s">
        <v>33</v>
      </c>
      <c r="D322" s="2">
        <v>0</v>
      </c>
      <c r="E322" s="2">
        <v>0</v>
      </c>
      <c r="F322" s="2">
        <v>0</v>
      </c>
      <c r="G322" s="2">
        <v>0.999</v>
      </c>
      <c r="H322" s="2">
        <v>0</v>
      </c>
      <c r="I322" s="2">
        <v>0</v>
      </c>
      <c r="J322" s="2">
        <v>0</v>
      </c>
      <c r="K322" s="2">
        <v>1E-3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2">
        <v>0</v>
      </c>
      <c r="AP322" s="2">
        <v>0</v>
      </c>
      <c r="AQ322" s="2">
        <v>0</v>
      </c>
      <c r="AR322" s="2">
        <v>0</v>
      </c>
      <c r="AS322" s="2">
        <v>0</v>
      </c>
      <c r="AT322" s="2">
        <v>0</v>
      </c>
      <c r="AU322" s="2">
        <v>0</v>
      </c>
      <c r="AV322" s="2">
        <v>0</v>
      </c>
      <c r="AW322" s="2">
        <v>0</v>
      </c>
      <c r="AX322" s="2">
        <v>0</v>
      </c>
      <c r="AY322" s="2">
        <v>0</v>
      </c>
      <c r="AZ322" s="2">
        <v>0</v>
      </c>
    </row>
    <row r="323" spans="1:52">
      <c r="A323" s="2">
        <v>322</v>
      </c>
      <c r="B323" s="2" t="s">
        <v>64</v>
      </c>
      <c r="C323" s="2" t="s">
        <v>64</v>
      </c>
      <c r="D323" s="2">
        <v>0</v>
      </c>
      <c r="E323" s="2">
        <v>0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2.9000000000000001E-2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0.97099999999999997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2">
        <v>0</v>
      </c>
      <c r="AP323" s="2">
        <v>0</v>
      </c>
      <c r="AQ323" s="2">
        <v>0</v>
      </c>
      <c r="AR323" s="2">
        <v>0</v>
      </c>
      <c r="AS323" s="2">
        <v>0</v>
      </c>
      <c r="AT323" s="2">
        <v>0</v>
      </c>
      <c r="AU323" s="2">
        <v>0</v>
      </c>
      <c r="AV323" s="2">
        <v>0</v>
      </c>
      <c r="AW323" s="2">
        <v>0</v>
      </c>
      <c r="AX323" s="2">
        <v>0</v>
      </c>
      <c r="AY323" s="2">
        <v>0</v>
      </c>
      <c r="AZ323" s="2">
        <v>0</v>
      </c>
    </row>
    <row r="324" spans="1:52">
      <c r="A324" s="2">
        <v>323</v>
      </c>
      <c r="B324" s="2" t="s">
        <v>42</v>
      </c>
      <c r="C324" s="2" t="s">
        <v>42</v>
      </c>
      <c r="D324" s="2">
        <v>1.2999999999999999E-2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0.98699999999999999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  <c r="AG324" s="2">
        <v>0</v>
      </c>
      <c r="AH324" s="2">
        <v>0</v>
      </c>
      <c r="AI324" s="2">
        <v>0</v>
      </c>
      <c r="AJ324" s="2">
        <v>0</v>
      </c>
      <c r="AK324" s="2">
        <v>0</v>
      </c>
      <c r="AL324" s="2">
        <v>0</v>
      </c>
      <c r="AM324" s="2">
        <v>0</v>
      </c>
      <c r="AN324" s="2">
        <v>0</v>
      </c>
      <c r="AO324" s="2">
        <v>0</v>
      </c>
      <c r="AP324" s="2">
        <v>0</v>
      </c>
      <c r="AQ324" s="2">
        <v>0</v>
      </c>
      <c r="AR324" s="2">
        <v>0</v>
      </c>
      <c r="AS324" s="2">
        <v>0</v>
      </c>
      <c r="AT324" s="2">
        <v>0</v>
      </c>
      <c r="AU324" s="2">
        <v>0</v>
      </c>
      <c r="AV324" s="2">
        <v>0</v>
      </c>
      <c r="AW324" s="2">
        <v>0</v>
      </c>
      <c r="AX324" s="2">
        <v>0</v>
      </c>
      <c r="AY324" s="2">
        <v>0</v>
      </c>
      <c r="AZ324" s="2">
        <v>0</v>
      </c>
    </row>
    <row r="325" spans="1:52">
      <c r="A325" s="2">
        <v>324</v>
      </c>
      <c r="B325" s="2" t="s">
        <v>33</v>
      </c>
      <c r="C325" s="2" t="s">
        <v>33</v>
      </c>
      <c r="D325" s="2">
        <v>0</v>
      </c>
      <c r="E325" s="2">
        <v>0</v>
      </c>
      <c r="F325" s="2">
        <v>0</v>
      </c>
      <c r="G325" s="2">
        <v>0.92700000000000005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  <c r="AG325" s="2">
        <v>0</v>
      </c>
      <c r="AH325" s="2">
        <v>0</v>
      </c>
      <c r="AI325" s="2">
        <v>0</v>
      </c>
      <c r="AJ325" s="2">
        <v>0</v>
      </c>
      <c r="AK325" s="2">
        <v>0</v>
      </c>
      <c r="AL325" s="2">
        <v>0</v>
      </c>
      <c r="AM325" s="2">
        <v>0</v>
      </c>
      <c r="AN325" s="2">
        <v>0</v>
      </c>
      <c r="AO325" s="2">
        <v>0</v>
      </c>
      <c r="AP325" s="2">
        <v>0</v>
      </c>
      <c r="AQ325" s="2">
        <v>0</v>
      </c>
      <c r="AR325" s="2">
        <v>0</v>
      </c>
      <c r="AS325" s="2">
        <v>0</v>
      </c>
      <c r="AT325" s="2">
        <v>0</v>
      </c>
      <c r="AU325" s="2">
        <v>0</v>
      </c>
      <c r="AV325" s="2">
        <v>0</v>
      </c>
      <c r="AW325" s="2">
        <v>0</v>
      </c>
      <c r="AX325" s="2">
        <v>0</v>
      </c>
      <c r="AY325" s="2">
        <v>7.2999999999999995E-2</v>
      </c>
      <c r="AZ325" s="2">
        <v>0</v>
      </c>
    </row>
    <row r="326" spans="1:52">
      <c r="A326" s="2">
        <v>325</v>
      </c>
      <c r="B326" s="2" t="s">
        <v>42</v>
      </c>
      <c r="C326" s="2" t="s">
        <v>42</v>
      </c>
      <c r="D326" s="2">
        <v>1.7999999999999999E-2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0.97799999999999998</v>
      </c>
      <c r="P326" s="2">
        <v>4.0000000000000001E-3</v>
      </c>
      <c r="Q326" s="2">
        <v>0</v>
      </c>
      <c r="R326" s="2">
        <v>0</v>
      </c>
      <c r="S326" s="2">
        <v>0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2">
        <v>0</v>
      </c>
      <c r="AP326" s="2">
        <v>0</v>
      </c>
      <c r="AQ326" s="2">
        <v>0</v>
      </c>
      <c r="AR326" s="2">
        <v>0</v>
      </c>
      <c r="AS326" s="2">
        <v>0</v>
      </c>
      <c r="AT326" s="2">
        <v>0</v>
      </c>
      <c r="AU326" s="2">
        <v>0</v>
      </c>
      <c r="AV326" s="2">
        <v>0</v>
      </c>
      <c r="AW326" s="2">
        <v>0</v>
      </c>
      <c r="AX326" s="2">
        <v>0</v>
      </c>
      <c r="AY326" s="2">
        <v>0</v>
      </c>
      <c r="AZ326" s="2">
        <v>0</v>
      </c>
    </row>
    <row r="327" spans="1:52">
      <c r="A327" s="2">
        <v>326</v>
      </c>
      <c r="B327" s="2" t="s">
        <v>33</v>
      </c>
      <c r="C327" s="2" t="s">
        <v>33</v>
      </c>
      <c r="D327" s="2">
        <v>0</v>
      </c>
      <c r="E327" s="2">
        <v>0</v>
      </c>
      <c r="F327" s="2">
        <v>0</v>
      </c>
      <c r="G327" s="2">
        <v>1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2">
        <v>0</v>
      </c>
      <c r="AP327" s="2">
        <v>0</v>
      </c>
      <c r="AQ327" s="2">
        <v>0</v>
      </c>
      <c r="AR327" s="2">
        <v>0</v>
      </c>
      <c r="AS327" s="2">
        <v>0</v>
      </c>
      <c r="AT327" s="2">
        <v>0</v>
      </c>
      <c r="AU327" s="2">
        <v>0</v>
      </c>
      <c r="AV327" s="2">
        <v>0</v>
      </c>
      <c r="AW327" s="2">
        <v>0</v>
      </c>
      <c r="AX327" s="2">
        <v>0</v>
      </c>
      <c r="AY327" s="2">
        <v>0</v>
      </c>
      <c r="AZ327" s="2">
        <v>0</v>
      </c>
    </row>
    <row r="328" spans="1:52">
      <c r="A328" s="2">
        <v>327</v>
      </c>
      <c r="B328" s="2" t="s">
        <v>42</v>
      </c>
      <c r="C328" s="2" t="s">
        <v>42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1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0</v>
      </c>
      <c r="AG328" s="2">
        <v>0</v>
      </c>
      <c r="AH328" s="2">
        <v>0</v>
      </c>
      <c r="AI328" s="2">
        <v>0</v>
      </c>
      <c r="AJ328" s="2">
        <v>0</v>
      </c>
      <c r="AK328" s="2">
        <v>0</v>
      </c>
      <c r="AL328" s="2">
        <v>0</v>
      </c>
      <c r="AM328" s="2">
        <v>0</v>
      </c>
      <c r="AN328" s="2">
        <v>0</v>
      </c>
      <c r="AO328" s="2">
        <v>0</v>
      </c>
      <c r="AP328" s="2">
        <v>0</v>
      </c>
      <c r="AQ328" s="2">
        <v>0</v>
      </c>
      <c r="AR328" s="2">
        <v>0</v>
      </c>
      <c r="AS328" s="2">
        <v>0</v>
      </c>
      <c r="AT328" s="2">
        <v>0</v>
      </c>
      <c r="AU328" s="2">
        <v>0</v>
      </c>
      <c r="AV328" s="2">
        <v>0</v>
      </c>
      <c r="AW328" s="2">
        <v>0</v>
      </c>
      <c r="AX328" s="2">
        <v>0</v>
      </c>
      <c r="AY328" s="2">
        <v>0</v>
      </c>
      <c r="AZ328" s="2">
        <v>0</v>
      </c>
    </row>
    <row r="329" spans="1:52">
      <c r="A329" s="2">
        <v>328</v>
      </c>
      <c r="B329" s="2" t="s">
        <v>108</v>
      </c>
      <c r="C329" s="2" t="s">
        <v>108</v>
      </c>
      <c r="D329" s="2">
        <v>0</v>
      </c>
      <c r="E329" s="2">
        <v>0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0.995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5.0000000000000001E-3</v>
      </c>
      <c r="AD329" s="2">
        <v>0</v>
      </c>
      <c r="AE329" s="2">
        <v>0</v>
      </c>
      <c r="AF329" s="2">
        <v>0</v>
      </c>
      <c r="AG329" s="2">
        <v>0</v>
      </c>
      <c r="AH329" s="2">
        <v>0</v>
      </c>
      <c r="AI329" s="2">
        <v>0</v>
      </c>
      <c r="AJ329" s="2">
        <v>0</v>
      </c>
      <c r="AK329" s="2">
        <v>0</v>
      </c>
      <c r="AL329" s="2">
        <v>0</v>
      </c>
      <c r="AM329" s="2">
        <v>0</v>
      </c>
      <c r="AN329" s="2">
        <v>0</v>
      </c>
      <c r="AO329" s="2">
        <v>0</v>
      </c>
      <c r="AP329" s="2">
        <v>0</v>
      </c>
      <c r="AQ329" s="2">
        <v>0</v>
      </c>
      <c r="AR329" s="2">
        <v>0</v>
      </c>
      <c r="AS329" s="2">
        <v>0</v>
      </c>
      <c r="AT329" s="2">
        <v>0</v>
      </c>
      <c r="AU329" s="2">
        <v>0</v>
      </c>
      <c r="AV329" s="2">
        <v>0</v>
      </c>
      <c r="AW329" s="2">
        <v>0</v>
      </c>
      <c r="AX329" s="2">
        <v>0</v>
      </c>
      <c r="AY329" s="2">
        <v>0</v>
      </c>
      <c r="AZ329" s="2">
        <v>0</v>
      </c>
    </row>
    <row r="330" spans="1:52">
      <c r="A330" s="2">
        <v>329</v>
      </c>
      <c r="B330" s="2" t="s">
        <v>29</v>
      </c>
      <c r="C330" s="2" t="s">
        <v>29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0</v>
      </c>
      <c r="AF330" s="2">
        <v>0</v>
      </c>
      <c r="AG330" s="2">
        <v>0</v>
      </c>
      <c r="AH330" s="2">
        <v>0</v>
      </c>
      <c r="AI330" s="2">
        <v>0</v>
      </c>
      <c r="AJ330" s="2">
        <v>1</v>
      </c>
      <c r="AK330" s="2">
        <v>0</v>
      </c>
      <c r="AL330" s="2">
        <v>0</v>
      </c>
      <c r="AM330" s="2">
        <v>0</v>
      </c>
      <c r="AN330" s="2">
        <v>0</v>
      </c>
      <c r="AO330" s="2">
        <v>0</v>
      </c>
      <c r="AP330" s="2">
        <v>0</v>
      </c>
      <c r="AQ330" s="2">
        <v>0</v>
      </c>
      <c r="AR330" s="2">
        <v>0</v>
      </c>
      <c r="AS330" s="2">
        <v>0</v>
      </c>
      <c r="AT330" s="2">
        <v>0</v>
      </c>
      <c r="AU330" s="2">
        <v>0</v>
      </c>
      <c r="AV330" s="2">
        <v>0</v>
      </c>
      <c r="AW330" s="2">
        <v>0</v>
      </c>
      <c r="AX330" s="2">
        <v>0</v>
      </c>
      <c r="AY330" s="2">
        <v>0</v>
      </c>
      <c r="AZ330" s="2">
        <v>0</v>
      </c>
    </row>
    <row r="331" spans="1:52">
      <c r="A331" s="2">
        <v>330</v>
      </c>
      <c r="B331" s="2" t="s">
        <v>45</v>
      </c>
      <c r="C331" s="2" t="s">
        <v>45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1.4E-2</v>
      </c>
      <c r="V331" s="2">
        <v>2E-3</v>
      </c>
      <c r="W331" s="2">
        <v>0.97599999999999998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8.0000000000000002E-3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2">
        <v>0</v>
      </c>
      <c r="AP331" s="2">
        <v>0</v>
      </c>
      <c r="AQ331" s="2">
        <v>0</v>
      </c>
      <c r="AR331" s="2">
        <v>0</v>
      </c>
      <c r="AS331" s="2">
        <v>0</v>
      </c>
      <c r="AT331" s="2">
        <v>0</v>
      </c>
      <c r="AU331" s="2">
        <v>0</v>
      </c>
      <c r="AV331" s="2">
        <v>0</v>
      </c>
      <c r="AW331" s="2">
        <v>0</v>
      </c>
      <c r="AX331" s="2">
        <v>0</v>
      </c>
      <c r="AY331" s="2">
        <v>0</v>
      </c>
      <c r="AZ331" s="2">
        <v>0</v>
      </c>
    </row>
    <row r="332" spans="1:52">
      <c r="A332" s="2">
        <v>331</v>
      </c>
      <c r="B332" s="2" t="s">
        <v>59</v>
      </c>
      <c r="C332" s="2" t="s">
        <v>59</v>
      </c>
      <c r="D332" s="2">
        <v>0</v>
      </c>
      <c r="E332" s="2">
        <v>1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2">
        <v>0</v>
      </c>
      <c r="AP332" s="2">
        <v>0</v>
      </c>
      <c r="AQ332" s="2">
        <v>0</v>
      </c>
      <c r="AR332" s="2">
        <v>0</v>
      </c>
      <c r="AS332" s="2">
        <v>0</v>
      </c>
      <c r="AT332" s="2">
        <v>0</v>
      </c>
      <c r="AU332" s="2">
        <v>0</v>
      </c>
      <c r="AV332" s="2">
        <v>0</v>
      </c>
      <c r="AW332" s="2">
        <v>0</v>
      </c>
      <c r="AX332" s="2">
        <v>0</v>
      </c>
      <c r="AY332" s="2">
        <v>0</v>
      </c>
      <c r="AZ332" s="2">
        <v>0</v>
      </c>
    </row>
    <row r="333" spans="1:52">
      <c r="A333" s="2">
        <v>332</v>
      </c>
      <c r="B333" s="2" t="s">
        <v>42</v>
      </c>
      <c r="C333" s="2" t="s">
        <v>42</v>
      </c>
      <c r="D333" s="2">
        <v>3.0000000000000001E-3</v>
      </c>
      <c r="E333" s="2">
        <v>0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0.95199999999999996</v>
      </c>
      <c r="P333" s="2">
        <v>4.4999999999999998E-2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2">
        <v>0</v>
      </c>
      <c r="AP333" s="2">
        <v>0</v>
      </c>
      <c r="AQ333" s="2">
        <v>0</v>
      </c>
      <c r="AR333" s="2">
        <v>0</v>
      </c>
      <c r="AS333" s="2">
        <v>0</v>
      </c>
      <c r="AT333" s="2">
        <v>0</v>
      </c>
      <c r="AU333" s="2">
        <v>0</v>
      </c>
      <c r="AV333" s="2">
        <v>0</v>
      </c>
      <c r="AW333" s="2">
        <v>0</v>
      </c>
      <c r="AX333" s="2">
        <v>0</v>
      </c>
      <c r="AY333" s="2">
        <v>0</v>
      </c>
      <c r="AZ333" s="2">
        <v>0</v>
      </c>
    </row>
    <row r="334" spans="1:52">
      <c r="A334" s="2">
        <v>333</v>
      </c>
      <c r="B334" s="2" t="s">
        <v>25</v>
      </c>
      <c r="C334" s="2" t="s">
        <v>25</v>
      </c>
      <c r="D334" s="2">
        <v>0</v>
      </c>
      <c r="E334" s="2">
        <v>0</v>
      </c>
      <c r="F334" s="2">
        <v>0</v>
      </c>
      <c r="G334" s="2">
        <v>0</v>
      </c>
      <c r="H334" s="2">
        <v>2E-3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1E-3</v>
      </c>
      <c r="X334" s="2">
        <v>0</v>
      </c>
      <c r="Y334" s="2">
        <v>0</v>
      </c>
      <c r="Z334" s="2">
        <v>0</v>
      </c>
      <c r="AA334" s="2">
        <v>0</v>
      </c>
      <c r="AB334" s="2">
        <v>0.70899999999999996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0.28799999999999998</v>
      </c>
      <c r="AL334" s="2">
        <v>0</v>
      </c>
      <c r="AM334" s="2">
        <v>0</v>
      </c>
      <c r="AN334" s="2">
        <v>0</v>
      </c>
      <c r="AO334" s="2">
        <v>0</v>
      </c>
      <c r="AP334" s="2">
        <v>0</v>
      </c>
      <c r="AQ334" s="2">
        <v>0</v>
      </c>
      <c r="AR334" s="2">
        <v>0</v>
      </c>
      <c r="AS334" s="2">
        <v>0</v>
      </c>
      <c r="AT334" s="2">
        <v>0</v>
      </c>
      <c r="AU334" s="2">
        <v>0</v>
      </c>
      <c r="AV334" s="2">
        <v>0</v>
      </c>
      <c r="AW334" s="2">
        <v>0</v>
      </c>
      <c r="AX334" s="2">
        <v>0</v>
      </c>
      <c r="AY334" s="2">
        <v>0</v>
      </c>
      <c r="AZ334" s="2">
        <v>0</v>
      </c>
    </row>
    <row r="335" spans="1:52">
      <c r="A335" s="2">
        <v>334</v>
      </c>
      <c r="B335" s="2" t="s">
        <v>33</v>
      </c>
      <c r="C335" s="2" t="s">
        <v>33</v>
      </c>
      <c r="D335" s="2">
        <v>0</v>
      </c>
      <c r="E335" s="2">
        <v>0</v>
      </c>
      <c r="F335" s="2">
        <v>0</v>
      </c>
      <c r="G335" s="2">
        <v>1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2">
        <v>0</v>
      </c>
      <c r="AP335" s="2">
        <v>0</v>
      </c>
      <c r="AQ335" s="2">
        <v>0</v>
      </c>
      <c r="AR335" s="2">
        <v>0</v>
      </c>
      <c r="AS335" s="2">
        <v>0</v>
      </c>
      <c r="AT335" s="2">
        <v>0</v>
      </c>
      <c r="AU335" s="2">
        <v>0</v>
      </c>
      <c r="AV335" s="2">
        <v>0</v>
      </c>
      <c r="AW335" s="2">
        <v>0</v>
      </c>
      <c r="AX335" s="2">
        <v>0</v>
      </c>
      <c r="AY335" s="2">
        <v>0</v>
      </c>
      <c r="AZ335" s="2">
        <v>0</v>
      </c>
    </row>
    <row r="336" spans="1:52">
      <c r="A336" s="2">
        <v>335</v>
      </c>
      <c r="B336" s="2" t="s">
        <v>33</v>
      </c>
      <c r="C336" s="2" t="s">
        <v>33</v>
      </c>
      <c r="D336" s="2">
        <v>0</v>
      </c>
      <c r="E336" s="2">
        <v>0</v>
      </c>
      <c r="F336" s="2">
        <v>0</v>
      </c>
      <c r="G336" s="2">
        <v>0.99299999999999999</v>
      </c>
      <c r="H336" s="2">
        <v>1E-3</v>
      </c>
      <c r="I336" s="2">
        <v>1E-3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1E-3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0</v>
      </c>
      <c r="AD336" s="2">
        <v>2E-3</v>
      </c>
      <c r="AE336" s="2">
        <v>0</v>
      </c>
      <c r="AF336" s="2">
        <v>0</v>
      </c>
      <c r="AG336" s="2">
        <v>0</v>
      </c>
      <c r="AH336" s="2">
        <v>0</v>
      </c>
      <c r="AI336" s="2">
        <v>1E-3</v>
      </c>
      <c r="AJ336" s="2">
        <v>0</v>
      </c>
      <c r="AK336" s="2">
        <v>0</v>
      </c>
      <c r="AL336" s="2">
        <v>0</v>
      </c>
      <c r="AM336" s="2">
        <v>0</v>
      </c>
      <c r="AN336" s="2">
        <v>0</v>
      </c>
      <c r="AO336" s="2">
        <v>0</v>
      </c>
      <c r="AP336" s="2">
        <v>0</v>
      </c>
      <c r="AQ336" s="2">
        <v>0</v>
      </c>
      <c r="AR336" s="2">
        <v>0</v>
      </c>
      <c r="AS336" s="2">
        <v>0</v>
      </c>
      <c r="AT336" s="2">
        <v>0</v>
      </c>
      <c r="AU336" s="2">
        <v>1E-3</v>
      </c>
      <c r="AV336" s="2">
        <v>0</v>
      </c>
      <c r="AW336" s="2">
        <v>0</v>
      </c>
      <c r="AX336" s="2">
        <v>0</v>
      </c>
      <c r="AY336" s="2">
        <v>0</v>
      </c>
      <c r="AZ336" s="2">
        <v>0</v>
      </c>
    </row>
    <row r="337" spans="1:52">
      <c r="A337" s="2">
        <v>336</v>
      </c>
      <c r="B337" s="2" t="s">
        <v>42</v>
      </c>
      <c r="C337" s="2" t="s">
        <v>42</v>
      </c>
      <c r="D337" s="2">
        <v>0</v>
      </c>
      <c r="E337" s="2">
        <v>0</v>
      </c>
      <c r="F337" s="2">
        <v>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1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2">
        <v>0</v>
      </c>
      <c r="AP337" s="2">
        <v>0</v>
      </c>
      <c r="AQ337" s="2">
        <v>0</v>
      </c>
      <c r="AR337" s="2">
        <v>0</v>
      </c>
      <c r="AS337" s="2">
        <v>0</v>
      </c>
      <c r="AT337" s="2">
        <v>0</v>
      </c>
      <c r="AU337" s="2">
        <v>0</v>
      </c>
      <c r="AV337" s="2">
        <v>0</v>
      </c>
      <c r="AW337" s="2">
        <v>0</v>
      </c>
      <c r="AX337" s="2">
        <v>0</v>
      </c>
      <c r="AY337" s="2">
        <v>0</v>
      </c>
      <c r="AZ337" s="2">
        <v>0</v>
      </c>
    </row>
    <row r="338" spans="1:52">
      <c r="A338" s="2">
        <v>337</v>
      </c>
      <c r="B338" s="2" t="s">
        <v>33</v>
      </c>
      <c r="C338" s="2" t="s">
        <v>33</v>
      </c>
      <c r="D338" s="2">
        <v>0</v>
      </c>
      <c r="E338" s="2">
        <v>0</v>
      </c>
      <c r="F338" s="2">
        <v>0</v>
      </c>
      <c r="G338" s="2">
        <v>0.999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2">
        <v>0</v>
      </c>
      <c r="AP338" s="2">
        <v>0</v>
      </c>
      <c r="AQ338" s="2">
        <v>0</v>
      </c>
      <c r="AR338" s="2">
        <v>0</v>
      </c>
      <c r="AS338" s="2">
        <v>0</v>
      </c>
      <c r="AT338" s="2">
        <v>0</v>
      </c>
      <c r="AU338" s="2">
        <v>0</v>
      </c>
      <c r="AV338" s="2">
        <v>0</v>
      </c>
      <c r="AW338" s="2">
        <v>0</v>
      </c>
      <c r="AX338" s="2">
        <v>0</v>
      </c>
      <c r="AY338" s="2">
        <v>1E-3</v>
      </c>
      <c r="AZ338" s="2">
        <v>0</v>
      </c>
    </row>
    <row r="339" spans="1:52">
      <c r="A339" s="2">
        <v>338</v>
      </c>
      <c r="B339" s="2" t="s">
        <v>42</v>
      </c>
      <c r="C339" s="2" t="s">
        <v>42</v>
      </c>
      <c r="D339" s="2">
        <v>0</v>
      </c>
      <c r="E339" s="2">
        <v>0</v>
      </c>
      <c r="F339" s="2">
        <v>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1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2">
        <v>0</v>
      </c>
      <c r="AP339" s="2">
        <v>0</v>
      </c>
      <c r="AQ339" s="2">
        <v>0</v>
      </c>
      <c r="AR339" s="2">
        <v>0</v>
      </c>
      <c r="AS339" s="2">
        <v>0</v>
      </c>
      <c r="AT339" s="2">
        <v>0</v>
      </c>
      <c r="AU339" s="2">
        <v>0</v>
      </c>
      <c r="AV339" s="2">
        <v>0</v>
      </c>
      <c r="AW339" s="2">
        <v>0</v>
      </c>
      <c r="AX339" s="2">
        <v>0</v>
      </c>
      <c r="AY339" s="2">
        <v>0</v>
      </c>
      <c r="AZ339" s="2">
        <v>0</v>
      </c>
    </row>
    <row r="340" spans="1:52">
      <c r="A340" s="2">
        <v>339</v>
      </c>
      <c r="B340" s="2" t="s">
        <v>64</v>
      </c>
      <c r="C340" s="2" t="s">
        <v>64</v>
      </c>
      <c r="D340" s="2">
        <v>0</v>
      </c>
      <c r="E340" s="2">
        <v>0</v>
      </c>
      <c r="F340" s="2">
        <v>0</v>
      </c>
      <c r="G340" s="2">
        <v>0</v>
      </c>
      <c r="H340" s="2">
        <v>2E-3</v>
      </c>
      <c r="I340" s="2">
        <v>0</v>
      </c>
      <c r="J340" s="2">
        <v>0</v>
      </c>
      <c r="K340" s="2">
        <v>1E-3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0.997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2">
        <v>0</v>
      </c>
      <c r="AP340" s="2">
        <v>0</v>
      </c>
      <c r="AQ340" s="2">
        <v>0</v>
      </c>
      <c r="AR340" s="2">
        <v>0</v>
      </c>
      <c r="AS340" s="2">
        <v>0</v>
      </c>
      <c r="AT340" s="2">
        <v>0</v>
      </c>
      <c r="AU340" s="2">
        <v>0</v>
      </c>
      <c r="AV340" s="2">
        <v>0</v>
      </c>
      <c r="AW340" s="2">
        <v>0</v>
      </c>
      <c r="AX340" s="2">
        <v>0</v>
      </c>
      <c r="AY340" s="2">
        <v>0</v>
      </c>
      <c r="AZ340" s="2">
        <v>0</v>
      </c>
    </row>
    <row r="341" spans="1:52">
      <c r="A341" s="2">
        <v>340</v>
      </c>
      <c r="B341" s="2" t="s">
        <v>397</v>
      </c>
      <c r="C341" s="2" t="s">
        <v>397</v>
      </c>
      <c r="D341" s="2">
        <v>0</v>
      </c>
      <c r="E341" s="2">
        <v>0</v>
      </c>
      <c r="F341" s="2">
        <v>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0.90500000000000003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9.5000000000000001E-2</v>
      </c>
      <c r="AM341" s="2">
        <v>0</v>
      </c>
      <c r="AN341" s="2">
        <v>0</v>
      </c>
      <c r="AO341" s="2">
        <v>0</v>
      </c>
      <c r="AP341" s="2">
        <v>0</v>
      </c>
      <c r="AQ341" s="2">
        <v>0</v>
      </c>
      <c r="AR341" s="2">
        <v>0</v>
      </c>
      <c r="AS341" s="2">
        <v>0</v>
      </c>
      <c r="AT341" s="2">
        <v>0</v>
      </c>
      <c r="AU341" s="2">
        <v>0</v>
      </c>
      <c r="AV341" s="2">
        <v>0</v>
      </c>
      <c r="AW341" s="2">
        <v>0</v>
      </c>
      <c r="AX341" s="2">
        <v>0</v>
      </c>
      <c r="AY341" s="2">
        <v>0</v>
      </c>
      <c r="AZ341" s="2">
        <v>0</v>
      </c>
    </row>
    <row r="342" spans="1:52">
      <c r="A342" s="2">
        <v>341</v>
      </c>
      <c r="B342" s="2" t="s">
        <v>274</v>
      </c>
      <c r="C342" s="2" t="s">
        <v>274</v>
      </c>
      <c r="D342" s="2">
        <v>0</v>
      </c>
      <c r="E342" s="2">
        <v>0</v>
      </c>
      <c r="F342" s="2">
        <v>0</v>
      </c>
      <c r="G342" s="2">
        <v>0</v>
      </c>
      <c r="H342" s="2">
        <v>1E-3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1E-3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2">
        <v>0</v>
      </c>
      <c r="AP342" s="2">
        <v>1E-3</v>
      </c>
      <c r="AQ342" s="2">
        <v>0.27400000000000002</v>
      </c>
      <c r="AR342" s="2">
        <v>0.72099999999999997</v>
      </c>
      <c r="AS342" s="2">
        <v>0</v>
      </c>
      <c r="AT342" s="2">
        <v>0</v>
      </c>
      <c r="AU342" s="2">
        <v>0</v>
      </c>
      <c r="AV342" s="2">
        <v>0</v>
      </c>
      <c r="AW342" s="2">
        <v>0</v>
      </c>
      <c r="AX342" s="2">
        <v>0</v>
      </c>
      <c r="AY342" s="2">
        <v>0</v>
      </c>
      <c r="AZ342" s="2">
        <v>2E-3</v>
      </c>
    </row>
    <row r="343" spans="1:52">
      <c r="A343" s="2">
        <v>342</v>
      </c>
      <c r="B343" s="2" t="s">
        <v>22</v>
      </c>
      <c r="C343" s="2" t="s">
        <v>22</v>
      </c>
      <c r="D343" s="2">
        <v>0</v>
      </c>
      <c r="E343" s="2">
        <v>0</v>
      </c>
      <c r="F343" s="2">
        <v>0</v>
      </c>
      <c r="G343" s="2">
        <v>0</v>
      </c>
      <c r="H343" s="2">
        <v>6.0000000000000001E-3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0.13800000000000001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0.85599999999999998</v>
      </c>
      <c r="AL343" s="2">
        <v>0</v>
      </c>
      <c r="AM343" s="2">
        <v>0</v>
      </c>
      <c r="AN343" s="2">
        <v>0</v>
      </c>
      <c r="AO343" s="2">
        <v>0</v>
      </c>
      <c r="AP343" s="2">
        <v>0</v>
      </c>
      <c r="AQ343" s="2">
        <v>0</v>
      </c>
      <c r="AR343" s="2">
        <v>0</v>
      </c>
      <c r="AS343" s="2">
        <v>0</v>
      </c>
      <c r="AT343" s="2">
        <v>0</v>
      </c>
      <c r="AU343" s="2">
        <v>0</v>
      </c>
      <c r="AV343" s="2">
        <v>0</v>
      </c>
      <c r="AW343" s="2">
        <v>0</v>
      </c>
      <c r="AX343" s="2">
        <v>0</v>
      </c>
      <c r="AY343" s="2">
        <v>0</v>
      </c>
      <c r="AZ343" s="2">
        <v>0</v>
      </c>
    </row>
    <row r="344" spans="1:52">
      <c r="A344" s="2">
        <v>343</v>
      </c>
      <c r="B344" s="2" t="s">
        <v>86</v>
      </c>
      <c r="C344" s="2" t="s">
        <v>86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0.94799999999999995</v>
      </c>
      <c r="Z344" s="2">
        <v>1.7000000000000001E-2</v>
      </c>
      <c r="AA344" s="2">
        <v>3.5000000000000003E-2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</v>
      </c>
      <c r="AK344" s="2">
        <v>0</v>
      </c>
      <c r="AL344" s="2">
        <v>0</v>
      </c>
      <c r="AM344" s="2">
        <v>0</v>
      </c>
      <c r="AN344" s="2">
        <v>0</v>
      </c>
      <c r="AO344" s="2">
        <v>0</v>
      </c>
      <c r="AP344" s="2">
        <v>0</v>
      </c>
      <c r="AQ344" s="2">
        <v>0</v>
      </c>
      <c r="AR344" s="2">
        <v>0</v>
      </c>
      <c r="AS344" s="2">
        <v>0</v>
      </c>
      <c r="AT344" s="2">
        <v>0</v>
      </c>
      <c r="AU344" s="2">
        <v>0</v>
      </c>
      <c r="AV344" s="2">
        <v>0</v>
      </c>
      <c r="AW344" s="2">
        <v>0</v>
      </c>
      <c r="AX344" s="2">
        <v>0</v>
      </c>
      <c r="AY344" s="2">
        <v>0</v>
      </c>
      <c r="AZ344" s="2">
        <v>0</v>
      </c>
    </row>
    <row r="345" spans="1:52">
      <c r="A345" s="2">
        <v>344</v>
      </c>
      <c r="B345" s="2" t="s">
        <v>33</v>
      </c>
      <c r="C345" s="2" t="s">
        <v>33</v>
      </c>
      <c r="D345" s="2">
        <v>0</v>
      </c>
      <c r="E345" s="2">
        <v>0</v>
      </c>
      <c r="F345" s="2">
        <v>0</v>
      </c>
      <c r="G345" s="2">
        <v>1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  <c r="AG345" s="2">
        <v>0</v>
      </c>
      <c r="AH345" s="2">
        <v>0</v>
      </c>
      <c r="AI345" s="2">
        <v>0</v>
      </c>
      <c r="AJ345" s="2">
        <v>0</v>
      </c>
      <c r="AK345" s="2">
        <v>0</v>
      </c>
      <c r="AL345" s="2">
        <v>0</v>
      </c>
      <c r="AM345" s="2">
        <v>0</v>
      </c>
      <c r="AN345" s="2">
        <v>0</v>
      </c>
      <c r="AO345" s="2">
        <v>0</v>
      </c>
      <c r="AP345" s="2">
        <v>0</v>
      </c>
      <c r="AQ345" s="2">
        <v>0</v>
      </c>
      <c r="AR345" s="2">
        <v>0</v>
      </c>
      <c r="AS345" s="2">
        <v>0</v>
      </c>
      <c r="AT345" s="2">
        <v>0</v>
      </c>
      <c r="AU345" s="2">
        <v>0</v>
      </c>
      <c r="AV345" s="2">
        <v>0</v>
      </c>
      <c r="AW345" s="2">
        <v>0</v>
      </c>
      <c r="AX345" s="2">
        <v>0</v>
      </c>
      <c r="AY345" s="2">
        <v>0</v>
      </c>
      <c r="AZ345" s="2">
        <v>0</v>
      </c>
    </row>
    <row r="346" spans="1:52">
      <c r="A346" s="2">
        <v>345</v>
      </c>
      <c r="B346" s="2" t="s">
        <v>22</v>
      </c>
      <c r="C346" s="2" t="s">
        <v>22</v>
      </c>
      <c r="D346" s="2">
        <v>0</v>
      </c>
      <c r="E346" s="2">
        <v>0</v>
      </c>
      <c r="F346" s="2">
        <v>0</v>
      </c>
      <c r="G346" s="2">
        <v>0</v>
      </c>
      <c r="H346" s="2">
        <v>2E-3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1E-3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0.17899999999999999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0.81799999999999995</v>
      </c>
      <c r="AL346" s="2">
        <v>0</v>
      </c>
      <c r="AM346" s="2">
        <v>0</v>
      </c>
      <c r="AN346" s="2">
        <v>0</v>
      </c>
      <c r="AO346" s="2">
        <v>0</v>
      </c>
      <c r="AP346" s="2">
        <v>0</v>
      </c>
      <c r="AQ346" s="2">
        <v>0</v>
      </c>
      <c r="AR346" s="2">
        <v>0</v>
      </c>
      <c r="AS346" s="2">
        <v>0</v>
      </c>
      <c r="AT346" s="2">
        <v>0</v>
      </c>
      <c r="AU346" s="2">
        <v>0</v>
      </c>
      <c r="AV346" s="2">
        <v>0</v>
      </c>
      <c r="AW346" s="2">
        <v>0</v>
      </c>
      <c r="AX346" s="2">
        <v>0</v>
      </c>
      <c r="AY346" s="2">
        <v>0</v>
      </c>
      <c r="AZ346" s="2">
        <v>0</v>
      </c>
    </row>
    <row r="347" spans="1:52">
      <c r="A347" s="2">
        <v>346</v>
      </c>
      <c r="B347" s="2" t="s">
        <v>29</v>
      </c>
      <c r="C347" s="2" t="s">
        <v>29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1</v>
      </c>
      <c r="AK347" s="2">
        <v>0</v>
      </c>
      <c r="AL347" s="2">
        <v>0</v>
      </c>
      <c r="AM347" s="2">
        <v>0</v>
      </c>
      <c r="AN347" s="2">
        <v>0</v>
      </c>
      <c r="AO347" s="2">
        <v>0</v>
      </c>
      <c r="AP347" s="2">
        <v>0</v>
      </c>
      <c r="AQ347" s="2">
        <v>0</v>
      </c>
      <c r="AR347" s="2">
        <v>0</v>
      </c>
      <c r="AS347" s="2">
        <v>0</v>
      </c>
      <c r="AT347" s="2">
        <v>0</v>
      </c>
      <c r="AU347" s="2">
        <v>0</v>
      </c>
      <c r="AV347" s="2">
        <v>0</v>
      </c>
      <c r="AW347" s="2">
        <v>0</v>
      </c>
      <c r="AX347" s="2">
        <v>0</v>
      </c>
      <c r="AY347" s="2">
        <v>0</v>
      </c>
      <c r="AZ347" s="2">
        <v>0</v>
      </c>
    </row>
    <row r="348" spans="1:52">
      <c r="A348" s="2">
        <v>347</v>
      </c>
      <c r="B348" s="2" t="s">
        <v>108</v>
      </c>
      <c r="C348" s="2" t="s">
        <v>108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1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0</v>
      </c>
      <c r="AL348" s="2">
        <v>0</v>
      </c>
      <c r="AM348" s="2">
        <v>0</v>
      </c>
      <c r="AN348" s="2">
        <v>0</v>
      </c>
      <c r="AO348" s="2">
        <v>0</v>
      </c>
      <c r="AP348" s="2">
        <v>0</v>
      </c>
      <c r="AQ348" s="2">
        <v>0</v>
      </c>
      <c r="AR348" s="2">
        <v>0</v>
      </c>
      <c r="AS348" s="2">
        <v>0</v>
      </c>
      <c r="AT348" s="2">
        <v>0</v>
      </c>
      <c r="AU348" s="2">
        <v>0</v>
      </c>
      <c r="AV348" s="2">
        <v>0</v>
      </c>
      <c r="AW348" s="2">
        <v>0</v>
      </c>
      <c r="AX348" s="2">
        <v>0</v>
      </c>
      <c r="AY348" s="2">
        <v>0</v>
      </c>
      <c r="AZ348" s="2">
        <v>0</v>
      </c>
    </row>
    <row r="349" spans="1:52">
      <c r="A349" s="2">
        <v>348</v>
      </c>
      <c r="B349" s="2" t="s">
        <v>266</v>
      </c>
      <c r="C349" s="2" t="s">
        <v>266</v>
      </c>
      <c r="D349" s="2">
        <v>0</v>
      </c>
      <c r="E349" s="2">
        <v>0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7.2999999999999995E-2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7.4999999999999997E-2</v>
      </c>
      <c r="AE349" s="2">
        <v>0</v>
      </c>
      <c r="AF349" s="2">
        <v>0</v>
      </c>
      <c r="AG349" s="2">
        <v>0</v>
      </c>
      <c r="AH349" s="2">
        <v>0</v>
      </c>
      <c r="AI349" s="2">
        <v>0</v>
      </c>
      <c r="AJ349" s="2">
        <v>0</v>
      </c>
      <c r="AK349" s="2">
        <v>0</v>
      </c>
      <c r="AL349" s="2">
        <v>0.85199999999999998</v>
      </c>
      <c r="AM349" s="2">
        <v>0</v>
      </c>
      <c r="AN349" s="2">
        <v>0</v>
      </c>
      <c r="AO349" s="2">
        <v>0</v>
      </c>
      <c r="AP349" s="2">
        <v>0</v>
      </c>
      <c r="AQ349" s="2">
        <v>0</v>
      </c>
      <c r="AR349" s="2">
        <v>0</v>
      </c>
      <c r="AS349" s="2">
        <v>0</v>
      </c>
      <c r="AT349" s="2">
        <v>0</v>
      </c>
      <c r="AU349" s="2">
        <v>0</v>
      </c>
      <c r="AV349" s="2">
        <v>0</v>
      </c>
      <c r="AW349" s="2">
        <v>0</v>
      </c>
      <c r="AX349" s="2">
        <v>0</v>
      </c>
      <c r="AY349" s="2">
        <v>0</v>
      </c>
      <c r="AZ349" s="2">
        <v>0</v>
      </c>
    </row>
    <row r="350" spans="1:52">
      <c r="A350" s="2">
        <v>349</v>
      </c>
      <c r="B350" s="2" t="s">
        <v>42</v>
      </c>
      <c r="C350" s="2" t="s">
        <v>42</v>
      </c>
      <c r="D350" s="2">
        <v>8.9999999999999993E-3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0.99099999999999999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  <c r="AQ350" s="2">
        <v>0</v>
      </c>
      <c r="AR350" s="2">
        <v>0</v>
      </c>
      <c r="AS350" s="2">
        <v>0</v>
      </c>
      <c r="AT350" s="2">
        <v>0</v>
      </c>
      <c r="AU350" s="2">
        <v>0</v>
      </c>
      <c r="AV350" s="2">
        <v>0</v>
      </c>
      <c r="AW350" s="2">
        <v>0</v>
      </c>
      <c r="AX350" s="2">
        <v>0</v>
      </c>
      <c r="AY350" s="2">
        <v>0</v>
      </c>
      <c r="AZ350" s="2">
        <v>0</v>
      </c>
    </row>
    <row r="351" spans="1:52">
      <c r="A351" s="2">
        <v>350</v>
      </c>
      <c r="B351" s="2" t="s">
        <v>274</v>
      </c>
      <c r="C351" s="2" t="s">
        <v>274</v>
      </c>
      <c r="D351" s="2">
        <v>0</v>
      </c>
      <c r="E351" s="2">
        <v>0</v>
      </c>
      <c r="F351" s="2">
        <v>1E-3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1E-3</v>
      </c>
      <c r="X351" s="2">
        <v>5.0000000000000001E-3</v>
      </c>
      <c r="Y351" s="2">
        <v>0</v>
      </c>
      <c r="Z351" s="2">
        <v>0</v>
      </c>
      <c r="AA351" s="2">
        <v>0</v>
      </c>
      <c r="AB351" s="2">
        <v>0</v>
      </c>
      <c r="AC351" s="2">
        <v>1E-3</v>
      </c>
      <c r="AD351" s="2">
        <v>0</v>
      </c>
      <c r="AE351" s="2">
        <v>1E-3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2">
        <v>0</v>
      </c>
      <c r="AP351" s="2">
        <v>0</v>
      </c>
      <c r="AQ351" s="2">
        <v>0.39600000000000002</v>
      </c>
      <c r="AR351" s="2">
        <v>0.59199999999999997</v>
      </c>
      <c r="AS351" s="2">
        <v>0</v>
      </c>
      <c r="AT351" s="2">
        <v>0</v>
      </c>
      <c r="AU351" s="2">
        <v>2E-3</v>
      </c>
      <c r="AV351" s="2">
        <v>1E-3</v>
      </c>
      <c r="AW351" s="2">
        <v>0</v>
      </c>
      <c r="AX351" s="2">
        <v>0</v>
      </c>
      <c r="AY351" s="2">
        <v>0</v>
      </c>
      <c r="AZ351" s="2">
        <v>0</v>
      </c>
    </row>
    <row r="352" spans="1:52">
      <c r="A352" s="2">
        <v>351</v>
      </c>
      <c r="B352" s="2" t="s">
        <v>33</v>
      </c>
      <c r="C352" s="2" t="s">
        <v>33</v>
      </c>
      <c r="D352" s="2">
        <v>0</v>
      </c>
      <c r="E352" s="2">
        <v>0</v>
      </c>
      <c r="F352" s="2">
        <v>0</v>
      </c>
      <c r="G352" s="2">
        <v>1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2">
        <v>0</v>
      </c>
      <c r="AP352" s="2">
        <v>0</v>
      </c>
      <c r="AQ352" s="2">
        <v>0</v>
      </c>
      <c r="AR352" s="2">
        <v>0</v>
      </c>
      <c r="AS352" s="2">
        <v>0</v>
      </c>
      <c r="AT352" s="2">
        <v>0</v>
      </c>
      <c r="AU352" s="2">
        <v>0</v>
      </c>
      <c r="AV352" s="2">
        <v>0</v>
      </c>
      <c r="AW352" s="2">
        <v>0</v>
      </c>
      <c r="AX352" s="2">
        <v>0</v>
      </c>
      <c r="AY352" s="2">
        <v>0</v>
      </c>
      <c r="AZ352" s="2">
        <v>0</v>
      </c>
    </row>
    <row r="353" spans="1:52">
      <c r="A353" s="2">
        <v>352</v>
      </c>
      <c r="B353" s="2" t="s">
        <v>45</v>
      </c>
      <c r="C353" s="2" t="s">
        <v>45</v>
      </c>
      <c r="D353" s="2">
        <v>0</v>
      </c>
      <c r="E353" s="2">
        <v>0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3.1E-2</v>
      </c>
      <c r="V353" s="2">
        <v>4.8000000000000001E-2</v>
      </c>
      <c r="W353" s="2">
        <v>0.90300000000000002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1.7999999999999999E-2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2">
        <v>0</v>
      </c>
      <c r="AP353" s="2">
        <v>0</v>
      </c>
      <c r="AQ353" s="2">
        <v>0</v>
      </c>
      <c r="AR353" s="2">
        <v>0</v>
      </c>
      <c r="AS353" s="2">
        <v>0</v>
      </c>
      <c r="AT353" s="2">
        <v>0</v>
      </c>
      <c r="AU353" s="2">
        <v>0</v>
      </c>
      <c r="AV353" s="2">
        <v>0</v>
      </c>
      <c r="AW353" s="2">
        <v>0</v>
      </c>
      <c r="AX353" s="2">
        <v>0</v>
      </c>
      <c r="AY353" s="2">
        <v>0</v>
      </c>
      <c r="AZ353" s="2">
        <v>0</v>
      </c>
    </row>
    <row r="354" spans="1:52">
      <c r="A354" s="2">
        <v>353</v>
      </c>
      <c r="B354" s="2" t="s">
        <v>33</v>
      </c>
      <c r="C354" s="2" t="s">
        <v>33</v>
      </c>
      <c r="D354" s="2">
        <v>0</v>
      </c>
      <c r="E354" s="2">
        <v>0</v>
      </c>
      <c r="F354" s="2">
        <v>0</v>
      </c>
      <c r="G354" s="2">
        <v>0.97299999999999998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2">
        <v>0</v>
      </c>
      <c r="AP354" s="2">
        <v>0</v>
      </c>
      <c r="AQ354" s="2">
        <v>0</v>
      </c>
      <c r="AR354" s="2">
        <v>0</v>
      </c>
      <c r="AS354" s="2">
        <v>0</v>
      </c>
      <c r="AT354" s="2">
        <v>0</v>
      </c>
      <c r="AU354" s="2">
        <v>0</v>
      </c>
      <c r="AV354" s="2">
        <v>0</v>
      </c>
      <c r="AW354" s="2">
        <v>0</v>
      </c>
      <c r="AX354" s="2">
        <v>0</v>
      </c>
      <c r="AY354" s="2">
        <v>2.7E-2</v>
      </c>
      <c r="AZ354" s="2">
        <v>0</v>
      </c>
    </row>
    <row r="355" spans="1:52">
      <c r="A355" s="2">
        <v>354</v>
      </c>
      <c r="B355" s="2" t="s">
        <v>33</v>
      </c>
      <c r="C355" s="2" t="s">
        <v>33</v>
      </c>
      <c r="D355" s="2">
        <v>0</v>
      </c>
      <c r="E355" s="2">
        <v>0</v>
      </c>
      <c r="F355" s="2">
        <v>0</v>
      </c>
      <c r="G355" s="2">
        <v>1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2">
        <v>0</v>
      </c>
      <c r="AP355" s="2">
        <v>0</v>
      </c>
      <c r="AQ355" s="2">
        <v>0</v>
      </c>
      <c r="AR355" s="2">
        <v>0</v>
      </c>
      <c r="AS355" s="2">
        <v>0</v>
      </c>
      <c r="AT355" s="2">
        <v>0</v>
      </c>
      <c r="AU355" s="2">
        <v>0</v>
      </c>
      <c r="AV355" s="2">
        <v>0</v>
      </c>
      <c r="AW355" s="2">
        <v>0</v>
      </c>
      <c r="AX355" s="2">
        <v>0</v>
      </c>
      <c r="AY355" s="2">
        <v>0</v>
      </c>
      <c r="AZ35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2020211JAP_probAnalysis_air3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2020-02-11T20:49:33Z</dcterms:created>
  <dcterms:modified xsi:type="dcterms:W3CDTF">2020-02-13T20:27:14Z</dcterms:modified>
</cp:coreProperties>
</file>