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40009_{DB9B8F14-5054-ED43-9B2D-FC91E46C08E2}" xr6:coauthVersionLast="45" xr6:coauthVersionMax="45" xr10:uidLastSave="{00000000-0000-0000-0000-000000000000}"/>
  <bookViews>
    <workbookView xWindow="0" yWindow="0" windowWidth="51200" windowHeight="28800" activeTab="3"/>
  </bookViews>
  <sheets>
    <sheet name="20191022JAP_ProbAnalysis4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'20191022JAP_ProbAnalysis4'!$A$1:$S$1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s="1"/>
</calcChain>
</file>

<file path=xl/sharedStrings.xml><?xml version="1.0" encoding="utf-8"?>
<sst xmlns="http://schemas.openxmlformats.org/spreadsheetml/2006/main" count="6664" uniqueCount="424">
  <si>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</si>
  <si>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</si>
  <si>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</si>
  <si>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</si>
  <si>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</si>
  <si>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</si>
  <si>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</si>
  <si>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</si>
  <si>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</si>
  <si>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</si>
  <si>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</si>
  <si>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</si>
  <si>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</si>
  <si>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</si>
  <si>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</si>
  <si>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</si>
  <si>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</si>
  <si>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PS 42:04</t>
  </si>
  <si>
    <t>Organic compounds</t>
  </si>
  <si>
    <t>yes</t>
  </si>
  <si>
    <t>Lipids and lipid-like molecules</t>
  </si>
  <si>
    <t>Glycerophospholipids</t>
  </si>
  <si>
    <t>Glycerophosphoserines</t>
  </si>
  <si>
    <t>kscsb</t>
  </si>
  <si>
    <t>Homocysteine</t>
  </si>
  <si>
    <t>Organic acids and derivatives</t>
  </si>
  <si>
    <t>Carboxylic acids and derivatives</t>
  </si>
  <si>
    <t>Amino acids, peptides, and analogues</t>
  </si>
  <si>
    <t>PE 38:06 HETE</t>
  </si>
  <si>
    <t>Glycerophosphoethanolamines</t>
  </si>
  <si>
    <t>2',4'-Dihydroxyacetophenone</t>
  </si>
  <si>
    <t>Amphotericin</t>
  </si>
  <si>
    <t>Organic oxygen compounds</t>
  </si>
  <si>
    <t>Organooxygen compounds</t>
  </si>
  <si>
    <t>Carbohydrates and carbohydrate conjugates</t>
  </si>
  <si>
    <t>Surfactin A</t>
  </si>
  <si>
    <t>Peptidomimetics</t>
  </si>
  <si>
    <t>Depsipeptides</t>
  </si>
  <si>
    <t>Ethyl-3-indoleacetate</t>
  </si>
  <si>
    <t>Organoheterocyclic compounds</t>
  </si>
  <si>
    <t>Indoles and derivatives</t>
  </si>
  <si>
    <t>Indolyl carboxylic acids and derivatives</t>
  </si>
  <si>
    <t>3-Dehydroshikimate</t>
  </si>
  <si>
    <t>Carbonyl compounds</t>
  </si>
  <si>
    <t>8(S)-HETE</t>
  </si>
  <si>
    <t>Fatty acyls</t>
  </si>
  <si>
    <t>Eicosanoids</t>
  </si>
  <si>
    <t>1,2-Dioctanoyl-sn-glycero-3-phosphoethanolamine</t>
  </si>
  <si>
    <t>D-Gluconate</t>
  </si>
  <si>
    <t>SIGGEVFIDFTK (Tryptic Peptide)</t>
  </si>
  <si>
    <t>6-Carboxyhexanoate</t>
  </si>
  <si>
    <t>Fatty acids and conjugates</t>
  </si>
  <si>
    <t>Uridine Diphosphate Glucose</t>
  </si>
  <si>
    <t>Nucleosides, nucleotides, and analogues</t>
  </si>
  <si>
    <t>Pyrimidine nucleotides</t>
  </si>
  <si>
    <t>Pyrimidine nucleotide sugars</t>
  </si>
  <si>
    <t>PS 39:04</t>
  </si>
  <si>
    <t>O-Acetylserine</t>
  </si>
  <si>
    <t>Na(NaI)4</t>
  </si>
  <si>
    <t>Inorganic compounds</t>
  </si>
  <si>
    <t>Mixed metal/non-metal compounds</t>
  </si>
  <si>
    <t>Alkali metal salts</t>
  </si>
  <si>
    <t>Alkali metal iodides</t>
  </si>
  <si>
    <t>2-Deoxy-D-glucose</t>
  </si>
  <si>
    <t>1,2-Dilignoceroyl-sn-glycero-3-phosphocholine</t>
  </si>
  <si>
    <t>Glycerophosphocholines</t>
  </si>
  <si>
    <t>GlcCer 43:03</t>
  </si>
  <si>
    <t>Sphingolipids</t>
  </si>
  <si>
    <t>Glycosphingolipids</t>
  </si>
  <si>
    <t>TGQAPGFTYTDANK (Tryptic Peptide)</t>
  </si>
  <si>
    <t>N-Acetylmethionine</t>
  </si>
  <si>
    <t>12(R)-HETE</t>
  </si>
  <si>
    <t>7(R)-Maresin-1</t>
  </si>
  <si>
    <t>2,2',5,5'-Tetrachlorobiphenyl</t>
  </si>
  <si>
    <t>Benzenoids</t>
  </si>
  <si>
    <t>Benzene and substituted derivatives</t>
  </si>
  <si>
    <t>Biphenyls and derivatives</t>
  </si>
  <si>
    <t>gamma-Linolenate</t>
  </si>
  <si>
    <t>Lineolic acids and derivatives</t>
  </si>
  <si>
    <t>2-Deoxyadenosine-5-monophosphate</t>
  </si>
  <si>
    <t>Purine nucleotides</t>
  </si>
  <si>
    <t>Purine deoxyribonucleotides</t>
  </si>
  <si>
    <t>IFVQK (Tryptic Peptide)</t>
  </si>
  <si>
    <t>N-Acetyl-L-aspartic Acid</t>
  </si>
  <si>
    <t>Cortisone</t>
  </si>
  <si>
    <t>Steroids and steroid derivatives</t>
  </si>
  <si>
    <t>Hydroxysteroids</t>
  </si>
  <si>
    <t>GlcCer 42:02</t>
  </si>
  <si>
    <t>beta-Glycerophosphate</t>
  </si>
  <si>
    <t>Glycerophosphates</t>
  </si>
  <si>
    <t>Cs(CsI)10</t>
  </si>
  <si>
    <t>Apramycin</t>
  </si>
  <si>
    <t>N,N‚Ä≤-Dimethyl-L-arginine</t>
  </si>
  <si>
    <t>Saccharate</t>
  </si>
  <si>
    <t>Sulfadimethoxine</t>
  </si>
  <si>
    <t>Benzenesulfonamides</t>
  </si>
  <si>
    <t>Cer 40:01</t>
  </si>
  <si>
    <t>Ceramides</t>
  </si>
  <si>
    <t>11-beta-Prostaglandin F2alpha</t>
  </si>
  <si>
    <t>VVGLSTLPEIYEK (Tryptic Peptide)</t>
  </si>
  <si>
    <t>Azelate</t>
  </si>
  <si>
    <t>PC (O-18:0/2:0)</t>
  </si>
  <si>
    <t>Cellobiose</t>
  </si>
  <si>
    <t>PE 40:07</t>
  </si>
  <si>
    <t>Xylitol</t>
  </si>
  <si>
    <t>Tetraoctadecylammonium</t>
  </si>
  <si>
    <t>Organic nitrogen compounds</t>
  </si>
  <si>
    <t>Organonitrogen compounds</t>
  </si>
  <si>
    <t>Quaternary ammonium salts</t>
  </si>
  <si>
    <t>Shikimic Acid</t>
  </si>
  <si>
    <t>Alcohols and polyols</t>
  </si>
  <si>
    <t>Tylosin A</t>
  </si>
  <si>
    <t>Coenzyme A</t>
  </si>
  <si>
    <t>Purine ribonucleotides</t>
  </si>
  <si>
    <t>4,6-Dioxoheptanoic Acid</t>
  </si>
  <si>
    <t>Phenylpropanoids and polyketides</t>
  </si>
  <si>
    <t>Flavonoids</t>
  </si>
  <si>
    <t>O-methylated flavonoids</t>
  </si>
  <si>
    <t>4-Methylcatechol</t>
  </si>
  <si>
    <t>Phenols</t>
  </si>
  <si>
    <t>Benzenediols</t>
  </si>
  <si>
    <t xml:space="preserve">N-Acetylglycine </t>
  </si>
  <si>
    <t>2,3-Dihydroxybenzoate</t>
  </si>
  <si>
    <t>Benzoic acids and derivatives</t>
  </si>
  <si>
    <t>D-(-)-Ribose</t>
  </si>
  <si>
    <t>Citramalic Acid</t>
  </si>
  <si>
    <t>Hexakis(1H,1H,8H-tetradecafluoroctyoxy)phosphazene</t>
  </si>
  <si>
    <t>Organohalogen compounds</t>
  </si>
  <si>
    <t>Organofluorides</t>
  </si>
  <si>
    <t>Phosphazene and phosphazene derivatives</t>
  </si>
  <si>
    <t>Tangeritin</t>
  </si>
  <si>
    <t>GlcCer 40:00</t>
  </si>
  <si>
    <t>IHSEILK (Tryptic Peptide)</t>
  </si>
  <si>
    <t>Decabromodiphenyl Ether</t>
  </si>
  <si>
    <t>Diphenylethers</t>
  </si>
  <si>
    <t>PE 40:06</t>
  </si>
  <si>
    <t>PS 42:06</t>
  </si>
  <si>
    <t>Thiostrepton A</t>
  </si>
  <si>
    <t>GlcCer 41:01</t>
  </si>
  <si>
    <t>Nystatin</t>
  </si>
  <si>
    <t>PC 36:01</t>
  </si>
  <si>
    <t>Valinomycin</t>
  </si>
  <si>
    <t>3,4-Dihydroxyphenylacetate</t>
  </si>
  <si>
    <t>Clarithromycin</t>
  </si>
  <si>
    <t>Thymidine-5'-monophosphate</t>
  </si>
  <si>
    <t>Pyrimidine deoxyribonucleotides</t>
  </si>
  <si>
    <t>5-Hydroxy-2,2',4,4'-tetrabromodiphenylether</t>
  </si>
  <si>
    <t>alpha-D-Glucose-1-phosphate</t>
  </si>
  <si>
    <t>GlcCer 36:01</t>
  </si>
  <si>
    <t>EELFR (Tryptic Peptide)</t>
  </si>
  <si>
    <t>PC 36:04</t>
  </si>
  <si>
    <t>1,2-Dipalmitoleoyl-sn-glycero-3-phosphoethanolamine</t>
  </si>
  <si>
    <t>N-Acetyl-DL-tryptophan</t>
  </si>
  <si>
    <t>D-Xylulose</t>
  </si>
  <si>
    <t>LysoPC (18:0)</t>
  </si>
  <si>
    <t>Methionine Sulfoximine</t>
  </si>
  <si>
    <t>TFAEALR (Tryptic Peptide)</t>
  </si>
  <si>
    <t>2,1-Hydroxypregnenolone</t>
  </si>
  <si>
    <t>Indoleacetaldehyde</t>
  </si>
  <si>
    <t>Indoles</t>
  </si>
  <si>
    <t>Poly-DL-(alanine)8</t>
  </si>
  <si>
    <t>Organic polymers</t>
  </si>
  <si>
    <t>kcsb</t>
  </si>
  <si>
    <t>Cer 36:00</t>
  </si>
  <si>
    <t>6-keto-Prostaglandin F1alpha</t>
  </si>
  <si>
    <t>L-Cystine</t>
  </si>
  <si>
    <t>Spermine</t>
  </si>
  <si>
    <t>Amines</t>
  </si>
  <si>
    <t>GlcCer 38:01 OH</t>
  </si>
  <si>
    <t>Linoleic Acid (18:2)</t>
  </si>
  <si>
    <t>Deoxycholate</t>
  </si>
  <si>
    <t>Bile acids, alcohols and derivatives</t>
  </si>
  <si>
    <t>Kanamycin</t>
  </si>
  <si>
    <t>PS 42:02</t>
  </si>
  <si>
    <t>Pinostrobin</t>
  </si>
  <si>
    <t>LysoPC (18:1)</t>
  </si>
  <si>
    <t>Meso-tartrate</t>
  </si>
  <si>
    <t>VLYPNDNFFEGK (Tryptic Peptide)</t>
  </si>
  <si>
    <t>Surfactin 5</t>
  </si>
  <si>
    <t>2,2',3,4,4',5,5'6-Octabromodiphenyl Ether</t>
  </si>
  <si>
    <t>Cytidine-5'-triphosphate</t>
  </si>
  <si>
    <t>Lactulose</t>
  </si>
  <si>
    <t>PS 38:04</t>
  </si>
  <si>
    <t>GlcCer 44:02</t>
  </si>
  <si>
    <t>L-allo-Isoleucine</t>
  </si>
  <si>
    <t>Aculeacin A</t>
  </si>
  <si>
    <t>N-Acetylneuraminate</t>
  </si>
  <si>
    <t>Guanine</t>
  </si>
  <si>
    <t>Imidazopyrimidines</t>
  </si>
  <si>
    <t>Purines and purine derivatives</t>
  </si>
  <si>
    <t>Deoxyuridine Monophosphate</t>
  </si>
  <si>
    <t>7-Methylguanine</t>
  </si>
  <si>
    <t>PE 35:02</t>
  </si>
  <si>
    <t>L-Proline</t>
  </si>
  <si>
    <t>Xylobiose</t>
  </si>
  <si>
    <t>Pyridoxal</t>
  </si>
  <si>
    <t>Pyridines and derivatives</t>
  </si>
  <si>
    <t>Pyridinecarboxylic acids and derivatives</t>
  </si>
  <si>
    <t>no</t>
  </si>
  <si>
    <t>Lithocholic Acid</t>
  </si>
  <si>
    <t>Ursocholic Acid</t>
  </si>
  <si>
    <t>Hexakis(2,2-difluoroethoxy)phosphazene</t>
  </si>
  <si>
    <t>14(15)-EET</t>
  </si>
  <si>
    <t>PC 36:03</t>
  </si>
  <si>
    <t>5(S)-HETE</t>
  </si>
  <si>
    <t>Adenosine-5'-diphosphoglucose</t>
  </si>
  <si>
    <t>Purine nucleotide sugars</t>
  </si>
  <si>
    <t>Daptomycin</t>
  </si>
  <si>
    <t>PC 36:02</t>
  </si>
  <si>
    <t>PE 37:03</t>
  </si>
  <si>
    <t>YIPGTK (Tryptic Peptide)</t>
  </si>
  <si>
    <t>L-Threonic Acid</t>
  </si>
  <si>
    <t>Poly-DL-(alanine)7</t>
  </si>
  <si>
    <t xml:space="preserve">4-Hydroxy-2,2',4',6'-tetrachlorobiphenyl </t>
  </si>
  <si>
    <t>UltraMark 1723</t>
  </si>
  <si>
    <t>1,2-Diarachidoyl-sn-glycero-3-phosphocholine</t>
  </si>
  <si>
    <t>QTALVELLK (Tryptic Peptide)</t>
  </si>
  <si>
    <t>Dopamine</t>
  </si>
  <si>
    <t>L-Ribonic Acid</t>
  </si>
  <si>
    <t>Hesperetin</t>
  </si>
  <si>
    <t>Thiamine Pyrophosphate</t>
  </si>
  <si>
    <t>Diazines</t>
  </si>
  <si>
    <t>Pyrimidines and pyrimidine derivatives</t>
  </si>
  <si>
    <t>SM 38:01</t>
  </si>
  <si>
    <t>Phosphosphingolipids</t>
  </si>
  <si>
    <t>Na(NaI)8</t>
  </si>
  <si>
    <t>Phenylacetyl-L-glutamine</t>
  </si>
  <si>
    <t>Adenosine-5'-monophosphate</t>
  </si>
  <si>
    <t>Cortisol-21-acetate</t>
  </si>
  <si>
    <t>Pregnane steroids</t>
  </si>
  <si>
    <t>13-OxoODE</t>
  </si>
  <si>
    <t>Glycolithocholic Acid Sulfate</t>
  </si>
  <si>
    <t>GLAGVENVTELK (Tryptic Peptide)</t>
  </si>
  <si>
    <t>Noradrenaline</t>
  </si>
  <si>
    <t>GlcCer 47:03</t>
  </si>
  <si>
    <t>Histamine</t>
  </si>
  <si>
    <t>Glucosamine-6-phosphate</t>
  </si>
  <si>
    <t>GlcCer 38:00</t>
  </si>
  <si>
    <t>Guanosine-5'-monophosphate</t>
  </si>
  <si>
    <t>D-Glucose-6-phosphate</t>
  </si>
  <si>
    <t>Glucosaminate</t>
  </si>
  <si>
    <t>GlcCer 38:01</t>
  </si>
  <si>
    <t>UltraMark 1023</t>
  </si>
  <si>
    <t>Purine</t>
  </si>
  <si>
    <t>5-Hydroxymethyluracil</t>
  </si>
  <si>
    <t>Dipalmitoyl-Phosphoethanolamine</t>
  </si>
  <si>
    <t>Cyclic-AMP</t>
  </si>
  <si>
    <t>Cyclic purine nucleotides</t>
  </si>
  <si>
    <t>Homocystine</t>
  </si>
  <si>
    <t>Trioctyl(heptyll)azanium</t>
  </si>
  <si>
    <t>Serotonin</t>
  </si>
  <si>
    <t>Tryptamines and derivatives</t>
  </si>
  <si>
    <t>Cytidine-5'-monophosphate</t>
  </si>
  <si>
    <t>Pyrimidine ribonucleotides</t>
  </si>
  <si>
    <t>5-iPF2alpha-VI</t>
  </si>
  <si>
    <t>Orotic Acid</t>
  </si>
  <si>
    <t>L-Lysine</t>
  </si>
  <si>
    <t>4-Acetamidobutanoate</t>
  </si>
  <si>
    <t>YLYEIAR (Tryptic Peptide)</t>
  </si>
  <si>
    <t>L-Isoleucine</t>
  </si>
  <si>
    <t>Leucovorin</t>
  </si>
  <si>
    <t>SM 41:00</t>
  </si>
  <si>
    <t>Pyridoxal-5'-phosphate</t>
  </si>
  <si>
    <t>Pyridine carboxaldehydes</t>
  </si>
  <si>
    <t>MVIR (Tryptic Peptide)</t>
  </si>
  <si>
    <t>SM 39:01</t>
  </si>
  <si>
    <t>SM 40:02</t>
  </si>
  <si>
    <t>Tetrapropylammonium</t>
  </si>
  <si>
    <t>Adenosine-2',3'-Cyclic Phosphate</t>
  </si>
  <si>
    <t>Allantoin</t>
  </si>
  <si>
    <t>Azoles</t>
  </si>
  <si>
    <t>Imidazoles</t>
  </si>
  <si>
    <t>Hygromycin</t>
  </si>
  <si>
    <t>5-Hydroxylysine</t>
  </si>
  <si>
    <t>Paraxanthine</t>
  </si>
  <si>
    <t>Uric Acid</t>
  </si>
  <si>
    <t>Palmitic Acid</t>
  </si>
  <si>
    <t>Theophylline</t>
  </si>
  <si>
    <t>4-Imidazoleacetate</t>
  </si>
  <si>
    <t>L-Glutamic Acid</t>
  </si>
  <si>
    <t>PE (O-36:01)</t>
  </si>
  <si>
    <t>alpha-Linolenic acid (PC18:3)</t>
  </si>
  <si>
    <t>Indole-3-ethanol</t>
  </si>
  <si>
    <t>Pantothenate</t>
  </si>
  <si>
    <t>PS 40:04</t>
  </si>
  <si>
    <t>Cer 41:01</t>
  </si>
  <si>
    <t>2'-Deoxyguanosine 5'-monophosphate</t>
  </si>
  <si>
    <t>2-Phospho-DL-glycerate</t>
  </si>
  <si>
    <t>PE 34:02</t>
  </si>
  <si>
    <t>PS 36:02</t>
  </si>
  <si>
    <t>3,5-Dibromo-1-tyrosine</t>
  </si>
  <si>
    <t>N-Acetylglutamate</t>
  </si>
  <si>
    <t>L-Cysteine</t>
  </si>
  <si>
    <t>3-Methyl-L-histidine</t>
  </si>
  <si>
    <t>PE 38:04</t>
  </si>
  <si>
    <t>L-Norleucine</t>
  </si>
  <si>
    <t>Malvidin</t>
  </si>
  <si>
    <t>N-Acetyl-D-tryptophan</t>
  </si>
  <si>
    <t>D-Desthiobin</t>
  </si>
  <si>
    <t>Lincomycin</t>
  </si>
  <si>
    <t xml:space="preserve">2-Hydroxy-2',5'-dichlorobiphenyl </t>
  </si>
  <si>
    <t>Uracil</t>
  </si>
  <si>
    <t>Josamycin</t>
  </si>
  <si>
    <t>Picloram</t>
  </si>
  <si>
    <t>Adenine</t>
  </si>
  <si>
    <t>Hexakis(1H,1H,5H-octafluoropentoxy) phosphazene</t>
  </si>
  <si>
    <t>TNGITPR (Tryptic Peptide)</t>
  </si>
  <si>
    <t>Pentadecanoic Acid (15:0)</t>
  </si>
  <si>
    <t>Hexakis(1H,1H,6H-decafluorohexyloxy)phosphazene</t>
  </si>
  <si>
    <t>Uridine Diphosphate Glucuronic Acid</t>
  </si>
  <si>
    <t>SM 44:01</t>
  </si>
  <si>
    <t>Lauroyl-L-carnitine</t>
  </si>
  <si>
    <t>Fatty acid esters</t>
  </si>
  <si>
    <t>Creatinine</t>
  </si>
  <si>
    <t>1,2-Dihexanoyl-sn-glycero-3-phosphocholine</t>
  </si>
  <si>
    <t>Hexakis(2,2,3,3-tetrafluoropropoxy)phosphazene</t>
  </si>
  <si>
    <t>Citicoline</t>
  </si>
  <si>
    <t>Thyroxine</t>
  </si>
  <si>
    <t>D-(-)-Arabinose</t>
  </si>
  <si>
    <t>6-Phosphogluconate</t>
  </si>
  <si>
    <t>Anilides</t>
  </si>
  <si>
    <t xml:space="preserve">4-Hydroxy-4'-chlorobiphenyl </t>
  </si>
  <si>
    <t>Allose</t>
  </si>
  <si>
    <t>d7-PE (15:0-18:1)</t>
  </si>
  <si>
    <t>L-Threonine</t>
  </si>
  <si>
    <t>3,5-Diiodo-L-tyrosine</t>
  </si>
  <si>
    <t>GlcCer 49:00</t>
  </si>
  <si>
    <t>Cer 38:00</t>
  </si>
  <si>
    <t>D-tert-Leucine</t>
  </si>
  <si>
    <t>L-Phenylalanine</t>
  </si>
  <si>
    <t>Arabitol</t>
  </si>
  <si>
    <t>Ursodeoxycholic Acid</t>
  </si>
  <si>
    <t>Sucrose</t>
  </si>
  <si>
    <t>GlcCer 40:01 OH</t>
  </si>
  <si>
    <t>N-Acetylphenylalanine</t>
  </si>
  <si>
    <t>Urocanate</t>
  </si>
  <si>
    <t>GlcCer 44:03</t>
  </si>
  <si>
    <t>Phleomycin</t>
  </si>
  <si>
    <t>Hybrid peptides</t>
  </si>
  <si>
    <t>Folate</t>
  </si>
  <si>
    <t>6-Phosphogluconic Acid</t>
  </si>
  <si>
    <t>Citrate</t>
  </si>
  <si>
    <t>Tricarboxylic acids and derivatives</t>
  </si>
  <si>
    <t xml:space="preserve">2'-Hydroxy-4-monobromodiphenyl Ether </t>
  </si>
  <si>
    <t>PC 36:05</t>
  </si>
  <si>
    <t>Adenosine-5'-diphosphate (From Bacterial Source)</t>
  </si>
  <si>
    <t>Actinomycin</t>
  </si>
  <si>
    <t>Poly-(glycine)6</t>
  </si>
  <si>
    <t>Acacetin</t>
  </si>
  <si>
    <t>N-Glycocholate</t>
  </si>
  <si>
    <t>Uridine-5'-diphosphate</t>
  </si>
  <si>
    <t>1,2-Diarachidonoyl-sn-glycero-3-phosphoethanolamine</t>
  </si>
  <si>
    <t>beta-Gentiobiose</t>
  </si>
  <si>
    <t>Cs(CsI)2(NaI)6 or Na(CsI)3(NaI)5</t>
  </si>
  <si>
    <t>L-Arginine</t>
  </si>
  <si>
    <t>Resolvin D2</t>
  </si>
  <si>
    <t>Uridine-5'-triphosphate</t>
  </si>
  <si>
    <t>Calcium Pantothenate</t>
  </si>
  <si>
    <t>4-Pyridoxate</t>
  </si>
  <si>
    <t>SISIVGSYVGNR (Tryptic Peptide)</t>
  </si>
  <si>
    <t>L-Cystathionine</t>
  </si>
  <si>
    <t>3-Methylhistamine</t>
  </si>
  <si>
    <t>2'-Deoxyguanosine-5'-diphosphate</t>
  </si>
  <si>
    <t>Monensin A</t>
  </si>
  <si>
    <t>GlcCer 36:01 OH</t>
  </si>
  <si>
    <t>4-Hydroxy-2',3',4',5'-tetrachlorobiphenyl</t>
  </si>
  <si>
    <t>2,2',3,3',4,4',5,6,6'-Nonachlorobiphenyl</t>
  </si>
  <si>
    <t>d7-LysoPE (18:1)</t>
  </si>
  <si>
    <t>D-(+)-Xylose</t>
  </si>
  <si>
    <t>Bradykinin</t>
  </si>
  <si>
    <t>2,3,4,4',5-Pentachlorobiphenyl</t>
  </si>
  <si>
    <t>SPIK (Tryptic Peptide)</t>
  </si>
  <si>
    <t>FGER or VYAR or DPVR(Na) (Tryptic Peptide)</t>
  </si>
  <si>
    <t>PE 34:03</t>
  </si>
  <si>
    <t>Tetradecylammonium</t>
  </si>
  <si>
    <t>Vancomycin Aglycon</t>
  </si>
  <si>
    <t>PS 37:02</t>
  </si>
  <si>
    <t>Cer (d18:1/17:0)</t>
  </si>
  <si>
    <t>PE (O-34:01)</t>
  </si>
  <si>
    <t>Epinephrine</t>
  </si>
  <si>
    <t>Glucuronate</t>
  </si>
  <si>
    <t>AADALLLK or DIVGAVLK (Tryptic Peptide)</t>
  </si>
  <si>
    <t>PC (18:1(9Z)/16:0)</t>
  </si>
  <si>
    <t>D-glucosyl-beta1-1'-D-erythro-sphingosine</t>
  </si>
  <si>
    <t>PS 36:01</t>
  </si>
  <si>
    <t>Prostaglandin F2alpha</t>
  </si>
  <si>
    <t>PC 38:06</t>
  </si>
  <si>
    <t>D-Glycerate</t>
  </si>
  <si>
    <t>2'-Deoxycytidine-5-monophosphate</t>
  </si>
  <si>
    <t>Carnitine (16:0)</t>
  </si>
  <si>
    <t>PS 40:06</t>
  </si>
  <si>
    <t>Palatinose</t>
  </si>
  <si>
    <t>Hexakis(1H,1H,9H-perfluorononyloxy) phosphazene</t>
  </si>
  <si>
    <t>Na(NaI)5</t>
  </si>
  <si>
    <t>PA 38:03</t>
  </si>
  <si>
    <t>PA 36:05</t>
  </si>
  <si>
    <t>Liothyronine</t>
  </si>
  <si>
    <t>Melatonin</t>
  </si>
  <si>
    <t>D-Glucosamine-6-phosphate</t>
  </si>
  <si>
    <t>17(S)-HDHA</t>
  </si>
  <si>
    <t>Surfactin B</t>
  </si>
  <si>
    <t>Cs(CsI)4</t>
  </si>
  <si>
    <t>NFNR (Tryptic Peptide)</t>
  </si>
  <si>
    <t>Glyphospate</t>
  </si>
  <si>
    <t>Histidinol</t>
  </si>
  <si>
    <t>Antimycin A3</t>
  </si>
  <si>
    <t>D-(+)-2-Phosphoglyceric Acid</t>
  </si>
  <si>
    <t>3-Amino-2-methylpropanoic¬†acid</t>
  </si>
  <si>
    <t>1,2-Didecanoyl-sn-glycero-3-phosphoethanolamine</t>
  </si>
  <si>
    <t>Cortisol</t>
  </si>
  <si>
    <t>SM 41:02</t>
  </si>
  <si>
    <t>Taurodeoxycholic Acid 3-Sulfate</t>
  </si>
  <si>
    <t>count</t>
  </si>
  <si>
    <t>Row</t>
  </si>
  <si>
    <t>counts</t>
  </si>
  <si>
    <t>class.error</t>
  </si>
  <si>
    <t>Pyrenes</t>
  </si>
  <si>
    <t>Quinolines and derivatives</t>
  </si>
  <si>
    <t>Benzopyrenes</t>
  </si>
  <si>
    <t>Quinoline carboxylic acids</t>
  </si>
  <si>
    <t>Predicted.Kingdom</t>
  </si>
  <si>
    <t>Predicted.Subclass</t>
  </si>
  <si>
    <t>Predicted.Class</t>
  </si>
  <si>
    <t>Predicted.Super.Class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</si>
</sst>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55"/>
  <sheetViews>
    <sheetView workbookViewId="0">
      <pane ySplit="1" topLeftCell="A2" activePane="bottomLeft" state="frozen"/>
      <selection pane="bottomLeft" activeCell="U2" sqref="U2:W7"/>
    </sheetView>
  </sheetViews>
  <sheetFormatPr baseColWidth="10" defaultRowHeight="16"/>
  <cols>
    <col min="1" max="1" width="7.5" bestFit="1" customWidth="1"/>
    <col min="2" max="2" width="46.33203125" bestFit="1" customWidth="1"/>
    <col min="3" max="3" width="10.1640625" bestFit="1" customWidth="1"/>
    <col min="4" max="4" width="7.5" bestFit="1" customWidth="1"/>
    <col min="5" max="5" width="12.83203125" bestFit="1" customWidth="1"/>
    <col min="6" max="6" width="18.5" bestFit="1" customWidth="1"/>
    <col min="7" max="7" width="9.83203125" bestFit="1" customWidth="1"/>
    <col min="8" max="8" width="8.83203125" bestFit="1" customWidth="1"/>
    <col min="9" max="9" width="33.5" bestFit="1" customWidth="1"/>
    <col min="10" max="10" width="9.6640625" bestFit="1" customWidth="1"/>
    <col min="11" max="11" width="8.6640625" bestFit="1" customWidth="1"/>
    <col min="12" max="12" width="29.6640625" bestFit="1" customWidth="1"/>
    <col min="13" max="13" width="9.6640625" bestFit="1" customWidth="1"/>
    <col min="14" max="14" width="8.6640625" bestFit="1" customWidth="1"/>
    <col min="15" max="15" width="36.1640625" bestFit="1" customWidth="1"/>
    <col min="16" max="16" width="10.6640625" bestFit="1" customWidth="1"/>
    <col min="17" max="17" width="9.6640625" bestFit="1" customWidth="1"/>
    <col min="18" max="18" width="11" bestFit="1" customWidth="1"/>
    <col min="19" max="19" width="8" bestFit="1" customWidth="1"/>
  </cols>
  <sheetData>
    <row r="1" spans="1:23">
      <c r="A1" t="s">
        <v>413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412</v>
      </c>
    </row>
    <row r="2" spans="1:23">
      <c r="A2">
        <v>1</v>
      </c>
      <c r="B2" t="s">
        <v>17</v>
      </c>
      <c r="C2">
        <v>868.60670000000005</v>
      </c>
      <c r="D2">
        <v>298.7</v>
      </c>
      <c r="E2">
        <v>-0.63685552289655301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1</v>
      </c>
      <c r="L2" t="s">
        <v>21</v>
      </c>
      <c r="M2" t="s">
        <v>19</v>
      </c>
      <c r="N2">
        <v>1</v>
      </c>
      <c r="O2" t="s">
        <v>22</v>
      </c>
      <c r="P2" t="s">
        <v>19</v>
      </c>
      <c r="Q2">
        <v>0.89700000000000002</v>
      </c>
      <c r="R2" t="s">
        <v>23</v>
      </c>
      <c r="S2">
        <v>4</v>
      </c>
      <c r="U2" s="1" t="s">
        <v>414</v>
      </c>
      <c r="V2" s="2">
        <v>4</v>
      </c>
      <c r="W2" s="2">
        <f>COUNTIF($S$2:$S$355,"4")</f>
        <v>353</v>
      </c>
    </row>
    <row r="3" spans="1:23">
      <c r="A3">
        <v>2</v>
      </c>
      <c r="B3" t="s">
        <v>24</v>
      </c>
      <c r="C3">
        <v>134.029</v>
      </c>
      <c r="D3">
        <v>143.80000000000001</v>
      </c>
      <c r="E3">
        <v>-0.879349662946737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0.95</v>
      </c>
      <c r="L3" t="s">
        <v>26</v>
      </c>
      <c r="M3" t="s">
        <v>19</v>
      </c>
      <c r="N3">
        <v>1</v>
      </c>
      <c r="O3" t="s">
        <v>27</v>
      </c>
      <c r="P3" t="s">
        <v>19</v>
      </c>
      <c r="Q3">
        <v>1</v>
      </c>
      <c r="R3" t="s">
        <v>23</v>
      </c>
      <c r="S3">
        <v>4</v>
      </c>
      <c r="U3" s="1"/>
      <c r="V3" s="2">
        <v>3</v>
      </c>
      <c r="W3" s="2">
        <f t="shared" ref="W3:W6" si="0">COUNTIF($S$2:$S$355,"3")</f>
        <v>1</v>
      </c>
    </row>
    <row r="4" spans="1:23">
      <c r="A4">
        <v>3</v>
      </c>
      <c r="B4" t="s">
        <v>28</v>
      </c>
      <c r="C4">
        <v>802.49990000000003</v>
      </c>
      <c r="D4">
        <v>282.39999999999998</v>
      </c>
      <c r="E4">
        <v>-0.60386719724692695</v>
      </c>
      <c r="F4" t="s">
        <v>18</v>
      </c>
      <c r="G4" t="s">
        <v>19</v>
      </c>
      <c r="H4">
        <v>1</v>
      </c>
      <c r="I4" t="s">
        <v>20</v>
      </c>
      <c r="J4" t="s">
        <v>19</v>
      </c>
      <c r="K4">
        <v>1</v>
      </c>
      <c r="L4" t="s">
        <v>21</v>
      </c>
      <c r="M4" t="s">
        <v>19</v>
      </c>
      <c r="N4">
        <v>1</v>
      </c>
      <c r="O4" t="s">
        <v>29</v>
      </c>
      <c r="P4" t="s">
        <v>19</v>
      </c>
      <c r="Q4">
        <v>0.92100000000000004</v>
      </c>
      <c r="R4" t="s">
        <v>23</v>
      </c>
      <c r="S4">
        <v>4</v>
      </c>
      <c r="U4" s="1"/>
      <c r="V4" s="2">
        <v>2</v>
      </c>
      <c r="W4" s="2">
        <f>COUNTIF($S$2:$S$355,"2")</f>
        <v>0</v>
      </c>
    </row>
    <row r="5" spans="1:23">
      <c r="A5">
        <v>4</v>
      </c>
      <c r="B5" t="s">
        <v>30</v>
      </c>
      <c r="C5">
        <v>151.0395</v>
      </c>
      <c r="D5">
        <v>126.6</v>
      </c>
      <c r="E5">
        <v>-0.87085655654109895</v>
      </c>
      <c r="F5" t="s">
        <v>18</v>
      </c>
      <c r="G5" t="s">
        <v>19</v>
      </c>
      <c r="H5">
        <v>1</v>
      </c>
      <c r="I5" t="s">
        <v>25</v>
      </c>
      <c r="J5" t="s">
        <v>19</v>
      </c>
      <c r="K5">
        <v>0.69</v>
      </c>
      <c r="L5" t="s">
        <v>26</v>
      </c>
      <c r="M5" t="s">
        <v>19</v>
      </c>
      <c r="N5">
        <v>1</v>
      </c>
      <c r="O5" t="s">
        <v>27</v>
      </c>
      <c r="P5" t="s">
        <v>19</v>
      </c>
      <c r="Q5">
        <v>1</v>
      </c>
      <c r="R5" t="s">
        <v>23</v>
      </c>
      <c r="S5">
        <v>4</v>
      </c>
      <c r="U5" s="1"/>
      <c r="V5" s="2">
        <v>1</v>
      </c>
      <c r="W5" s="2">
        <f>COUNTIF($S$2:$S$355,"1")</f>
        <v>0</v>
      </c>
    </row>
    <row r="6" spans="1:23">
      <c r="A6">
        <v>5</v>
      </c>
      <c r="B6" t="s">
        <v>31</v>
      </c>
      <c r="C6">
        <v>946.47760000000005</v>
      </c>
      <c r="D6">
        <v>341.7</v>
      </c>
      <c r="E6">
        <v>-0.42080862012437598</v>
      </c>
      <c r="F6" t="s">
        <v>18</v>
      </c>
      <c r="G6" t="s">
        <v>19</v>
      </c>
      <c r="H6">
        <v>1</v>
      </c>
      <c r="I6" t="s">
        <v>32</v>
      </c>
      <c r="J6" t="s">
        <v>19</v>
      </c>
      <c r="K6">
        <v>0.95</v>
      </c>
      <c r="L6" t="s">
        <v>33</v>
      </c>
      <c r="M6" t="s">
        <v>19</v>
      </c>
      <c r="N6">
        <v>1</v>
      </c>
      <c r="O6" t="s">
        <v>34</v>
      </c>
      <c r="P6" t="s">
        <v>19</v>
      </c>
      <c r="Q6">
        <v>1</v>
      </c>
      <c r="R6" t="s">
        <v>23</v>
      </c>
      <c r="S6">
        <v>4</v>
      </c>
      <c r="U6" s="3"/>
      <c r="V6" s="4">
        <v>0</v>
      </c>
      <c r="W6" s="4">
        <f>COUNTIF($S$2:$S$355,"0")</f>
        <v>0</v>
      </c>
    </row>
    <row r="7" spans="1:23">
      <c r="A7">
        <v>6</v>
      </c>
      <c r="B7" t="s">
        <v>35</v>
      </c>
      <c r="C7">
        <v>1008.6596</v>
      </c>
      <c r="D7">
        <v>327.10000000000002</v>
      </c>
      <c r="E7">
        <v>-0.53337918874274204</v>
      </c>
      <c r="F7" t="s">
        <v>18</v>
      </c>
      <c r="G7" t="s">
        <v>19</v>
      </c>
      <c r="H7">
        <v>1</v>
      </c>
      <c r="I7" t="s">
        <v>25</v>
      </c>
      <c r="J7" t="s">
        <v>19</v>
      </c>
      <c r="K7">
        <v>0.97</v>
      </c>
      <c r="L7" t="s">
        <v>36</v>
      </c>
      <c r="M7" t="s">
        <v>19</v>
      </c>
      <c r="N7">
        <v>0.97</v>
      </c>
      <c r="O7" t="s">
        <v>37</v>
      </c>
      <c r="P7" t="s">
        <v>19</v>
      </c>
      <c r="Q7">
        <v>0.99099999999999999</v>
      </c>
      <c r="R7" t="s">
        <v>23</v>
      </c>
      <c r="S7">
        <v>4</v>
      </c>
      <c r="U7" s="2"/>
      <c r="V7" s="2"/>
      <c r="W7" s="2">
        <f>SUM(W2:W6)</f>
        <v>354</v>
      </c>
    </row>
    <row r="8" spans="1:23">
      <c r="A8">
        <v>7</v>
      </c>
      <c r="B8" t="s">
        <v>38</v>
      </c>
      <c r="C8">
        <v>202.08680000000001</v>
      </c>
      <c r="D8">
        <v>145.80000000000001</v>
      </c>
      <c r="E8">
        <v>-0.86115959580379797</v>
      </c>
      <c r="F8" t="s">
        <v>18</v>
      </c>
      <c r="G8" t="s">
        <v>19</v>
      </c>
      <c r="H8">
        <v>1</v>
      </c>
      <c r="I8" t="s">
        <v>39</v>
      </c>
      <c r="J8" t="s">
        <v>19</v>
      </c>
      <c r="K8">
        <v>0.68</v>
      </c>
      <c r="L8" t="s">
        <v>40</v>
      </c>
      <c r="M8" t="s">
        <v>19</v>
      </c>
      <c r="N8">
        <v>0.99</v>
      </c>
      <c r="O8" t="s">
        <v>41</v>
      </c>
      <c r="P8" t="s">
        <v>19</v>
      </c>
      <c r="Q8">
        <v>0.89100000000000001</v>
      </c>
      <c r="R8" t="s">
        <v>23</v>
      </c>
      <c r="S8">
        <v>4</v>
      </c>
    </row>
    <row r="9" spans="1:23">
      <c r="A9">
        <v>8</v>
      </c>
      <c r="B9" t="s">
        <v>42</v>
      </c>
      <c r="C9">
        <v>195.02449999999999</v>
      </c>
      <c r="D9">
        <v>149.19999999999999</v>
      </c>
      <c r="E9">
        <v>-0.80674502041614504</v>
      </c>
      <c r="F9" t="s">
        <v>18</v>
      </c>
      <c r="G9" t="s">
        <v>19</v>
      </c>
      <c r="H9">
        <v>1</v>
      </c>
      <c r="I9" t="s">
        <v>32</v>
      </c>
      <c r="J9" t="s">
        <v>19</v>
      </c>
      <c r="K9">
        <v>0.64</v>
      </c>
      <c r="L9" t="s">
        <v>33</v>
      </c>
      <c r="M9" t="s">
        <v>19</v>
      </c>
      <c r="N9">
        <v>1</v>
      </c>
      <c r="O9" t="s">
        <v>43</v>
      </c>
      <c r="P9" t="s">
        <v>19</v>
      </c>
      <c r="Q9">
        <v>0.56000000000000005</v>
      </c>
      <c r="R9" t="s">
        <v>23</v>
      </c>
      <c r="S9">
        <v>4</v>
      </c>
    </row>
    <row r="10" spans="1:23">
      <c r="A10">
        <v>9</v>
      </c>
      <c r="B10" t="s">
        <v>44</v>
      </c>
      <c r="C10">
        <v>343.22109999999998</v>
      </c>
      <c r="D10">
        <v>186</v>
      </c>
      <c r="E10">
        <v>-0.83787582240569203</v>
      </c>
      <c r="F10" t="s">
        <v>18</v>
      </c>
      <c r="G10" t="s">
        <v>19</v>
      </c>
      <c r="H10">
        <v>1</v>
      </c>
      <c r="I10" t="s">
        <v>20</v>
      </c>
      <c r="J10" t="s">
        <v>19</v>
      </c>
      <c r="K10">
        <v>1</v>
      </c>
      <c r="L10" t="s">
        <v>45</v>
      </c>
      <c r="M10" t="s">
        <v>19</v>
      </c>
      <c r="N10">
        <v>0.98</v>
      </c>
      <c r="O10" t="s">
        <v>46</v>
      </c>
      <c r="P10" t="s">
        <v>19</v>
      </c>
      <c r="Q10">
        <v>0.66500000000000004</v>
      </c>
      <c r="R10" t="s">
        <v>23</v>
      </c>
      <c r="S10">
        <v>4</v>
      </c>
    </row>
    <row r="11" spans="1:23">
      <c r="A11">
        <v>10</v>
      </c>
      <c r="B11" t="s">
        <v>47</v>
      </c>
      <c r="C11">
        <v>490.25459999999998</v>
      </c>
      <c r="D11">
        <v>227.5</v>
      </c>
      <c r="E11">
        <v>-0.707205285931366</v>
      </c>
      <c r="F11" t="s">
        <v>18</v>
      </c>
      <c r="G11" t="s">
        <v>19</v>
      </c>
      <c r="H11">
        <v>1</v>
      </c>
      <c r="I11" t="s">
        <v>20</v>
      </c>
      <c r="J11" t="s">
        <v>19</v>
      </c>
      <c r="K11">
        <v>0.98</v>
      </c>
      <c r="L11" t="s">
        <v>21</v>
      </c>
      <c r="M11" t="s">
        <v>19</v>
      </c>
      <c r="N11">
        <v>0.77</v>
      </c>
      <c r="O11" t="s">
        <v>29</v>
      </c>
      <c r="P11" t="s">
        <v>19</v>
      </c>
      <c r="Q11">
        <v>0.71599999999999997</v>
      </c>
      <c r="R11" t="s">
        <v>23</v>
      </c>
      <c r="S11">
        <v>4</v>
      </c>
    </row>
    <row r="12" spans="1:23">
      <c r="A12">
        <v>11</v>
      </c>
      <c r="B12" t="s">
        <v>48</v>
      </c>
      <c r="C12">
        <v>197.06610000000001</v>
      </c>
      <c r="D12">
        <v>141</v>
      </c>
      <c r="E12">
        <v>-0.84606546801984495</v>
      </c>
      <c r="F12" t="s">
        <v>18</v>
      </c>
      <c r="G12" t="s">
        <v>19</v>
      </c>
      <c r="H12">
        <v>1</v>
      </c>
      <c r="I12" t="s">
        <v>32</v>
      </c>
      <c r="J12" t="s">
        <v>19</v>
      </c>
      <c r="K12">
        <v>0.59</v>
      </c>
      <c r="L12" t="s">
        <v>33</v>
      </c>
      <c r="M12" t="s">
        <v>19</v>
      </c>
      <c r="N12">
        <v>1</v>
      </c>
      <c r="O12" t="s">
        <v>34</v>
      </c>
      <c r="P12" t="s">
        <v>19</v>
      </c>
      <c r="Q12">
        <v>0.876</v>
      </c>
      <c r="R12" t="s">
        <v>23</v>
      </c>
      <c r="S12">
        <v>4</v>
      </c>
    </row>
    <row r="13" spans="1:23">
      <c r="A13">
        <v>12</v>
      </c>
      <c r="B13" t="s">
        <v>49</v>
      </c>
      <c r="C13">
        <v>1312.6790000000001</v>
      </c>
      <c r="D13">
        <v>370.4</v>
      </c>
      <c r="E13">
        <v>-0.21332574448274499</v>
      </c>
      <c r="F13" t="s">
        <v>18</v>
      </c>
      <c r="G13" t="s">
        <v>19</v>
      </c>
      <c r="H13">
        <v>1</v>
      </c>
      <c r="I13" t="s">
        <v>25</v>
      </c>
      <c r="J13" t="s">
        <v>19</v>
      </c>
      <c r="K13">
        <v>0.95</v>
      </c>
      <c r="L13" t="s">
        <v>26</v>
      </c>
      <c r="M13" t="s">
        <v>19</v>
      </c>
      <c r="N13">
        <v>0.97</v>
      </c>
      <c r="O13" t="s">
        <v>27</v>
      </c>
      <c r="P13" t="s">
        <v>19</v>
      </c>
      <c r="Q13">
        <v>1</v>
      </c>
      <c r="R13" t="s">
        <v>23</v>
      </c>
      <c r="S13">
        <v>4</v>
      </c>
    </row>
    <row r="14" spans="1:23">
      <c r="A14">
        <v>13</v>
      </c>
      <c r="B14" t="s">
        <v>50</v>
      </c>
      <c r="C14">
        <v>183.0626</v>
      </c>
      <c r="D14">
        <v>140.19999999999999</v>
      </c>
      <c r="E14">
        <v>-0.85820110280727102</v>
      </c>
      <c r="F14" t="s">
        <v>18</v>
      </c>
      <c r="G14" t="s">
        <v>19</v>
      </c>
      <c r="H14">
        <v>1</v>
      </c>
      <c r="I14" t="s">
        <v>20</v>
      </c>
      <c r="J14" t="s">
        <v>19</v>
      </c>
      <c r="K14">
        <v>0.55000000000000004</v>
      </c>
      <c r="L14" t="s">
        <v>45</v>
      </c>
      <c r="M14" t="s">
        <v>19</v>
      </c>
      <c r="N14">
        <v>1</v>
      </c>
      <c r="O14" t="s">
        <v>51</v>
      </c>
      <c r="P14" t="s">
        <v>19</v>
      </c>
      <c r="Q14">
        <v>1</v>
      </c>
      <c r="R14" t="s">
        <v>23</v>
      </c>
      <c r="S14">
        <v>4</v>
      </c>
    </row>
    <row r="15" spans="1:23">
      <c r="A15">
        <v>14</v>
      </c>
      <c r="B15" t="s">
        <v>52</v>
      </c>
      <c r="C15">
        <v>587.02940000000001</v>
      </c>
      <c r="D15">
        <v>215.7</v>
      </c>
      <c r="E15">
        <v>-0.37395119735163002</v>
      </c>
      <c r="F15" t="s">
        <v>18</v>
      </c>
      <c r="G15" t="s">
        <v>19</v>
      </c>
      <c r="H15">
        <v>1</v>
      </c>
      <c r="I15" t="s">
        <v>53</v>
      </c>
      <c r="J15" t="s">
        <v>19</v>
      </c>
      <c r="K15">
        <v>1</v>
      </c>
      <c r="L15" t="s">
        <v>54</v>
      </c>
      <c r="M15" t="s">
        <v>19</v>
      </c>
      <c r="N15">
        <v>1</v>
      </c>
      <c r="O15" t="s">
        <v>55</v>
      </c>
      <c r="P15" t="s">
        <v>19</v>
      </c>
      <c r="Q15">
        <v>1</v>
      </c>
      <c r="R15" t="s">
        <v>23</v>
      </c>
      <c r="S15">
        <v>4</v>
      </c>
    </row>
    <row r="16" spans="1:23">
      <c r="A16">
        <v>15</v>
      </c>
      <c r="B16" t="s">
        <v>56</v>
      </c>
      <c r="C16">
        <v>870.52369999999996</v>
      </c>
      <c r="D16">
        <v>294.3</v>
      </c>
      <c r="E16">
        <v>-0.55171509286913101</v>
      </c>
      <c r="F16" t="s">
        <v>18</v>
      </c>
      <c r="G16" t="s">
        <v>19</v>
      </c>
      <c r="H16">
        <v>1</v>
      </c>
      <c r="I16" t="s">
        <v>20</v>
      </c>
      <c r="J16" t="s">
        <v>19</v>
      </c>
      <c r="K16">
        <v>1</v>
      </c>
      <c r="L16" t="s">
        <v>21</v>
      </c>
      <c r="M16" t="s">
        <v>19</v>
      </c>
      <c r="N16">
        <v>1</v>
      </c>
      <c r="O16" t="s">
        <v>22</v>
      </c>
      <c r="P16" t="s">
        <v>19</v>
      </c>
      <c r="Q16">
        <v>1</v>
      </c>
      <c r="R16" t="s">
        <v>23</v>
      </c>
      <c r="S16">
        <v>4</v>
      </c>
    </row>
    <row r="17" spans="1:19">
      <c r="A17">
        <v>16</v>
      </c>
      <c r="B17" t="s">
        <v>57</v>
      </c>
      <c r="C17">
        <v>148.06020000000001</v>
      </c>
      <c r="D17">
        <v>130.5</v>
      </c>
      <c r="E17">
        <v>-0.89488309967117596</v>
      </c>
      <c r="F17" t="s">
        <v>18</v>
      </c>
      <c r="G17" t="s">
        <v>19</v>
      </c>
      <c r="H17">
        <v>1</v>
      </c>
      <c r="I17" t="s">
        <v>25</v>
      </c>
      <c r="J17" t="s">
        <v>19</v>
      </c>
      <c r="K17">
        <v>0.89</v>
      </c>
      <c r="L17" t="s">
        <v>26</v>
      </c>
      <c r="M17" t="s">
        <v>19</v>
      </c>
      <c r="N17">
        <v>1</v>
      </c>
      <c r="O17" t="s">
        <v>27</v>
      </c>
      <c r="P17" t="s">
        <v>19</v>
      </c>
      <c r="Q17">
        <v>1</v>
      </c>
      <c r="R17" t="s">
        <v>23</v>
      </c>
      <c r="S17">
        <v>4</v>
      </c>
    </row>
    <row r="18" spans="1:19">
      <c r="A18">
        <v>17</v>
      </c>
      <c r="B18" t="s">
        <v>58</v>
      </c>
      <c r="C18">
        <v>622.56679999999994</v>
      </c>
      <c r="D18">
        <v>183.4</v>
      </c>
      <c r="E18">
        <v>-0.87167184521138097</v>
      </c>
      <c r="F18" t="s">
        <v>59</v>
      </c>
      <c r="G18" t="s">
        <v>19</v>
      </c>
      <c r="H18">
        <v>0.67600000000000005</v>
      </c>
      <c r="I18" t="s">
        <v>60</v>
      </c>
      <c r="J18" t="s">
        <v>19</v>
      </c>
      <c r="K18">
        <v>0.68</v>
      </c>
      <c r="L18" t="s">
        <v>61</v>
      </c>
      <c r="M18" t="s">
        <v>19</v>
      </c>
      <c r="N18">
        <v>0.98</v>
      </c>
      <c r="O18" t="s">
        <v>62</v>
      </c>
      <c r="P18" t="s">
        <v>19</v>
      </c>
      <c r="Q18">
        <v>0.999</v>
      </c>
      <c r="R18" t="s">
        <v>23</v>
      </c>
      <c r="S18">
        <v>4</v>
      </c>
    </row>
    <row r="19" spans="1:19">
      <c r="A19">
        <v>18</v>
      </c>
      <c r="B19" t="s">
        <v>63</v>
      </c>
      <c r="C19">
        <v>187.05590000000001</v>
      </c>
      <c r="D19">
        <v>136.80000000000001</v>
      </c>
      <c r="E19">
        <v>-0.84704237603207799</v>
      </c>
      <c r="F19" t="s">
        <v>18</v>
      </c>
      <c r="G19" t="s">
        <v>19</v>
      </c>
      <c r="H19">
        <v>0.998</v>
      </c>
      <c r="I19" t="s">
        <v>32</v>
      </c>
      <c r="J19" t="s">
        <v>19</v>
      </c>
      <c r="K19">
        <v>0.69</v>
      </c>
      <c r="L19" t="s">
        <v>33</v>
      </c>
      <c r="M19" t="s">
        <v>19</v>
      </c>
      <c r="N19">
        <v>1</v>
      </c>
      <c r="O19" t="s">
        <v>34</v>
      </c>
      <c r="P19" t="s">
        <v>19</v>
      </c>
      <c r="Q19">
        <v>0.98699999999999999</v>
      </c>
      <c r="R19" t="s">
        <v>23</v>
      </c>
      <c r="S19">
        <v>4</v>
      </c>
    </row>
    <row r="20" spans="1:19">
      <c r="A20">
        <v>19</v>
      </c>
      <c r="B20" t="s">
        <v>64</v>
      </c>
      <c r="C20">
        <v>1016.8258</v>
      </c>
      <c r="D20">
        <v>335</v>
      </c>
      <c r="E20">
        <v>-0.69046120246775899</v>
      </c>
      <c r="F20" t="s">
        <v>18</v>
      </c>
      <c r="G20" t="s">
        <v>19</v>
      </c>
      <c r="H20">
        <v>1</v>
      </c>
      <c r="I20" t="s">
        <v>20</v>
      </c>
      <c r="J20" t="s">
        <v>19</v>
      </c>
      <c r="K20">
        <v>0.67</v>
      </c>
      <c r="L20" t="s">
        <v>21</v>
      </c>
      <c r="M20" t="s">
        <v>19</v>
      </c>
      <c r="N20">
        <v>0.98</v>
      </c>
      <c r="O20" t="s">
        <v>65</v>
      </c>
      <c r="P20" t="s">
        <v>19</v>
      </c>
      <c r="Q20">
        <v>0.99399999999999999</v>
      </c>
      <c r="R20" t="s">
        <v>23</v>
      </c>
      <c r="S20">
        <v>4</v>
      </c>
    </row>
    <row r="21" spans="1:19">
      <c r="A21">
        <v>20</v>
      </c>
      <c r="B21" t="s">
        <v>66</v>
      </c>
      <c r="C21">
        <v>844.66420000000005</v>
      </c>
      <c r="D21">
        <v>301.89999999999998</v>
      </c>
      <c r="E21">
        <v>-0.72108856719955805</v>
      </c>
      <c r="F21" t="s">
        <v>18</v>
      </c>
      <c r="G21" t="s">
        <v>19</v>
      </c>
      <c r="H21">
        <v>1</v>
      </c>
      <c r="I21" t="s">
        <v>20</v>
      </c>
      <c r="J21" t="s">
        <v>19</v>
      </c>
      <c r="K21">
        <v>1</v>
      </c>
      <c r="L21" t="s">
        <v>67</v>
      </c>
      <c r="M21" t="s">
        <v>19</v>
      </c>
      <c r="N21">
        <v>1</v>
      </c>
      <c r="O21" t="s">
        <v>68</v>
      </c>
      <c r="P21" t="s">
        <v>19</v>
      </c>
      <c r="Q21">
        <v>0.77100000000000002</v>
      </c>
      <c r="R21" t="s">
        <v>23</v>
      </c>
      <c r="S21">
        <v>4</v>
      </c>
    </row>
    <row r="22" spans="1:19">
      <c r="A22">
        <v>21</v>
      </c>
      <c r="B22" t="s">
        <v>69</v>
      </c>
      <c r="C22">
        <v>1470.6873000000001</v>
      </c>
      <c r="D22">
        <v>364.9</v>
      </c>
      <c r="E22">
        <v>-4.5201274015880699E-2</v>
      </c>
      <c r="F22" t="s">
        <v>18</v>
      </c>
      <c r="G22" t="s">
        <v>19</v>
      </c>
      <c r="H22">
        <v>1</v>
      </c>
      <c r="I22" t="s">
        <v>25</v>
      </c>
      <c r="J22" t="s">
        <v>19</v>
      </c>
      <c r="K22">
        <v>0.83</v>
      </c>
      <c r="L22" t="s">
        <v>26</v>
      </c>
      <c r="M22" t="s">
        <v>19</v>
      </c>
      <c r="N22">
        <v>0.94</v>
      </c>
      <c r="O22" t="s">
        <v>27</v>
      </c>
      <c r="P22" t="s">
        <v>19</v>
      </c>
      <c r="Q22">
        <v>1</v>
      </c>
      <c r="R22" t="s">
        <v>23</v>
      </c>
      <c r="S22">
        <v>4</v>
      </c>
    </row>
    <row r="23" spans="1:19">
      <c r="A23">
        <v>22</v>
      </c>
      <c r="B23" t="s">
        <v>70</v>
      </c>
      <c r="C23">
        <v>190.05449999999999</v>
      </c>
      <c r="D23">
        <v>142.69999999999999</v>
      </c>
      <c r="E23">
        <v>-0.84229428344994495</v>
      </c>
      <c r="F23" t="s">
        <v>18</v>
      </c>
      <c r="G23" t="s">
        <v>19</v>
      </c>
      <c r="H23">
        <v>1</v>
      </c>
      <c r="I23" t="s">
        <v>25</v>
      </c>
      <c r="J23" t="s">
        <v>19</v>
      </c>
      <c r="K23">
        <v>0.71</v>
      </c>
      <c r="L23" t="s">
        <v>26</v>
      </c>
      <c r="M23" t="s">
        <v>19</v>
      </c>
      <c r="N23">
        <v>1</v>
      </c>
      <c r="O23" t="s">
        <v>27</v>
      </c>
      <c r="P23" t="s">
        <v>19</v>
      </c>
      <c r="Q23">
        <v>0.999</v>
      </c>
      <c r="R23" t="s">
        <v>23</v>
      </c>
      <c r="S23">
        <v>4</v>
      </c>
    </row>
    <row r="24" spans="1:19">
      <c r="A24">
        <v>23</v>
      </c>
      <c r="B24" t="s">
        <v>71</v>
      </c>
      <c r="C24">
        <v>343.22109999999998</v>
      </c>
      <c r="D24">
        <v>193.2</v>
      </c>
      <c r="E24">
        <v>-0.83787582240569203</v>
      </c>
      <c r="F24" t="s">
        <v>18</v>
      </c>
      <c r="G24" t="s">
        <v>19</v>
      </c>
      <c r="H24">
        <v>1</v>
      </c>
      <c r="I24" t="s">
        <v>20</v>
      </c>
      <c r="J24" t="s">
        <v>19</v>
      </c>
      <c r="K24">
        <v>1</v>
      </c>
      <c r="L24" t="s">
        <v>45</v>
      </c>
      <c r="M24" t="s">
        <v>19</v>
      </c>
      <c r="N24">
        <v>1</v>
      </c>
      <c r="O24" t="s">
        <v>46</v>
      </c>
      <c r="P24" t="s">
        <v>19</v>
      </c>
      <c r="Q24">
        <v>0.97699999999999998</v>
      </c>
      <c r="R24" t="s">
        <v>23</v>
      </c>
      <c r="S24">
        <v>4</v>
      </c>
    </row>
    <row r="25" spans="1:19">
      <c r="A25">
        <v>24</v>
      </c>
      <c r="B25" t="s">
        <v>72</v>
      </c>
      <c r="C25">
        <v>383.21980000000002</v>
      </c>
      <c r="D25">
        <v>193.3</v>
      </c>
      <c r="E25">
        <v>-0.79191519719256598</v>
      </c>
      <c r="F25" t="s">
        <v>18</v>
      </c>
      <c r="G25" t="s">
        <v>19</v>
      </c>
      <c r="H25">
        <v>1</v>
      </c>
      <c r="I25" t="s">
        <v>20</v>
      </c>
      <c r="J25" t="s">
        <v>19</v>
      </c>
      <c r="K25">
        <v>0.9</v>
      </c>
      <c r="L25" t="s">
        <v>45</v>
      </c>
      <c r="M25" t="s">
        <v>19</v>
      </c>
      <c r="N25">
        <v>0.97</v>
      </c>
      <c r="O25" t="s">
        <v>51</v>
      </c>
      <c r="P25" t="s">
        <v>19</v>
      </c>
      <c r="Q25">
        <v>0.872</v>
      </c>
      <c r="R25" t="s">
        <v>23</v>
      </c>
      <c r="S25">
        <v>4</v>
      </c>
    </row>
    <row r="26" spans="1:19">
      <c r="A26">
        <v>25</v>
      </c>
      <c r="B26" t="s">
        <v>73</v>
      </c>
      <c r="C26">
        <v>270.9461</v>
      </c>
      <c r="D26">
        <v>156.19999999999999</v>
      </c>
      <c r="E26">
        <v>-0.64357461229837998</v>
      </c>
      <c r="F26" t="s">
        <v>18</v>
      </c>
      <c r="G26" t="s">
        <v>19</v>
      </c>
      <c r="H26">
        <v>1</v>
      </c>
      <c r="I26" t="s">
        <v>74</v>
      </c>
      <c r="J26" t="s">
        <v>19</v>
      </c>
      <c r="K26">
        <v>0.96</v>
      </c>
      <c r="L26" t="s">
        <v>75</v>
      </c>
      <c r="M26" t="s">
        <v>19</v>
      </c>
      <c r="N26">
        <v>1</v>
      </c>
      <c r="O26" t="s">
        <v>76</v>
      </c>
      <c r="P26" t="s">
        <v>19</v>
      </c>
      <c r="Q26">
        <v>0.96799999999999997</v>
      </c>
      <c r="R26" t="s">
        <v>23</v>
      </c>
      <c r="S26">
        <v>4</v>
      </c>
    </row>
    <row r="27" spans="1:19">
      <c r="A27">
        <v>26</v>
      </c>
      <c r="B27" t="s">
        <v>77</v>
      </c>
      <c r="C27">
        <v>277.21640000000002</v>
      </c>
      <c r="D27">
        <v>174.5</v>
      </c>
      <c r="E27">
        <v>-0.90687349680530405</v>
      </c>
      <c r="F27" t="s">
        <v>18</v>
      </c>
      <c r="G27" t="s">
        <v>19</v>
      </c>
      <c r="H27">
        <v>1</v>
      </c>
      <c r="I27" t="s">
        <v>20</v>
      </c>
      <c r="J27" t="s">
        <v>19</v>
      </c>
      <c r="K27">
        <v>1</v>
      </c>
      <c r="L27" t="s">
        <v>45</v>
      </c>
      <c r="M27" t="s">
        <v>19</v>
      </c>
      <c r="N27">
        <v>1</v>
      </c>
      <c r="O27" t="s">
        <v>78</v>
      </c>
      <c r="P27" t="s">
        <v>19</v>
      </c>
      <c r="Q27">
        <v>0.91900000000000004</v>
      </c>
      <c r="R27" t="s">
        <v>23</v>
      </c>
      <c r="S27">
        <v>4</v>
      </c>
    </row>
    <row r="28" spans="1:19">
      <c r="A28">
        <v>27</v>
      </c>
      <c r="B28" t="s">
        <v>79</v>
      </c>
      <c r="C28">
        <v>330.06029999999998</v>
      </c>
      <c r="D28">
        <v>164.9</v>
      </c>
      <c r="E28">
        <v>-0.691770538891603</v>
      </c>
      <c r="F28" t="s">
        <v>18</v>
      </c>
      <c r="G28" t="s">
        <v>19</v>
      </c>
      <c r="H28">
        <v>0.996</v>
      </c>
      <c r="I28" t="s">
        <v>53</v>
      </c>
      <c r="J28" t="s">
        <v>19</v>
      </c>
      <c r="K28">
        <v>0.96</v>
      </c>
      <c r="L28" t="s">
        <v>80</v>
      </c>
      <c r="M28" t="s">
        <v>19</v>
      </c>
      <c r="N28">
        <v>0.64</v>
      </c>
      <c r="O28" t="s">
        <v>81</v>
      </c>
      <c r="P28" t="s">
        <v>19</v>
      </c>
      <c r="Q28">
        <v>0.61</v>
      </c>
      <c r="R28" t="s">
        <v>23</v>
      </c>
      <c r="S28">
        <v>4</v>
      </c>
    </row>
    <row r="29" spans="1:19">
      <c r="A29">
        <v>28</v>
      </c>
      <c r="B29" t="s">
        <v>82</v>
      </c>
      <c r="C29">
        <v>634.3922</v>
      </c>
      <c r="D29">
        <v>248.5</v>
      </c>
      <c r="E29">
        <v>-0.68386817215707696</v>
      </c>
      <c r="F29" t="s">
        <v>18</v>
      </c>
      <c r="G29" t="s">
        <v>19</v>
      </c>
      <c r="H29">
        <v>1</v>
      </c>
      <c r="I29" t="s">
        <v>25</v>
      </c>
      <c r="J29" t="s">
        <v>19</v>
      </c>
      <c r="K29">
        <v>0.99</v>
      </c>
      <c r="L29" t="s">
        <v>26</v>
      </c>
      <c r="M29" t="s">
        <v>19</v>
      </c>
      <c r="N29">
        <v>0.96</v>
      </c>
      <c r="O29" t="s">
        <v>27</v>
      </c>
      <c r="P29" t="s">
        <v>19</v>
      </c>
      <c r="Q29">
        <v>1</v>
      </c>
      <c r="R29" t="s">
        <v>23</v>
      </c>
      <c r="S29">
        <v>4</v>
      </c>
    </row>
    <row r="30" spans="1:19">
      <c r="A30">
        <v>29</v>
      </c>
      <c r="B30" t="s">
        <v>83</v>
      </c>
      <c r="C30">
        <v>174.04079999999999</v>
      </c>
      <c r="D30">
        <v>131.30000000000001</v>
      </c>
      <c r="E30">
        <v>-0.84647441090348297</v>
      </c>
      <c r="F30" t="s">
        <v>18</v>
      </c>
      <c r="G30" t="s">
        <v>19</v>
      </c>
      <c r="H30">
        <v>1</v>
      </c>
      <c r="I30" t="s">
        <v>25</v>
      </c>
      <c r="J30" t="s">
        <v>19</v>
      </c>
      <c r="K30">
        <v>0.74</v>
      </c>
      <c r="L30" t="s">
        <v>26</v>
      </c>
      <c r="M30" t="s">
        <v>19</v>
      </c>
      <c r="N30">
        <v>1</v>
      </c>
      <c r="O30" t="s">
        <v>27</v>
      </c>
      <c r="P30" t="s">
        <v>19</v>
      </c>
      <c r="Q30">
        <v>0.99399999999999999</v>
      </c>
      <c r="R30" t="s">
        <v>23</v>
      </c>
      <c r="S30">
        <v>4</v>
      </c>
    </row>
    <row r="31" spans="1:19">
      <c r="A31">
        <v>30</v>
      </c>
      <c r="B31" t="s">
        <v>84</v>
      </c>
      <c r="C31">
        <v>383.18090000000001</v>
      </c>
      <c r="D31">
        <v>213.5</v>
      </c>
      <c r="E31">
        <v>-0.75305863106217397</v>
      </c>
      <c r="F31" t="s">
        <v>18</v>
      </c>
      <c r="G31" t="s">
        <v>19</v>
      </c>
      <c r="H31">
        <v>1</v>
      </c>
      <c r="I31" t="s">
        <v>20</v>
      </c>
      <c r="J31" t="s">
        <v>19</v>
      </c>
      <c r="K31">
        <v>0.86</v>
      </c>
      <c r="L31" t="s">
        <v>85</v>
      </c>
      <c r="M31" t="s">
        <v>19</v>
      </c>
      <c r="N31">
        <v>0.86</v>
      </c>
      <c r="O31" t="s">
        <v>86</v>
      </c>
      <c r="P31" t="s">
        <v>19</v>
      </c>
      <c r="Q31">
        <v>0.98399999999999999</v>
      </c>
      <c r="R31" t="s">
        <v>23</v>
      </c>
      <c r="S31">
        <v>4</v>
      </c>
    </row>
    <row r="32" spans="1:19">
      <c r="A32">
        <v>31</v>
      </c>
      <c r="B32" t="s">
        <v>87</v>
      </c>
      <c r="C32">
        <v>844.64970000000005</v>
      </c>
      <c r="D32">
        <v>298.8</v>
      </c>
      <c r="E32">
        <v>-0.70660475720239901</v>
      </c>
      <c r="F32" t="s">
        <v>18</v>
      </c>
      <c r="G32" t="s">
        <v>19</v>
      </c>
      <c r="H32">
        <v>1</v>
      </c>
      <c r="I32" t="s">
        <v>20</v>
      </c>
      <c r="J32" t="s">
        <v>19</v>
      </c>
      <c r="K32">
        <v>1</v>
      </c>
      <c r="L32" t="s">
        <v>67</v>
      </c>
      <c r="M32" t="s">
        <v>19</v>
      </c>
      <c r="N32">
        <v>0.91</v>
      </c>
      <c r="O32" t="s">
        <v>68</v>
      </c>
      <c r="P32" t="s">
        <v>19</v>
      </c>
      <c r="Q32">
        <v>0.81200000000000006</v>
      </c>
      <c r="R32" t="s">
        <v>23</v>
      </c>
      <c r="S32">
        <v>4</v>
      </c>
    </row>
    <row r="33" spans="1:19">
      <c r="A33">
        <v>32</v>
      </c>
      <c r="B33" t="s">
        <v>88</v>
      </c>
      <c r="C33">
        <v>171.00710000000001</v>
      </c>
      <c r="D33">
        <v>126.5</v>
      </c>
      <c r="E33">
        <v>-0.81616169445794595</v>
      </c>
      <c r="F33" t="s">
        <v>18</v>
      </c>
      <c r="G33" t="s">
        <v>19</v>
      </c>
      <c r="H33">
        <v>1</v>
      </c>
      <c r="I33" t="s">
        <v>20</v>
      </c>
      <c r="J33" t="s">
        <v>19</v>
      </c>
      <c r="K33">
        <v>0.91</v>
      </c>
      <c r="L33" t="s">
        <v>21</v>
      </c>
      <c r="M33" t="s">
        <v>19</v>
      </c>
      <c r="N33">
        <v>0.86</v>
      </c>
      <c r="O33" t="s">
        <v>89</v>
      </c>
      <c r="P33" t="s">
        <v>19</v>
      </c>
      <c r="Q33">
        <v>0.97499999999999998</v>
      </c>
      <c r="R33" t="s">
        <v>23</v>
      </c>
      <c r="S33">
        <v>4</v>
      </c>
    </row>
    <row r="34" spans="1:19">
      <c r="A34">
        <v>33</v>
      </c>
      <c r="B34" t="s">
        <v>90</v>
      </c>
      <c r="C34">
        <v>2731.0045</v>
      </c>
      <c r="D34">
        <v>282.10000000000002</v>
      </c>
      <c r="E34">
        <v>-0.95519168673263299</v>
      </c>
      <c r="F34" t="s">
        <v>59</v>
      </c>
      <c r="G34" t="s">
        <v>19</v>
      </c>
      <c r="H34">
        <v>0.9</v>
      </c>
      <c r="I34" t="s">
        <v>60</v>
      </c>
      <c r="J34" t="s">
        <v>19</v>
      </c>
      <c r="K34">
        <v>0.88</v>
      </c>
      <c r="L34" t="s">
        <v>61</v>
      </c>
      <c r="M34" t="s">
        <v>19</v>
      </c>
      <c r="N34">
        <v>0.87</v>
      </c>
      <c r="O34" t="s">
        <v>62</v>
      </c>
      <c r="P34" t="s">
        <v>19</v>
      </c>
      <c r="Q34">
        <v>0.93</v>
      </c>
      <c r="R34" t="s">
        <v>23</v>
      </c>
      <c r="S34">
        <v>4</v>
      </c>
    </row>
    <row r="35" spans="1:19">
      <c r="A35">
        <v>34</v>
      </c>
      <c r="B35" t="s">
        <v>91</v>
      </c>
      <c r="C35">
        <v>540.28809999999999</v>
      </c>
      <c r="D35">
        <v>231.4</v>
      </c>
      <c r="E35">
        <v>-0.68484028552882104</v>
      </c>
      <c r="F35" t="s">
        <v>18</v>
      </c>
      <c r="G35" t="s">
        <v>19</v>
      </c>
      <c r="H35">
        <v>1</v>
      </c>
      <c r="I35" t="s">
        <v>32</v>
      </c>
      <c r="J35" t="s">
        <v>19</v>
      </c>
      <c r="K35">
        <v>0.54</v>
      </c>
      <c r="L35" t="s">
        <v>33</v>
      </c>
      <c r="M35" t="s">
        <v>19</v>
      </c>
      <c r="N35">
        <v>1</v>
      </c>
      <c r="O35" t="s">
        <v>34</v>
      </c>
      <c r="P35" t="s">
        <v>19</v>
      </c>
      <c r="Q35">
        <v>1</v>
      </c>
      <c r="R35" t="s">
        <v>23</v>
      </c>
      <c r="S35">
        <v>4</v>
      </c>
    </row>
    <row r="36" spans="1:19">
      <c r="A36">
        <v>35</v>
      </c>
      <c r="B36" t="s">
        <v>92</v>
      </c>
      <c r="C36">
        <v>203.1491</v>
      </c>
      <c r="D36">
        <v>144.4</v>
      </c>
      <c r="E36">
        <v>-0.92227348270103005</v>
      </c>
      <c r="F36" t="s">
        <v>18</v>
      </c>
      <c r="G36" t="s">
        <v>19</v>
      </c>
      <c r="H36">
        <v>1</v>
      </c>
      <c r="I36" t="s">
        <v>25</v>
      </c>
      <c r="J36" t="s">
        <v>19</v>
      </c>
      <c r="K36">
        <v>0.76</v>
      </c>
      <c r="L36" t="s">
        <v>26</v>
      </c>
      <c r="M36" t="s">
        <v>19</v>
      </c>
      <c r="N36">
        <v>1</v>
      </c>
      <c r="O36" t="s">
        <v>27</v>
      </c>
      <c r="P36" t="s">
        <v>19</v>
      </c>
      <c r="Q36">
        <v>1</v>
      </c>
      <c r="R36" t="s">
        <v>23</v>
      </c>
      <c r="S36">
        <v>4</v>
      </c>
    </row>
    <row r="37" spans="1:19">
      <c r="A37">
        <v>36</v>
      </c>
      <c r="B37" t="s">
        <v>93</v>
      </c>
      <c r="C37">
        <v>233.0275</v>
      </c>
      <c r="D37">
        <v>148.5</v>
      </c>
      <c r="E37">
        <v>-0.76731269786631595</v>
      </c>
      <c r="F37" t="s">
        <v>18</v>
      </c>
      <c r="G37" t="s">
        <v>19</v>
      </c>
      <c r="H37">
        <v>1</v>
      </c>
      <c r="I37" t="s">
        <v>32</v>
      </c>
      <c r="J37" t="s">
        <v>19</v>
      </c>
      <c r="K37">
        <v>0.68</v>
      </c>
      <c r="L37" t="s">
        <v>33</v>
      </c>
      <c r="M37" t="s">
        <v>19</v>
      </c>
      <c r="N37">
        <v>1</v>
      </c>
      <c r="O37" t="s">
        <v>34</v>
      </c>
      <c r="P37" t="s">
        <v>19</v>
      </c>
      <c r="Q37">
        <v>0.99</v>
      </c>
      <c r="R37" t="s">
        <v>23</v>
      </c>
      <c r="S37">
        <v>4</v>
      </c>
    </row>
    <row r="38" spans="1:19">
      <c r="A38">
        <v>37</v>
      </c>
      <c r="B38" t="s">
        <v>94</v>
      </c>
      <c r="C38">
        <v>333.06290000000001</v>
      </c>
      <c r="D38">
        <v>178.1</v>
      </c>
      <c r="E38">
        <v>-0.69101798010183302</v>
      </c>
      <c r="F38" t="s">
        <v>18</v>
      </c>
      <c r="G38" t="s">
        <v>19</v>
      </c>
      <c r="H38">
        <v>0.92800000000000005</v>
      </c>
      <c r="I38" t="s">
        <v>74</v>
      </c>
      <c r="J38" t="s">
        <v>19</v>
      </c>
      <c r="K38">
        <v>0.65</v>
      </c>
      <c r="L38" t="s">
        <v>75</v>
      </c>
      <c r="M38" t="s">
        <v>19</v>
      </c>
      <c r="N38">
        <v>1</v>
      </c>
      <c r="O38" t="s">
        <v>95</v>
      </c>
      <c r="P38" t="s">
        <v>19</v>
      </c>
      <c r="Q38">
        <v>0.94299999999999995</v>
      </c>
      <c r="R38" t="s">
        <v>23</v>
      </c>
      <c r="S38">
        <v>4</v>
      </c>
    </row>
    <row r="39" spans="1:19">
      <c r="A39">
        <v>38</v>
      </c>
      <c r="B39" t="s">
        <v>96</v>
      </c>
      <c r="C39">
        <v>604.60320000000002</v>
      </c>
      <c r="D39">
        <v>271.54000000000002</v>
      </c>
      <c r="E39">
        <v>-0.92812913725038004</v>
      </c>
      <c r="F39" t="s">
        <v>18</v>
      </c>
      <c r="G39" t="s">
        <v>19</v>
      </c>
      <c r="H39">
        <v>1</v>
      </c>
      <c r="I39" t="s">
        <v>20</v>
      </c>
      <c r="J39" t="s">
        <v>19</v>
      </c>
      <c r="K39">
        <v>1</v>
      </c>
      <c r="L39" t="s">
        <v>67</v>
      </c>
      <c r="M39" t="s">
        <v>19</v>
      </c>
      <c r="N39">
        <v>1</v>
      </c>
      <c r="O39" t="s">
        <v>97</v>
      </c>
      <c r="P39" t="s">
        <v>19</v>
      </c>
      <c r="Q39">
        <v>1</v>
      </c>
      <c r="R39" t="s">
        <v>23</v>
      </c>
      <c r="S39">
        <v>4</v>
      </c>
    </row>
    <row r="40" spans="1:19">
      <c r="A40">
        <v>39</v>
      </c>
      <c r="B40" t="s">
        <v>98</v>
      </c>
      <c r="C40">
        <v>353.2328</v>
      </c>
      <c r="D40">
        <v>193.5</v>
      </c>
      <c r="E40">
        <v>-0.83839723956560896</v>
      </c>
      <c r="F40" t="s">
        <v>18</v>
      </c>
      <c r="G40" t="s">
        <v>19</v>
      </c>
      <c r="H40">
        <v>1</v>
      </c>
      <c r="I40" t="s">
        <v>20</v>
      </c>
      <c r="J40" t="s">
        <v>19</v>
      </c>
      <c r="K40">
        <v>1</v>
      </c>
      <c r="L40" t="s">
        <v>45</v>
      </c>
      <c r="M40" t="s">
        <v>19</v>
      </c>
      <c r="N40">
        <v>1</v>
      </c>
      <c r="O40" t="s">
        <v>46</v>
      </c>
      <c r="P40" t="s">
        <v>19</v>
      </c>
      <c r="Q40">
        <v>0.98899999999999999</v>
      </c>
      <c r="R40" t="s">
        <v>23</v>
      </c>
      <c r="S40">
        <v>4</v>
      </c>
    </row>
    <row r="41" spans="1:19">
      <c r="A41">
        <v>40</v>
      </c>
      <c r="B41" t="s">
        <v>99</v>
      </c>
      <c r="C41">
        <v>1447.8047999999999</v>
      </c>
      <c r="D41">
        <v>386.9</v>
      </c>
      <c r="E41">
        <v>-0.18825077328551701</v>
      </c>
      <c r="F41" t="s">
        <v>18</v>
      </c>
      <c r="G41" t="s">
        <v>19</v>
      </c>
      <c r="H41">
        <v>1</v>
      </c>
      <c r="I41" t="s">
        <v>25</v>
      </c>
      <c r="J41" t="s">
        <v>19</v>
      </c>
      <c r="K41">
        <v>0.93</v>
      </c>
      <c r="L41" t="s">
        <v>26</v>
      </c>
      <c r="M41" t="s">
        <v>19</v>
      </c>
      <c r="N41">
        <v>0.95</v>
      </c>
      <c r="O41" t="s">
        <v>27</v>
      </c>
      <c r="P41" t="s">
        <v>19</v>
      </c>
      <c r="Q41">
        <v>1</v>
      </c>
      <c r="R41" t="s">
        <v>23</v>
      </c>
      <c r="S41">
        <v>4</v>
      </c>
    </row>
    <row r="42" spans="1:19">
      <c r="A42">
        <v>41</v>
      </c>
      <c r="B42" t="s">
        <v>100</v>
      </c>
      <c r="C42">
        <v>187.0976</v>
      </c>
      <c r="D42">
        <v>140.1</v>
      </c>
      <c r="E42">
        <v>-0.88869581581707302</v>
      </c>
      <c r="F42" t="s">
        <v>18</v>
      </c>
      <c r="G42" t="s">
        <v>19</v>
      </c>
      <c r="H42">
        <v>1</v>
      </c>
      <c r="I42" t="s">
        <v>20</v>
      </c>
      <c r="J42" t="s">
        <v>19</v>
      </c>
      <c r="K42">
        <v>0.73</v>
      </c>
      <c r="L42" t="s">
        <v>45</v>
      </c>
      <c r="M42" t="s">
        <v>19</v>
      </c>
      <c r="N42">
        <v>1</v>
      </c>
      <c r="O42" t="s">
        <v>51</v>
      </c>
      <c r="P42" t="s">
        <v>19</v>
      </c>
      <c r="Q42">
        <v>1</v>
      </c>
      <c r="R42" t="s">
        <v>23</v>
      </c>
      <c r="S42">
        <v>4</v>
      </c>
    </row>
    <row r="43" spans="1:19">
      <c r="A43">
        <v>42</v>
      </c>
      <c r="B43" t="s">
        <v>101</v>
      </c>
      <c r="C43">
        <v>552.40290000000005</v>
      </c>
      <c r="D43">
        <v>247.5</v>
      </c>
      <c r="E43">
        <v>-0.78611348234949197</v>
      </c>
      <c r="F43" t="s">
        <v>18</v>
      </c>
      <c r="G43" t="s">
        <v>19</v>
      </c>
      <c r="H43">
        <v>1</v>
      </c>
      <c r="I43" t="s">
        <v>20</v>
      </c>
      <c r="J43" t="s">
        <v>19</v>
      </c>
      <c r="K43">
        <v>1</v>
      </c>
      <c r="L43" t="s">
        <v>21</v>
      </c>
      <c r="M43" t="s">
        <v>19</v>
      </c>
      <c r="N43">
        <v>0.99</v>
      </c>
      <c r="O43" t="s">
        <v>65</v>
      </c>
      <c r="P43" t="s">
        <v>19</v>
      </c>
      <c r="Q43">
        <v>0.995</v>
      </c>
      <c r="R43" t="s">
        <v>23</v>
      </c>
      <c r="S43">
        <v>4</v>
      </c>
    </row>
    <row r="44" spans="1:19">
      <c r="A44">
        <v>43</v>
      </c>
      <c r="B44" t="s">
        <v>102</v>
      </c>
      <c r="C44">
        <v>381.07929999999999</v>
      </c>
      <c r="D44">
        <v>180.6</v>
      </c>
      <c r="E44">
        <v>-0.65380517657359905</v>
      </c>
      <c r="F44" t="s">
        <v>18</v>
      </c>
      <c r="G44" t="s">
        <v>19</v>
      </c>
      <c r="H44">
        <v>1</v>
      </c>
      <c r="I44" t="s">
        <v>32</v>
      </c>
      <c r="J44" t="s">
        <v>19</v>
      </c>
      <c r="K44">
        <v>0.99</v>
      </c>
      <c r="L44" t="s">
        <v>33</v>
      </c>
      <c r="M44" t="s">
        <v>19</v>
      </c>
      <c r="N44">
        <v>1</v>
      </c>
      <c r="O44" t="s">
        <v>34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44</v>
      </c>
      <c r="B45" t="s">
        <v>103</v>
      </c>
      <c r="C45">
        <v>834.50250000000005</v>
      </c>
      <c r="D45">
        <v>289</v>
      </c>
      <c r="E45">
        <v>-0.57073463282745296</v>
      </c>
      <c r="F45" t="s">
        <v>18</v>
      </c>
      <c r="G45" t="s">
        <v>19</v>
      </c>
      <c r="H45">
        <v>1</v>
      </c>
      <c r="I45" t="s">
        <v>20</v>
      </c>
      <c r="J45" t="s">
        <v>19</v>
      </c>
      <c r="K45">
        <v>0.83</v>
      </c>
      <c r="L45" t="s">
        <v>21</v>
      </c>
      <c r="M45" t="s">
        <v>19</v>
      </c>
      <c r="N45">
        <v>1</v>
      </c>
      <c r="O45" t="s">
        <v>29</v>
      </c>
      <c r="P45" t="s">
        <v>19</v>
      </c>
      <c r="Q45">
        <v>0.58299999999999996</v>
      </c>
      <c r="R45" t="s">
        <v>23</v>
      </c>
      <c r="S45">
        <v>4</v>
      </c>
    </row>
    <row r="46" spans="1:19">
      <c r="A46">
        <v>45</v>
      </c>
      <c r="B46" t="s">
        <v>104</v>
      </c>
      <c r="C46">
        <v>175.05770000000001</v>
      </c>
      <c r="D46">
        <v>137.30000000000001</v>
      </c>
      <c r="E46">
        <v>-0.86223898925780396</v>
      </c>
      <c r="F46" t="s">
        <v>18</v>
      </c>
      <c r="G46" t="s">
        <v>19</v>
      </c>
      <c r="H46">
        <v>1</v>
      </c>
      <c r="I46" t="s">
        <v>32</v>
      </c>
      <c r="J46" t="s">
        <v>19</v>
      </c>
      <c r="K46">
        <v>0.84</v>
      </c>
      <c r="L46" t="s">
        <v>33</v>
      </c>
      <c r="M46" t="s">
        <v>19</v>
      </c>
      <c r="N46">
        <v>1</v>
      </c>
      <c r="O46" t="s">
        <v>34</v>
      </c>
      <c r="P46" t="s">
        <v>19</v>
      </c>
      <c r="Q46">
        <v>0.95</v>
      </c>
      <c r="R46" t="s">
        <v>23</v>
      </c>
      <c r="S46">
        <v>4</v>
      </c>
    </row>
    <row r="47" spans="1:19">
      <c r="A47">
        <v>46</v>
      </c>
      <c r="B47" t="s">
        <v>105</v>
      </c>
      <c r="C47">
        <v>1027.1611</v>
      </c>
      <c r="D47">
        <v>372.9</v>
      </c>
      <c r="E47">
        <v>-1.42213034268934E-2</v>
      </c>
      <c r="F47" t="s">
        <v>18</v>
      </c>
      <c r="G47" t="s">
        <v>19</v>
      </c>
      <c r="H47">
        <v>0.94199999999999995</v>
      </c>
      <c r="I47" t="s">
        <v>106</v>
      </c>
      <c r="J47" t="s">
        <v>19</v>
      </c>
      <c r="K47">
        <v>0.79</v>
      </c>
      <c r="L47" t="s">
        <v>107</v>
      </c>
      <c r="M47" t="s">
        <v>19</v>
      </c>
      <c r="N47">
        <v>0.97</v>
      </c>
      <c r="O47" t="s">
        <v>108</v>
      </c>
      <c r="P47" t="s">
        <v>19</v>
      </c>
      <c r="Q47">
        <v>0.96199999999999997</v>
      </c>
      <c r="R47" t="s">
        <v>23</v>
      </c>
      <c r="S47">
        <v>4</v>
      </c>
    </row>
    <row r="48" spans="1:19">
      <c r="A48">
        <v>47</v>
      </c>
      <c r="B48" t="s">
        <v>109</v>
      </c>
      <c r="C48">
        <v>173.0461</v>
      </c>
      <c r="D48">
        <v>137.69999999999999</v>
      </c>
      <c r="E48">
        <v>-0.85288504509657104</v>
      </c>
      <c r="F48" t="s">
        <v>18</v>
      </c>
      <c r="G48" t="s">
        <v>19</v>
      </c>
      <c r="H48">
        <v>1</v>
      </c>
      <c r="I48" t="s">
        <v>32</v>
      </c>
      <c r="J48" t="s">
        <v>19</v>
      </c>
      <c r="K48">
        <v>0.84</v>
      </c>
      <c r="L48" t="s">
        <v>33</v>
      </c>
      <c r="M48" t="s">
        <v>19</v>
      </c>
      <c r="N48">
        <v>1</v>
      </c>
      <c r="O48" t="s">
        <v>110</v>
      </c>
      <c r="P48" t="s">
        <v>19</v>
      </c>
      <c r="Q48">
        <v>0.629</v>
      </c>
      <c r="R48" t="s">
        <v>23</v>
      </c>
      <c r="S48">
        <v>4</v>
      </c>
    </row>
    <row r="49" spans="1:19">
      <c r="A49">
        <v>48</v>
      </c>
      <c r="B49" t="s">
        <v>111</v>
      </c>
      <c r="C49">
        <v>954.4828</v>
      </c>
      <c r="D49">
        <v>294.3</v>
      </c>
      <c r="E49">
        <v>-0.41707039870823298</v>
      </c>
      <c r="F49" t="s">
        <v>18</v>
      </c>
      <c r="G49" t="s">
        <v>19</v>
      </c>
      <c r="H49">
        <v>1</v>
      </c>
      <c r="I49" t="s">
        <v>32</v>
      </c>
      <c r="J49" t="s">
        <v>19</v>
      </c>
      <c r="K49">
        <v>0.71</v>
      </c>
      <c r="L49" t="s">
        <v>33</v>
      </c>
      <c r="M49" t="s">
        <v>19</v>
      </c>
      <c r="N49">
        <v>1</v>
      </c>
      <c r="O49" t="s">
        <v>34</v>
      </c>
      <c r="P49" t="s">
        <v>19</v>
      </c>
      <c r="Q49">
        <v>1</v>
      </c>
      <c r="R49" t="s">
        <v>23</v>
      </c>
      <c r="S49">
        <v>4</v>
      </c>
    </row>
    <row r="50" spans="1:19">
      <c r="A50">
        <v>49</v>
      </c>
      <c r="B50" t="s">
        <v>112</v>
      </c>
      <c r="C50">
        <v>766.10839999999996</v>
      </c>
      <c r="D50">
        <v>244.1</v>
      </c>
      <c r="E50">
        <v>-0.25300019638041199</v>
      </c>
      <c r="F50" t="s">
        <v>18</v>
      </c>
      <c r="G50" t="s">
        <v>19</v>
      </c>
      <c r="H50">
        <v>1</v>
      </c>
      <c r="I50" t="s">
        <v>53</v>
      </c>
      <c r="J50" t="s">
        <v>19</v>
      </c>
      <c r="K50">
        <v>0.88</v>
      </c>
      <c r="L50" t="s">
        <v>80</v>
      </c>
      <c r="M50" t="s">
        <v>19</v>
      </c>
      <c r="N50">
        <v>0.94</v>
      </c>
      <c r="O50" t="s">
        <v>113</v>
      </c>
      <c r="P50" t="s">
        <v>19</v>
      </c>
      <c r="Q50">
        <v>0.97599999999999998</v>
      </c>
      <c r="R50" t="s">
        <v>23</v>
      </c>
      <c r="S50">
        <v>4</v>
      </c>
    </row>
    <row r="51" spans="1:19">
      <c r="A51">
        <v>50</v>
      </c>
      <c r="B51" t="s">
        <v>114</v>
      </c>
      <c r="C51">
        <v>157.05009999999999</v>
      </c>
      <c r="D51">
        <v>131</v>
      </c>
      <c r="E51">
        <v>-0.87474540958115199</v>
      </c>
      <c r="F51" t="s">
        <v>18</v>
      </c>
      <c r="G51" t="s">
        <v>19</v>
      </c>
      <c r="H51">
        <v>1</v>
      </c>
      <c r="I51" t="s">
        <v>115</v>
      </c>
      <c r="J51" t="s">
        <v>19</v>
      </c>
      <c r="K51">
        <v>0.63</v>
      </c>
      <c r="L51" t="s">
        <v>116</v>
      </c>
      <c r="M51" t="s">
        <v>19</v>
      </c>
      <c r="N51">
        <v>0.85</v>
      </c>
      <c r="O51" t="s">
        <v>117</v>
      </c>
      <c r="P51" t="s">
        <v>19</v>
      </c>
      <c r="Q51">
        <v>0.94699999999999995</v>
      </c>
      <c r="R51" t="s">
        <v>23</v>
      </c>
      <c r="S51">
        <v>4</v>
      </c>
    </row>
    <row r="52" spans="1:19">
      <c r="A52">
        <v>51</v>
      </c>
      <c r="B52" t="s">
        <v>118</v>
      </c>
      <c r="C52">
        <v>123.04430000000001</v>
      </c>
      <c r="D52">
        <v>121.5</v>
      </c>
      <c r="E52">
        <v>-0.90691465080333</v>
      </c>
      <c r="F52" t="s">
        <v>18</v>
      </c>
      <c r="G52" t="s">
        <v>19</v>
      </c>
      <c r="H52">
        <v>1</v>
      </c>
      <c r="I52" t="s">
        <v>74</v>
      </c>
      <c r="J52" t="s">
        <v>19</v>
      </c>
      <c r="K52">
        <v>0.65</v>
      </c>
      <c r="L52" t="s">
        <v>119</v>
      </c>
      <c r="M52" t="s">
        <v>19</v>
      </c>
      <c r="N52">
        <v>0.92</v>
      </c>
      <c r="O52" t="s">
        <v>120</v>
      </c>
      <c r="P52" t="s">
        <v>19</v>
      </c>
      <c r="Q52">
        <v>1</v>
      </c>
      <c r="R52" t="s">
        <v>23</v>
      </c>
      <c r="S52">
        <v>4</v>
      </c>
    </row>
    <row r="53" spans="1:19">
      <c r="A53">
        <v>52</v>
      </c>
      <c r="B53" t="s">
        <v>121</v>
      </c>
      <c r="C53">
        <v>140.03110000000001</v>
      </c>
      <c r="D53">
        <v>132.30000000000001</v>
      </c>
      <c r="E53">
        <v>-0.87474800667814601</v>
      </c>
      <c r="F53" t="s">
        <v>18</v>
      </c>
      <c r="G53" t="s">
        <v>19</v>
      </c>
      <c r="H53">
        <v>1</v>
      </c>
      <c r="I53" t="s">
        <v>25</v>
      </c>
      <c r="J53" t="s">
        <v>19</v>
      </c>
      <c r="K53">
        <v>0.75</v>
      </c>
      <c r="L53" t="s">
        <v>26</v>
      </c>
      <c r="M53" t="s">
        <v>19</v>
      </c>
      <c r="N53">
        <v>1</v>
      </c>
      <c r="O53" t="s">
        <v>27</v>
      </c>
      <c r="P53" t="s">
        <v>19</v>
      </c>
      <c r="Q53">
        <v>1</v>
      </c>
      <c r="R53" t="s">
        <v>23</v>
      </c>
      <c r="S53">
        <v>4</v>
      </c>
    </row>
    <row r="54" spans="1:19">
      <c r="A54">
        <v>53</v>
      </c>
      <c r="B54" t="s">
        <v>122</v>
      </c>
      <c r="C54">
        <v>153.0198</v>
      </c>
      <c r="D54">
        <v>120.9</v>
      </c>
      <c r="E54">
        <v>-0.848945448777357</v>
      </c>
      <c r="F54" t="s">
        <v>18</v>
      </c>
      <c r="G54" t="s">
        <v>19</v>
      </c>
      <c r="H54">
        <v>1</v>
      </c>
      <c r="I54" t="s">
        <v>74</v>
      </c>
      <c r="J54" t="s">
        <v>19</v>
      </c>
      <c r="K54">
        <v>0.82</v>
      </c>
      <c r="L54" t="s">
        <v>75</v>
      </c>
      <c r="M54" t="s">
        <v>19</v>
      </c>
      <c r="N54">
        <v>0.98</v>
      </c>
      <c r="O54" t="s">
        <v>123</v>
      </c>
      <c r="P54" t="s">
        <v>19</v>
      </c>
      <c r="Q54">
        <v>0.998</v>
      </c>
      <c r="R54" t="s">
        <v>23</v>
      </c>
      <c r="S54">
        <v>4</v>
      </c>
    </row>
    <row r="55" spans="1:19">
      <c r="A55">
        <v>54</v>
      </c>
      <c r="B55" t="s">
        <v>124</v>
      </c>
      <c r="C55">
        <v>173.04259999999999</v>
      </c>
      <c r="D55">
        <v>135.80000000000001</v>
      </c>
      <c r="E55">
        <v>-0.84938895302829598</v>
      </c>
      <c r="F55" t="s">
        <v>18</v>
      </c>
      <c r="G55" t="s">
        <v>19</v>
      </c>
      <c r="H55">
        <v>1</v>
      </c>
      <c r="I55" t="s">
        <v>32</v>
      </c>
      <c r="J55" t="s">
        <v>19</v>
      </c>
      <c r="K55">
        <v>0.94</v>
      </c>
      <c r="L55" t="s">
        <v>33</v>
      </c>
      <c r="M55" t="s">
        <v>19</v>
      </c>
      <c r="N55">
        <v>1</v>
      </c>
      <c r="O55" t="s">
        <v>34</v>
      </c>
      <c r="P55" t="s">
        <v>19</v>
      </c>
      <c r="Q55">
        <v>0.98199999999999998</v>
      </c>
      <c r="R55" t="s">
        <v>23</v>
      </c>
      <c r="S55">
        <v>4</v>
      </c>
    </row>
    <row r="56" spans="1:19">
      <c r="A56">
        <v>55</v>
      </c>
      <c r="B56" t="s">
        <v>125</v>
      </c>
      <c r="C56">
        <v>171.02699999999999</v>
      </c>
      <c r="D56">
        <v>133.19999999999999</v>
      </c>
      <c r="E56">
        <v>-0.83603947507472798</v>
      </c>
      <c r="F56" t="s">
        <v>18</v>
      </c>
      <c r="G56" t="s">
        <v>19</v>
      </c>
      <c r="H56">
        <v>1</v>
      </c>
      <c r="I56" t="s">
        <v>20</v>
      </c>
      <c r="J56" t="s">
        <v>19</v>
      </c>
      <c r="K56">
        <v>0.74</v>
      </c>
      <c r="L56" t="s">
        <v>45</v>
      </c>
      <c r="M56" t="s">
        <v>19</v>
      </c>
      <c r="N56">
        <v>0.97</v>
      </c>
      <c r="O56" t="s">
        <v>51</v>
      </c>
      <c r="P56" t="s">
        <v>19</v>
      </c>
      <c r="Q56">
        <v>0.89700000000000002</v>
      </c>
      <c r="R56" t="s">
        <v>23</v>
      </c>
      <c r="S56">
        <v>4</v>
      </c>
    </row>
    <row r="57" spans="1:19">
      <c r="A57">
        <v>56</v>
      </c>
      <c r="B57" t="s">
        <v>126</v>
      </c>
      <c r="C57">
        <v>2443.8964999999998</v>
      </c>
      <c r="D57">
        <v>404</v>
      </c>
      <c r="E57">
        <v>-0.167762674881487</v>
      </c>
      <c r="F57" t="s">
        <v>18</v>
      </c>
      <c r="G57" t="s">
        <v>19</v>
      </c>
      <c r="H57">
        <v>1</v>
      </c>
      <c r="I57" t="s">
        <v>127</v>
      </c>
      <c r="J57" t="s">
        <v>19</v>
      </c>
      <c r="K57">
        <v>0.95</v>
      </c>
      <c r="L57" t="s">
        <v>128</v>
      </c>
      <c r="M57" t="s">
        <v>19</v>
      </c>
      <c r="N57">
        <v>1</v>
      </c>
      <c r="O57" t="s">
        <v>129</v>
      </c>
      <c r="P57" t="s">
        <v>19</v>
      </c>
      <c r="Q57">
        <v>1</v>
      </c>
      <c r="R57" t="s">
        <v>23</v>
      </c>
      <c r="S57">
        <v>4</v>
      </c>
    </row>
    <row r="58" spans="1:19">
      <c r="A58">
        <v>57</v>
      </c>
      <c r="B58" t="s">
        <v>130</v>
      </c>
      <c r="C58">
        <v>373.12869999999998</v>
      </c>
      <c r="D58">
        <v>186.7</v>
      </c>
      <c r="E58">
        <v>-0.71208243425496698</v>
      </c>
      <c r="F58" t="s">
        <v>18</v>
      </c>
      <c r="G58" t="s">
        <v>19</v>
      </c>
      <c r="H58">
        <v>1</v>
      </c>
      <c r="I58" t="s">
        <v>115</v>
      </c>
      <c r="J58" t="s">
        <v>19</v>
      </c>
      <c r="K58">
        <v>0.7</v>
      </c>
      <c r="L58" t="s">
        <v>116</v>
      </c>
      <c r="M58" t="s">
        <v>19</v>
      </c>
      <c r="N58">
        <v>0.99</v>
      </c>
      <c r="O58" t="s">
        <v>117</v>
      </c>
      <c r="P58" t="s">
        <v>19</v>
      </c>
      <c r="Q58">
        <v>0.998</v>
      </c>
      <c r="R58" t="s">
        <v>23</v>
      </c>
      <c r="S58">
        <v>4</v>
      </c>
    </row>
    <row r="59" spans="1:19">
      <c r="A59">
        <v>58</v>
      </c>
      <c r="B59" t="s">
        <v>131</v>
      </c>
      <c r="C59">
        <v>808.66420000000005</v>
      </c>
      <c r="D59">
        <v>298.89999999999998</v>
      </c>
      <c r="E59">
        <v>-0.76128443625714204</v>
      </c>
      <c r="F59" t="s">
        <v>18</v>
      </c>
      <c r="G59" t="s">
        <v>19</v>
      </c>
      <c r="H59">
        <v>1</v>
      </c>
      <c r="I59" t="s">
        <v>20</v>
      </c>
      <c r="J59" t="s">
        <v>19</v>
      </c>
      <c r="K59">
        <v>1</v>
      </c>
      <c r="L59" t="s">
        <v>67</v>
      </c>
      <c r="M59" t="s">
        <v>19</v>
      </c>
      <c r="N59">
        <v>1</v>
      </c>
      <c r="O59" t="s">
        <v>68</v>
      </c>
      <c r="P59" t="s">
        <v>19</v>
      </c>
      <c r="Q59">
        <v>0.79600000000000004</v>
      </c>
      <c r="R59" t="s">
        <v>23</v>
      </c>
      <c r="S59">
        <v>4</v>
      </c>
    </row>
    <row r="60" spans="1:19">
      <c r="A60">
        <v>59</v>
      </c>
      <c r="B60" t="s">
        <v>132</v>
      </c>
      <c r="C60">
        <v>839.4991</v>
      </c>
      <c r="D60">
        <v>289.5</v>
      </c>
      <c r="E60">
        <v>-0.56175566951253597</v>
      </c>
      <c r="F60" t="s">
        <v>18</v>
      </c>
      <c r="G60" t="s">
        <v>19</v>
      </c>
      <c r="H60">
        <v>1</v>
      </c>
      <c r="I60" t="s">
        <v>25</v>
      </c>
      <c r="J60" t="s">
        <v>19</v>
      </c>
      <c r="K60">
        <v>0.7</v>
      </c>
      <c r="L60" t="s">
        <v>26</v>
      </c>
      <c r="M60" t="s">
        <v>19</v>
      </c>
      <c r="N60">
        <v>0.83</v>
      </c>
      <c r="O60" t="s">
        <v>27</v>
      </c>
      <c r="P60" t="s">
        <v>19</v>
      </c>
      <c r="Q60">
        <v>1</v>
      </c>
      <c r="R60" t="s">
        <v>23</v>
      </c>
      <c r="S60">
        <v>4</v>
      </c>
    </row>
    <row r="61" spans="1:19">
      <c r="A61">
        <v>60</v>
      </c>
      <c r="B61" t="s">
        <v>133</v>
      </c>
      <c r="C61">
        <v>886.25490000000002</v>
      </c>
      <c r="D61">
        <v>204.5</v>
      </c>
      <c r="E61">
        <v>-0.26535039133250399</v>
      </c>
      <c r="F61" t="s">
        <v>18</v>
      </c>
      <c r="G61" t="s">
        <v>19</v>
      </c>
      <c r="H61">
        <v>0.89400000000000002</v>
      </c>
      <c r="I61" t="s">
        <v>74</v>
      </c>
      <c r="J61" t="s">
        <v>19</v>
      </c>
      <c r="K61">
        <v>0.71</v>
      </c>
      <c r="L61" t="s">
        <v>75</v>
      </c>
      <c r="M61" t="s">
        <v>19</v>
      </c>
      <c r="N61">
        <v>0.9</v>
      </c>
      <c r="O61" t="s">
        <v>134</v>
      </c>
      <c r="P61" t="s">
        <v>19</v>
      </c>
      <c r="Q61">
        <v>0.81799999999999995</v>
      </c>
      <c r="R61" t="s">
        <v>23</v>
      </c>
      <c r="S61">
        <v>4</v>
      </c>
    </row>
    <row r="62" spans="1:19">
      <c r="A62">
        <v>61</v>
      </c>
      <c r="B62" t="s">
        <v>135</v>
      </c>
      <c r="C62">
        <v>836.51819999999998</v>
      </c>
      <c r="D62">
        <v>280.2</v>
      </c>
      <c r="E62">
        <v>-0.58418399912568497</v>
      </c>
      <c r="F62" t="s">
        <v>18</v>
      </c>
      <c r="G62" t="s">
        <v>19</v>
      </c>
      <c r="H62">
        <v>1</v>
      </c>
      <c r="I62" t="s">
        <v>20</v>
      </c>
      <c r="J62" t="s">
        <v>19</v>
      </c>
      <c r="K62">
        <v>0.92</v>
      </c>
      <c r="L62" t="s">
        <v>21</v>
      </c>
      <c r="M62" t="s">
        <v>19</v>
      </c>
      <c r="N62">
        <v>1</v>
      </c>
      <c r="O62" t="s">
        <v>29</v>
      </c>
      <c r="P62" t="s">
        <v>19</v>
      </c>
      <c r="Q62">
        <v>0.79</v>
      </c>
      <c r="R62" t="s">
        <v>23</v>
      </c>
      <c r="S62">
        <v>4</v>
      </c>
    </row>
    <row r="63" spans="1:19">
      <c r="A63">
        <v>62</v>
      </c>
      <c r="B63" t="s">
        <v>136</v>
      </c>
      <c r="C63">
        <v>908.53930000000003</v>
      </c>
      <c r="D63">
        <v>299.8</v>
      </c>
      <c r="E63">
        <v>-0.52486870176517197</v>
      </c>
      <c r="F63" t="s">
        <v>18</v>
      </c>
      <c r="G63" t="s">
        <v>19</v>
      </c>
      <c r="H63">
        <v>0.998</v>
      </c>
      <c r="I63" t="s">
        <v>20</v>
      </c>
      <c r="J63" t="s">
        <v>19</v>
      </c>
      <c r="K63">
        <v>0.97</v>
      </c>
      <c r="L63" t="s">
        <v>21</v>
      </c>
      <c r="M63" t="s">
        <v>19</v>
      </c>
      <c r="N63">
        <v>1</v>
      </c>
      <c r="O63" t="s">
        <v>22</v>
      </c>
      <c r="P63" t="s">
        <v>19</v>
      </c>
      <c r="Q63">
        <v>1</v>
      </c>
      <c r="R63" t="s">
        <v>23</v>
      </c>
      <c r="S63">
        <v>4</v>
      </c>
    </row>
    <row r="64" spans="1:19">
      <c r="A64">
        <v>63</v>
      </c>
      <c r="B64" t="s">
        <v>137</v>
      </c>
      <c r="C64">
        <v>843.745</v>
      </c>
      <c r="D64">
        <v>403.4</v>
      </c>
      <c r="E64">
        <v>-0.80291490172282898</v>
      </c>
      <c r="F64" t="s">
        <v>18</v>
      </c>
      <c r="G64" t="s">
        <v>19</v>
      </c>
      <c r="H64">
        <v>1</v>
      </c>
      <c r="I64" t="s">
        <v>25</v>
      </c>
      <c r="J64" t="s">
        <v>19</v>
      </c>
      <c r="K64">
        <v>1</v>
      </c>
      <c r="L64" t="s">
        <v>26</v>
      </c>
      <c r="M64" t="s">
        <v>19</v>
      </c>
      <c r="N64">
        <v>0.96</v>
      </c>
      <c r="O64" t="s">
        <v>27</v>
      </c>
      <c r="P64" t="s">
        <v>19</v>
      </c>
      <c r="Q64">
        <v>1</v>
      </c>
      <c r="R64" t="s">
        <v>23</v>
      </c>
      <c r="S64">
        <v>4</v>
      </c>
    </row>
    <row r="65" spans="1:19">
      <c r="A65">
        <v>64</v>
      </c>
      <c r="B65" t="s">
        <v>138</v>
      </c>
      <c r="C65">
        <v>820.66420000000005</v>
      </c>
      <c r="D65">
        <v>298.60000000000002</v>
      </c>
      <c r="E65">
        <v>-0.74788581323798597</v>
      </c>
      <c r="F65" t="s">
        <v>18</v>
      </c>
      <c r="G65" t="s">
        <v>19</v>
      </c>
      <c r="H65">
        <v>1</v>
      </c>
      <c r="I65" t="s">
        <v>20</v>
      </c>
      <c r="J65" t="s">
        <v>19</v>
      </c>
      <c r="K65">
        <v>1</v>
      </c>
      <c r="L65" t="s">
        <v>67</v>
      </c>
      <c r="M65" t="s">
        <v>19</v>
      </c>
      <c r="N65">
        <v>0.99</v>
      </c>
      <c r="O65" t="s">
        <v>68</v>
      </c>
      <c r="P65" t="s">
        <v>19</v>
      </c>
      <c r="Q65">
        <v>0.92800000000000005</v>
      </c>
      <c r="R65" t="s">
        <v>23</v>
      </c>
      <c r="S65">
        <v>4</v>
      </c>
    </row>
    <row r="66" spans="1:19">
      <c r="A66">
        <v>65</v>
      </c>
      <c r="B66" t="s">
        <v>139</v>
      </c>
      <c r="C66">
        <v>926.51130000000001</v>
      </c>
      <c r="D66">
        <v>314.39999999999998</v>
      </c>
      <c r="E66">
        <v>-0.47680203069000998</v>
      </c>
      <c r="F66" t="s">
        <v>18</v>
      </c>
      <c r="G66" t="s">
        <v>19</v>
      </c>
      <c r="H66">
        <v>1</v>
      </c>
      <c r="I66" t="s">
        <v>32</v>
      </c>
      <c r="J66" t="s">
        <v>19</v>
      </c>
      <c r="K66">
        <v>0.98</v>
      </c>
      <c r="L66" t="s">
        <v>33</v>
      </c>
      <c r="M66" t="s">
        <v>19</v>
      </c>
      <c r="N66">
        <v>1</v>
      </c>
      <c r="O66" t="s">
        <v>34</v>
      </c>
      <c r="P66" t="s">
        <v>19</v>
      </c>
      <c r="Q66">
        <v>1</v>
      </c>
      <c r="R66" t="s">
        <v>23</v>
      </c>
      <c r="S66">
        <v>4</v>
      </c>
    </row>
    <row r="67" spans="1:19">
      <c r="A67">
        <v>66</v>
      </c>
      <c r="B67" t="s">
        <v>140</v>
      </c>
      <c r="C67">
        <v>826.57280000000003</v>
      </c>
      <c r="D67">
        <v>292.2</v>
      </c>
      <c r="E67">
        <v>-0.64988855457363603</v>
      </c>
      <c r="F67" t="s">
        <v>18</v>
      </c>
      <c r="G67" t="s">
        <v>19</v>
      </c>
      <c r="H67">
        <v>1</v>
      </c>
      <c r="I67" t="s">
        <v>20</v>
      </c>
      <c r="J67" t="s">
        <v>19</v>
      </c>
      <c r="K67">
        <v>1</v>
      </c>
      <c r="L67" t="s">
        <v>21</v>
      </c>
      <c r="M67" t="s">
        <v>19</v>
      </c>
      <c r="N67">
        <v>1</v>
      </c>
      <c r="O67" t="s">
        <v>65</v>
      </c>
      <c r="P67" t="s">
        <v>19</v>
      </c>
      <c r="Q67">
        <v>0.89200000000000002</v>
      </c>
      <c r="R67" t="s">
        <v>23</v>
      </c>
      <c r="S67">
        <v>4</v>
      </c>
    </row>
    <row r="68" spans="1:19">
      <c r="A68">
        <v>67</v>
      </c>
      <c r="B68" t="s">
        <v>141</v>
      </c>
      <c r="C68">
        <v>1133.6208999999999</v>
      </c>
      <c r="D68">
        <v>324.7</v>
      </c>
      <c r="E68">
        <v>-0.35515340951860702</v>
      </c>
      <c r="F68" t="s">
        <v>18</v>
      </c>
      <c r="G68" t="s">
        <v>19</v>
      </c>
      <c r="H68">
        <v>1</v>
      </c>
      <c r="I68" t="s">
        <v>25</v>
      </c>
      <c r="J68" t="s">
        <v>19</v>
      </c>
      <c r="K68">
        <v>1</v>
      </c>
      <c r="L68" t="s">
        <v>36</v>
      </c>
      <c r="M68" t="s">
        <v>19</v>
      </c>
      <c r="N68">
        <v>0.67</v>
      </c>
      <c r="O68" t="s">
        <v>37</v>
      </c>
      <c r="P68" t="s">
        <v>19</v>
      </c>
      <c r="Q68">
        <v>0.95199999999999996</v>
      </c>
      <c r="R68" t="s">
        <v>23</v>
      </c>
      <c r="S68">
        <v>4</v>
      </c>
    </row>
    <row r="69" spans="1:19">
      <c r="A69">
        <v>68</v>
      </c>
      <c r="B69" t="s">
        <v>142</v>
      </c>
      <c r="C69">
        <v>189.0187</v>
      </c>
      <c r="D69">
        <v>140.4</v>
      </c>
      <c r="E69">
        <v>-0.80765080792687605</v>
      </c>
      <c r="F69" t="s">
        <v>18</v>
      </c>
      <c r="G69" t="s">
        <v>19</v>
      </c>
      <c r="H69">
        <v>1</v>
      </c>
      <c r="I69" t="s">
        <v>74</v>
      </c>
      <c r="J69" t="s">
        <v>19</v>
      </c>
      <c r="K69">
        <v>0.69</v>
      </c>
      <c r="L69" t="s">
        <v>119</v>
      </c>
      <c r="M69" t="s">
        <v>19</v>
      </c>
      <c r="N69">
        <v>0.71</v>
      </c>
      <c r="O69" t="s">
        <v>120</v>
      </c>
      <c r="P69" t="s">
        <v>19</v>
      </c>
      <c r="Q69">
        <v>0.91500000000000004</v>
      </c>
      <c r="R69" t="s">
        <v>23</v>
      </c>
      <c r="S69">
        <v>4</v>
      </c>
    </row>
    <row r="70" spans="1:19">
      <c r="A70">
        <v>69</v>
      </c>
      <c r="B70" t="s">
        <v>143</v>
      </c>
      <c r="C70">
        <v>786.43669999999997</v>
      </c>
      <c r="D70">
        <v>268.89999999999998</v>
      </c>
      <c r="E70">
        <v>-0.55860259402038503</v>
      </c>
      <c r="F70" t="s">
        <v>18</v>
      </c>
      <c r="G70" t="s">
        <v>19</v>
      </c>
      <c r="H70">
        <v>1</v>
      </c>
      <c r="I70" t="s">
        <v>32</v>
      </c>
      <c r="J70" t="s">
        <v>19</v>
      </c>
      <c r="K70">
        <v>0.65</v>
      </c>
      <c r="L70" t="s">
        <v>33</v>
      </c>
      <c r="M70" t="s">
        <v>19</v>
      </c>
      <c r="N70">
        <v>1</v>
      </c>
      <c r="O70" t="s">
        <v>34</v>
      </c>
      <c r="P70" t="s">
        <v>19</v>
      </c>
      <c r="Q70">
        <v>1</v>
      </c>
      <c r="R70" t="s">
        <v>23</v>
      </c>
      <c r="S70">
        <v>4</v>
      </c>
    </row>
    <row r="71" spans="1:19">
      <c r="A71">
        <v>70</v>
      </c>
      <c r="B71" t="s">
        <v>144</v>
      </c>
      <c r="C71">
        <v>323.06439999999998</v>
      </c>
      <c r="D71">
        <v>162.80000000000001</v>
      </c>
      <c r="E71">
        <v>-0.70368182445656702</v>
      </c>
      <c r="F71" t="s">
        <v>18</v>
      </c>
      <c r="G71" t="s">
        <v>19</v>
      </c>
      <c r="H71">
        <v>1</v>
      </c>
      <c r="I71" t="s">
        <v>53</v>
      </c>
      <c r="J71" t="s">
        <v>19</v>
      </c>
      <c r="K71">
        <v>0.7</v>
      </c>
      <c r="L71" t="s">
        <v>54</v>
      </c>
      <c r="M71" t="s">
        <v>19</v>
      </c>
      <c r="N71">
        <v>0.96</v>
      </c>
      <c r="O71" t="s">
        <v>145</v>
      </c>
      <c r="P71" t="s">
        <v>19</v>
      </c>
      <c r="Q71">
        <v>0.79700000000000004</v>
      </c>
      <c r="R71" t="s">
        <v>23</v>
      </c>
      <c r="S71">
        <v>4</v>
      </c>
    </row>
    <row r="72" spans="1:19">
      <c r="A72">
        <v>71</v>
      </c>
      <c r="B72" t="s">
        <v>146</v>
      </c>
      <c r="C72">
        <v>496.70229999999998</v>
      </c>
      <c r="D72">
        <v>176.9</v>
      </c>
      <c r="E72">
        <v>-0.14770609412795499</v>
      </c>
      <c r="F72" t="s">
        <v>18</v>
      </c>
      <c r="G72" t="s">
        <v>19</v>
      </c>
      <c r="H72">
        <v>1</v>
      </c>
      <c r="I72" t="s">
        <v>74</v>
      </c>
      <c r="J72" t="s">
        <v>19</v>
      </c>
      <c r="K72">
        <v>1</v>
      </c>
      <c r="L72" t="s">
        <v>75</v>
      </c>
      <c r="M72" t="s">
        <v>19</v>
      </c>
      <c r="N72">
        <v>1</v>
      </c>
      <c r="O72" t="s">
        <v>134</v>
      </c>
      <c r="P72" t="s">
        <v>19</v>
      </c>
      <c r="Q72">
        <v>0.999</v>
      </c>
      <c r="R72" t="s">
        <v>23</v>
      </c>
      <c r="S72">
        <v>4</v>
      </c>
    </row>
    <row r="73" spans="1:19">
      <c r="A73">
        <v>72</v>
      </c>
      <c r="B73" t="s">
        <v>147</v>
      </c>
      <c r="C73">
        <v>259.02280000000002</v>
      </c>
      <c r="D73">
        <v>149.69999999999999</v>
      </c>
      <c r="E73">
        <v>-0.73358759578542299</v>
      </c>
      <c r="F73" t="s">
        <v>18</v>
      </c>
      <c r="G73" t="s">
        <v>19</v>
      </c>
      <c r="H73">
        <v>1</v>
      </c>
      <c r="I73" t="s">
        <v>32</v>
      </c>
      <c r="J73" t="s">
        <v>19</v>
      </c>
      <c r="K73">
        <v>0.98</v>
      </c>
      <c r="L73" t="s">
        <v>33</v>
      </c>
      <c r="M73" t="s">
        <v>19</v>
      </c>
      <c r="N73">
        <v>1</v>
      </c>
      <c r="O73" t="s">
        <v>34</v>
      </c>
      <c r="P73" t="s">
        <v>19</v>
      </c>
      <c r="Q73">
        <v>1</v>
      </c>
      <c r="R73" t="s">
        <v>23</v>
      </c>
      <c r="S73">
        <v>4</v>
      </c>
    </row>
    <row r="74" spans="1:19">
      <c r="A74">
        <v>73</v>
      </c>
      <c r="B74" t="s">
        <v>148</v>
      </c>
      <c r="C74">
        <v>710.59339999999997</v>
      </c>
      <c r="D74">
        <v>281</v>
      </c>
      <c r="E74">
        <v>-0.79998557612293597</v>
      </c>
      <c r="F74" t="s">
        <v>18</v>
      </c>
      <c r="G74" t="s">
        <v>19</v>
      </c>
      <c r="H74">
        <v>1</v>
      </c>
      <c r="I74" t="s">
        <v>20</v>
      </c>
      <c r="J74" t="s">
        <v>19</v>
      </c>
      <c r="K74">
        <v>1</v>
      </c>
      <c r="L74" t="s">
        <v>67</v>
      </c>
      <c r="M74" t="s">
        <v>19</v>
      </c>
      <c r="N74">
        <v>0.98</v>
      </c>
      <c r="O74" t="s">
        <v>68</v>
      </c>
      <c r="P74" t="s">
        <v>19</v>
      </c>
      <c r="Q74">
        <v>0.876</v>
      </c>
      <c r="R74" t="s">
        <v>23</v>
      </c>
      <c r="S74">
        <v>4</v>
      </c>
    </row>
    <row r="75" spans="1:19">
      <c r="A75">
        <v>74</v>
      </c>
      <c r="B75" t="s">
        <v>149</v>
      </c>
      <c r="C75">
        <v>693.35699999999997</v>
      </c>
      <c r="D75">
        <v>253.6</v>
      </c>
      <c r="E75">
        <v>-0.582830911606948</v>
      </c>
      <c r="F75" t="s">
        <v>18</v>
      </c>
      <c r="G75" t="s">
        <v>19</v>
      </c>
      <c r="H75">
        <v>1</v>
      </c>
      <c r="I75" t="s">
        <v>25</v>
      </c>
      <c r="J75" t="s">
        <v>19</v>
      </c>
      <c r="K75">
        <v>0.89</v>
      </c>
      <c r="L75" t="s">
        <v>26</v>
      </c>
      <c r="M75" t="s">
        <v>19</v>
      </c>
      <c r="N75">
        <v>0.97</v>
      </c>
      <c r="O75" t="s">
        <v>27</v>
      </c>
      <c r="P75" t="s">
        <v>19</v>
      </c>
      <c r="Q75">
        <v>1</v>
      </c>
      <c r="R75" t="s">
        <v>23</v>
      </c>
      <c r="S75">
        <v>4</v>
      </c>
    </row>
    <row r="76" spans="1:19">
      <c r="A76">
        <v>75</v>
      </c>
      <c r="B76" t="s">
        <v>150</v>
      </c>
      <c r="C76">
        <v>816.53800000000001</v>
      </c>
      <c r="D76">
        <v>293.10000000000002</v>
      </c>
      <c r="E76">
        <v>-0.62629292976305395</v>
      </c>
      <c r="F76" t="s">
        <v>18</v>
      </c>
      <c r="G76" t="s">
        <v>19</v>
      </c>
      <c r="H76">
        <v>1</v>
      </c>
      <c r="I76" t="s">
        <v>20</v>
      </c>
      <c r="J76" t="s">
        <v>19</v>
      </c>
      <c r="K76">
        <v>0.98</v>
      </c>
      <c r="L76" t="s">
        <v>21</v>
      </c>
      <c r="M76" t="s">
        <v>19</v>
      </c>
      <c r="N76">
        <v>1</v>
      </c>
      <c r="O76" t="s">
        <v>65</v>
      </c>
      <c r="P76" t="s">
        <v>19</v>
      </c>
      <c r="Q76">
        <v>0.76900000000000002</v>
      </c>
      <c r="R76" t="s">
        <v>23</v>
      </c>
      <c r="S76">
        <v>4</v>
      </c>
    </row>
    <row r="77" spans="1:19">
      <c r="A77">
        <v>76</v>
      </c>
      <c r="B77" t="s">
        <v>151</v>
      </c>
      <c r="C77">
        <v>710.47360000000003</v>
      </c>
      <c r="D77">
        <v>286.2</v>
      </c>
      <c r="E77">
        <v>-0.68031933904285302</v>
      </c>
      <c r="F77" t="s">
        <v>18</v>
      </c>
      <c r="G77" t="s">
        <v>19</v>
      </c>
      <c r="H77">
        <v>1</v>
      </c>
      <c r="I77" t="s">
        <v>20</v>
      </c>
      <c r="J77" t="s">
        <v>19</v>
      </c>
      <c r="K77">
        <v>1</v>
      </c>
      <c r="L77" t="s">
        <v>21</v>
      </c>
      <c r="M77" t="s">
        <v>19</v>
      </c>
      <c r="N77">
        <v>0.99</v>
      </c>
      <c r="O77" t="s">
        <v>29</v>
      </c>
      <c r="P77" t="s">
        <v>19</v>
      </c>
      <c r="Q77">
        <v>0.81699999999999995</v>
      </c>
      <c r="R77" t="s">
        <v>23</v>
      </c>
      <c r="S77">
        <v>4</v>
      </c>
    </row>
    <row r="78" spans="1:19">
      <c r="A78">
        <v>77</v>
      </c>
      <c r="B78" t="s">
        <v>152</v>
      </c>
      <c r="C78">
        <v>245.09350000000001</v>
      </c>
      <c r="D78">
        <v>158.6</v>
      </c>
      <c r="E78">
        <v>-0.81984038242052304</v>
      </c>
      <c r="F78" t="s">
        <v>18</v>
      </c>
      <c r="G78" t="s">
        <v>19</v>
      </c>
      <c r="H78">
        <v>1</v>
      </c>
      <c r="I78" t="s">
        <v>25</v>
      </c>
      <c r="J78" t="s">
        <v>19</v>
      </c>
      <c r="K78">
        <v>0.84</v>
      </c>
      <c r="L78" t="s">
        <v>26</v>
      </c>
      <c r="M78" t="s">
        <v>19</v>
      </c>
      <c r="N78">
        <v>0.98</v>
      </c>
      <c r="O78" t="s">
        <v>27</v>
      </c>
      <c r="P78" t="s">
        <v>19</v>
      </c>
      <c r="Q78">
        <v>0.99299999999999999</v>
      </c>
      <c r="R78" t="s">
        <v>23</v>
      </c>
      <c r="S78">
        <v>4</v>
      </c>
    </row>
    <row r="79" spans="1:19">
      <c r="A79">
        <v>78</v>
      </c>
      <c r="B79" t="s">
        <v>153</v>
      </c>
      <c r="C79">
        <v>173.04259999999999</v>
      </c>
      <c r="D79">
        <v>140.9</v>
      </c>
      <c r="E79">
        <v>-0.84938895302829598</v>
      </c>
      <c r="F79" t="s">
        <v>18</v>
      </c>
      <c r="G79" t="s">
        <v>19</v>
      </c>
      <c r="H79">
        <v>1</v>
      </c>
      <c r="I79" t="s">
        <v>32</v>
      </c>
      <c r="J79" t="s">
        <v>19</v>
      </c>
      <c r="K79">
        <v>0.9</v>
      </c>
      <c r="L79" t="s">
        <v>33</v>
      </c>
      <c r="M79" t="s">
        <v>19</v>
      </c>
      <c r="N79">
        <v>1</v>
      </c>
      <c r="O79" t="s">
        <v>34</v>
      </c>
      <c r="P79" t="s">
        <v>19</v>
      </c>
      <c r="Q79">
        <v>0.98199999999999998</v>
      </c>
      <c r="R79" t="s">
        <v>23</v>
      </c>
      <c r="S79">
        <v>4</v>
      </c>
    </row>
    <row r="80" spans="1:19">
      <c r="A80">
        <v>79</v>
      </c>
      <c r="B80" t="s">
        <v>154</v>
      </c>
      <c r="C80">
        <v>524.37159999999994</v>
      </c>
      <c r="D80">
        <v>238.8</v>
      </c>
      <c r="E80">
        <v>-0.78611188413583499</v>
      </c>
      <c r="F80" t="s">
        <v>18</v>
      </c>
      <c r="G80" t="s">
        <v>19</v>
      </c>
      <c r="H80">
        <v>1</v>
      </c>
      <c r="I80" t="s">
        <v>20</v>
      </c>
      <c r="J80" t="s">
        <v>19</v>
      </c>
      <c r="K80">
        <v>1</v>
      </c>
      <c r="L80" t="s">
        <v>21</v>
      </c>
      <c r="M80" t="s">
        <v>19</v>
      </c>
      <c r="N80">
        <v>1</v>
      </c>
      <c r="O80" t="s">
        <v>65</v>
      </c>
      <c r="P80" t="s">
        <v>19</v>
      </c>
      <c r="Q80">
        <v>0.998</v>
      </c>
      <c r="R80" t="s">
        <v>23</v>
      </c>
      <c r="S80">
        <v>4</v>
      </c>
    </row>
    <row r="81" spans="1:19">
      <c r="A81">
        <v>80</v>
      </c>
      <c r="B81" t="s">
        <v>155</v>
      </c>
      <c r="C81">
        <v>203.04570000000001</v>
      </c>
      <c r="D81">
        <v>138.19999999999999</v>
      </c>
      <c r="E81">
        <v>-0.818988934169397</v>
      </c>
      <c r="F81" t="s">
        <v>18</v>
      </c>
      <c r="G81" t="s">
        <v>19</v>
      </c>
      <c r="H81">
        <v>1</v>
      </c>
      <c r="I81" t="s">
        <v>25</v>
      </c>
      <c r="J81" t="s">
        <v>19</v>
      </c>
      <c r="K81">
        <v>0.69</v>
      </c>
      <c r="L81" t="s">
        <v>26</v>
      </c>
      <c r="M81" t="s">
        <v>19</v>
      </c>
      <c r="N81">
        <v>1</v>
      </c>
      <c r="O81" t="s">
        <v>27</v>
      </c>
      <c r="P81" t="s">
        <v>19</v>
      </c>
      <c r="Q81">
        <v>0.999</v>
      </c>
      <c r="R81" t="s">
        <v>23</v>
      </c>
      <c r="S81">
        <v>4</v>
      </c>
    </row>
    <row r="82" spans="1:19">
      <c r="A82">
        <v>81</v>
      </c>
      <c r="B82" t="s">
        <v>156</v>
      </c>
      <c r="C82">
        <v>807.43650000000002</v>
      </c>
      <c r="D82">
        <v>281.8</v>
      </c>
      <c r="E82">
        <v>-0.53495522704713505</v>
      </c>
      <c r="F82" t="s">
        <v>18</v>
      </c>
      <c r="G82" t="s">
        <v>19</v>
      </c>
      <c r="H82">
        <v>1</v>
      </c>
      <c r="I82" t="s">
        <v>25</v>
      </c>
      <c r="J82" t="s">
        <v>19</v>
      </c>
      <c r="K82">
        <v>0.96</v>
      </c>
      <c r="L82" t="s">
        <v>26</v>
      </c>
      <c r="M82" t="s">
        <v>19</v>
      </c>
      <c r="N82">
        <v>0.91</v>
      </c>
      <c r="O82" t="s">
        <v>27</v>
      </c>
      <c r="P82" t="s">
        <v>19</v>
      </c>
      <c r="Q82">
        <v>1</v>
      </c>
      <c r="R82" t="s">
        <v>23</v>
      </c>
      <c r="S82">
        <v>4</v>
      </c>
    </row>
    <row r="83" spans="1:19">
      <c r="A83">
        <v>82</v>
      </c>
      <c r="B83" t="s">
        <v>157</v>
      </c>
      <c r="C83">
        <v>355.22489999999999</v>
      </c>
      <c r="D83">
        <v>209.3</v>
      </c>
      <c r="E83">
        <v>-0.82827295648922905</v>
      </c>
      <c r="F83" t="s">
        <v>18</v>
      </c>
      <c r="G83" t="s">
        <v>19</v>
      </c>
      <c r="H83">
        <v>1</v>
      </c>
      <c r="I83" t="s">
        <v>20</v>
      </c>
      <c r="J83" t="s">
        <v>19</v>
      </c>
      <c r="K83">
        <v>1</v>
      </c>
      <c r="L83" t="s">
        <v>85</v>
      </c>
      <c r="M83" t="s">
        <v>19</v>
      </c>
      <c r="N83">
        <v>0.96</v>
      </c>
      <c r="O83" t="s">
        <v>86</v>
      </c>
      <c r="P83" t="s">
        <v>19</v>
      </c>
      <c r="Q83">
        <v>0.58799999999999997</v>
      </c>
      <c r="R83" t="s">
        <v>23</v>
      </c>
      <c r="S83">
        <v>4</v>
      </c>
    </row>
    <row r="84" spans="1:19">
      <c r="A84">
        <v>83</v>
      </c>
      <c r="B84" t="s">
        <v>158</v>
      </c>
      <c r="C84">
        <v>160.07499999999999</v>
      </c>
      <c r="D84">
        <v>132.4</v>
      </c>
      <c r="E84">
        <v>-0.89626795168359796</v>
      </c>
      <c r="F84" t="s">
        <v>18</v>
      </c>
      <c r="G84" t="s">
        <v>19</v>
      </c>
      <c r="H84">
        <v>1</v>
      </c>
      <c r="I84" t="s">
        <v>39</v>
      </c>
      <c r="J84" t="s">
        <v>19</v>
      </c>
      <c r="K84">
        <v>0.64</v>
      </c>
      <c r="L84" t="s">
        <v>40</v>
      </c>
      <c r="M84" t="s">
        <v>19</v>
      </c>
      <c r="N84">
        <v>0.91</v>
      </c>
      <c r="O84" t="s">
        <v>159</v>
      </c>
      <c r="P84" t="s">
        <v>19</v>
      </c>
      <c r="Q84">
        <v>0.96499999999999997</v>
      </c>
      <c r="R84" t="s">
        <v>23</v>
      </c>
      <c r="S84">
        <v>4</v>
      </c>
    </row>
    <row r="85" spans="1:19">
      <c r="A85">
        <v>84</v>
      </c>
      <c r="B85" t="s">
        <v>160</v>
      </c>
      <c r="C85">
        <v>587.31529999999998</v>
      </c>
      <c r="D85">
        <v>226.2</v>
      </c>
      <c r="E85">
        <v>-0.65953197515807505</v>
      </c>
      <c r="F85" t="s">
        <v>18</v>
      </c>
      <c r="G85" t="s">
        <v>19</v>
      </c>
      <c r="H85">
        <v>1</v>
      </c>
      <c r="I85" t="s">
        <v>161</v>
      </c>
      <c r="J85" t="s">
        <v>19</v>
      </c>
      <c r="K85">
        <v>0.73</v>
      </c>
      <c r="L85" t="s">
        <v>26</v>
      </c>
      <c r="M85" t="s">
        <v>19</v>
      </c>
      <c r="N85">
        <v>1</v>
      </c>
      <c r="O85" t="s">
        <v>27</v>
      </c>
      <c r="P85" t="s">
        <v>19</v>
      </c>
      <c r="Q85">
        <v>0.996</v>
      </c>
      <c r="R85" t="s">
        <v>162</v>
      </c>
      <c r="S85">
        <v>4</v>
      </c>
    </row>
    <row r="86" spans="1:19">
      <c r="A86">
        <v>85</v>
      </c>
      <c r="B86" t="s">
        <v>163</v>
      </c>
      <c r="C86">
        <v>568.56679999999994</v>
      </c>
      <c r="D86">
        <v>263.99</v>
      </c>
      <c r="E86">
        <v>-0.93196564879770005</v>
      </c>
      <c r="F86" t="s">
        <v>18</v>
      </c>
      <c r="G86" t="s">
        <v>19</v>
      </c>
      <c r="H86">
        <v>1</v>
      </c>
      <c r="I86" t="s">
        <v>20</v>
      </c>
      <c r="J86" t="s">
        <v>19</v>
      </c>
      <c r="K86">
        <v>1</v>
      </c>
      <c r="L86" t="s">
        <v>67</v>
      </c>
      <c r="M86" t="s">
        <v>19</v>
      </c>
      <c r="N86">
        <v>1</v>
      </c>
      <c r="O86" t="s">
        <v>97</v>
      </c>
      <c r="P86" t="s">
        <v>19</v>
      </c>
      <c r="Q86">
        <v>1</v>
      </c>
      <c r="R86" t="s">
        <v>23</v>
      </c>
      <c r="S86">
        <v>4</v>
      </c>
    </row>
    <row r="87" spans="1:19">
      <c r="A87">
        <v>86</v>
      </c>
      <c r="B87" t="s">
        <v>164</v>
      </c>
      <c r="C87">
        <v>369.22770000000003</v>
      </c>
      <c r="D87">
        <v>196</v>
      </c>
      <c r="E87">
        <v>-0.81543810328815902</v>
      </c>
      <c r="F87" t="s">
        <v>18</v>
      </c>
      <c r="G87" t="s">
        <v>19</v>
      </c>
      <c r="H87">
        <v>1</v>
      </c>
      <c r="I87" t="s">
        <v>20</v>
      </c>
      <c r="J87" t="s">
        <v>19</v>
      </c>
      <c r="K87">
        <v>1</v>
      </c>
      <c r="L87" t="s">
        <v>45</v>
      </c>
      <c r="M87" t="s">
        <v>19</v>
      </c>
      <c r="N87">
        <v>0.96</v>
      </c>
      <c r="O87" t="s">
        <v>46</v>
      </c>
      <c r="P87" t="s">
        <v>19</v>
      </c>
      <c r="Q87">
        <v>0.94599999999999995</v>
      </c>
      <c r="R87" t="s">
        <v>23</v>
      </c>
      <c r="S87">
        <v>4</v>
      </c>
    </row>
    <row r="88" spans="1:19">
      <c r="A88">
        <v>87</v>
      </c>
      <c r="B88" t="s">
        <v>165</v>
      </c>
      <c r="C88">
        <v>239.01769999999999</v>
      </c>
      <c r="D88">
        <v>143.30000000000001</v>
      </c>
      <c r="E88">
        <v>-0.75082432856549997</v>
      </c>
      <c r="F88" t="s">
        <v>18</v>
      </c>
      <c r="G88" t="s">
        <v>19</v>
      </c>
      <c r="H88">
        <v>1</v>
      </c>
      <c r="I88" t="s">
        <v>25</v>
      </c>
      <c r="J88" t="s">
        <v>19</v>
      </c>
      <c r="K88">
        <v>0.94</v>
      </c>
      <c r="L88" t="s">
        <v>26</v>
      </c>
      <c r="M88" t="s">
        <v>19</v>
      </c>
      <c r="N88">
        <v>1</v>
      </c>
      <c r="O88" t="s">
        <v>27</v>
      </c>
      <c r="P88" t="s">
        <v>19</v>
      </c>
      <c r="Q88">
        <v>0.98699999999999999</v>
      </c>
      <c r="R88" t="s">
        <v>23</v>
      </c>
      <c r="S88">
        <v>4</v>
      </c>
    </row>
    <row r="89" spans="1:19">
      <c r="A89">
        <v>88</v>
      </c>
      <c r="B89" t="s">
        <v>166</v>
      </c>
      <c r="C89">
        <v>203.22309999999999</v>
      </c>
      <c r="D89">
        <v>148.6</v>
      </c>
      <c r="E89">
        <v>-0.99619085785906203</v>
      </c>
      <c r="F89" t="s">
        <v>18</v>
      </c>
      <c r="G89" t="s">
        <v>19</v>
      </c>
      <c r="H89">
        <v>0.99</v>
      </c>
      <c r="I89" t="s">
        <v>106</v>
      </c>
      <c r="J89" t="s">
        <v>19</v>
      </c>
      <c r="K89">
        <v>0.93</v>
      </c>
      <c r="L89" t="s">
        <v>107</v>
      </c>
      <c r="M89" t="s">
        <v>19</v>
      </c>
      <c r="N89">
        <v>0.99</v>
      </c>
      <c r="O89" t="s">
        <v>167</v>
      </c>
      <c r="P89" t="s">
        <v>19</v>
      </c>
      <c r="Q89">
        <v>0.879</v>
      </c>
      <c r="R89" t="s">
        <v>23</v>
      </c>
      <c r="S89">
        <v>4</v>
      </c>
    </row>
    <row r="90" spans="1:19">
      <c r="A90">
        <v>89</v>
      </c>
      <c r="B90" t="s">
        <v>168</v>
      </c>
      <c r="C90">
        <v>816.62419999999997</v>
      </c>
      <c r="D90">
        <v>294.89999999999998</v>
      </c>
      <c r="E90">
        <v>-0.712396682987674</v>
      </c>
      <c r="F90" t="s">
        <v>18</v>
      </c>
      <c r="G90" t="s">
        <v>19</v>
      </c>
      <c r="H90">
        <v>1</v>
      </c>
      <c r="I90" t="s">
        <v>20</v>
      </c>
      <c r="J90" t="s">
        <v>19</v>
      </c>
      <c r="K90">
        <v>1</v>
      </c>
      <c r="L90" t="s">
        <v>67</v>
      </c>
      <c r="M90" t="s">
        <v>19</v>
      </c>
      <c r="N90">
        <v>0.96</v>
      </c>
      <c r="O90" t="s">
        <v>68</v>
      </c>
      <c r="P90" t="s">
        <v>19</v>
      </c>
      <c r="Q90">
        <v>0.78600000000000003</v>
      </c>
      <c r="R90" t="s">
        <v>23</v>
      </c>
      <c r="S90">
        <v>4</v>
      </c>
    </row>
    <row r="91" spans="1:19">
      <c r="A91">
        <v>90</v>
      </c>
      <c r="B91" t="s">
        <v>169</v>
      </c>
      <c r="C91">
        <v>279.23320000000001</v>
      </c>
      <c r="D91">
        <v>174.6</v>
      </c>
      <c r="E91">
        <v>-0.92142163489648998</v>
      </c>
      <c r="F91" t="s">
        <v>18</v>
      </c>
      <c r="G91" t="s">
        <v>19</v>
      </c>
      <c r="H91">
        <v>1</v>
      </c>
      <c r="I91" t="s">
        <v>20</v>
      </c>
      <c r="J91" t="s">
        <v>19</v>
      </c>
      <c r="K91">
        <v>1</v>
      </c>
      <c r="L91" t="s">
        <v>45</v>
      </c>
      <c r="M91" t="s">
        <v>19</v>
      </c>
      <c r="N91">
        <v>1</v>
      </c>
      <c r="O91" t="s">
        <v>78</v>
      </c>
      <c r="P91" t="s">
        <v>19</v>
      </c>
      <c r="Q91">
        <v>0.871</v>
      </c>
      <c r="R91" t="s">
        <v>23</v>
      </c>
      <c r="S91">
        <v>4</v>
      </c>
    </row>
    <row r="92" spans="1:19">
      <c r="A92">
        <v>91</v>
      </c>
      <c r="B92" t="s">
        <v>170</v>
      </c>
      <c r="C92">
        <v>391.28440000000001</v>
      </c>
      <c r="D92">
        <v>202.1</v>
      </c>
      <c r="E92">
        <v>-0.84751065259251801</v>
      </c>
      <c r="F92" t="s">
        <v>18</v>
      </c>
      <c r="G92" t="s">
        <v>19</v>
      </c>
      <c r="H92">
        <v>1</v>
      </c>
      <c r="I92" t="s">
        <v>20</v>
      </c>
      <c r="J92" t="s">
        <v>19</v>
      </c>
      <c r="K92">
        <v>0.73</v>
      </c>
      <c r="L92" t="s">
        <v>85</v>
      </c>
      <c r="M92" t="s">
        <v>19</v>
      </c>
      <c r="N92">
        <v>0.78</v>
      </c>
      <c r="O92" t="s">
        <v>171</v>
      </c>
      <c r="P92" t="s">
        <v>19</v>
      </c>
      <c r="Q92">
        <v>0.74199999999999999</v>
      </c>
      <c r="R92" t="s">
        <v>23</v>
      </c>
      <c r="S92">
        <v>4</v>
      </c>
    </row>
    <row r="93" spans="1:19">
      <c r="A93">
        <v>92</v>
      </c>
      <c r="B93" t="s">
        <v>172</v>
      </c>
      <c r="C93">
        <v>485.24590000000001</v>
      </c>
      <c r="D93">
        <v>172.5</v>
      </c>
      <c r="E93">
        <v>-0.70409775952435905</v>
      </c>
      <c r="F93" t="s">
        <v>18</v>
      </c>
      <c r="G93" t="s">
        <v>19</v>
      </c>
      <c r="H93">
        <v>1</v>
      </c>
      <c r="I93" t="s">
        <v>32</v>
      </c>
      <c r="J93" t="s">
        <v>19</v>
      </c>
      <c r="K93">
        <v>0.83</v>
      </c>
      <c r="L93" t="s">
        <v>33</v>
      </c>
      <c r="M93" t="s">
        <v>19</v>
      </c>
      <c r="N93">
        <v>1</v>
      </c>
      <c r="O93" t="s">
        <v>34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93</v>
      </c>
      <c r="B94" t="s">
        <v>173</v>
      </c>
      <c r="C94">
        <v>872.63800000000003</v>
      </c>
      <c r="D94">
        <v>301.89999999999998</v>
      </c>
      <c r="E94">
        <v>-0.66365436714841097</v>
      </c>
      <c r="F94" t="s">
        <v>18</v>
      </c>
      <c r="G94" t="s">
        <v>19</v>
      </c>
      <c r="H94">
        <v>0.998</v>
      </c>
      <c r="I94" t="s">
        <v>20</v>
      </c>
      <c r="J94" t="s">
        <v>19</v>
      </c>
      <c r="K94">
        <v>1</v>
      </c>
      <c r="L94" t="s">
        <v>21</v>
      </c>
      <c r="M94" t="s">
        <v>19</v>
      </c>
      <c r="N94">
        <v>0.96</v>
      </c>
      <c r="O94" t="s">
        <v>22</v>
      </c>
      <c r="P94" t="s">
        <v>19</v>
      </c>
      <c r="Q94">
        <v>0.91800000000000004</v>
      </c>
      <c r="R94" t="s">
        <v>23</v>
      </c>
      <c r="S94">
        <v>4</v>
      </c>
    </row>
    <row r="95" spans="1:19">
      <c r="A95">
        <v>94</v>
      </c>
      <c r="B95" t="s">
        <v>174</v>
      </c>
      <c r="C95">
        <v>271.09699999999998</v>
      </c>
      <c r="D95">
        <v>163.19999999999999</v>
      </c>
      <c r="E95">
        <v>-0.79430612461385397</v>
      </c>
      <c r="F95" t="s">
        <v>18</v>
      </c>
      <c r="G95" t="s">
        <v>19</v>
      </c>
      <c r="H95">
        <v>1</v>
      </c>
      <c r="I95" t="s">
        <v>115</v>
      </c>
      <c r="J95" t="s">
        <v>19</v>
      </c>
      <c r="K95">
        <v>0.69</v>
      </c>
      <c r="L95" t="s">
        <v>116</v>
      </c>
      <c r="M95" t="s">
        <v>19</v>
      </c>
      <c r="N95">
        <v>0.95</v>
      </c>
      <c r="O95" t="s">
        <v>117</v>
      </c>
      <c r="P95" t="s">
        <v>19</v>
      </c>
      <c r="Q95">
        <v>0.99299999999999999</v>
      </c>
      <c r="R95" t="s">
        <v>23</v>
      </c>
      <c r="S95">
        <v>4</v>
      </c>
    </row>
    <row r="96" spans="1:19">
      <c r="A96">
        <v>95</v>
      </c>
      <c r="B96" t="s">
        <v>175</v>
      </c>
      <c r="C96">
        <v>544.33789999999999</v>
      </c>
      <c r="D96">
        <v>236.7</v>
      </c>
      <c r="E96">
        <v>-0.73011847357020099</v>
      </c>
      <c r="F96" t="s">
        <v>18</v>
      </c>
      <c r="G96" t="s">
        <v>19</v>
      </c>
      <c r="H96">
        <v>1</v>
      </c>
      <c r="I96" t="s">
        <v>20</v>
      </c>
      <c r="J96" t="s">
        <v>19</v>
      </c>
      <c r="K96">
        <v>0.79</v>
      </c>
      <c r="L96" t="s">
        <v>21</v>
      </c>
      <c r="M96" t="s">
        <v>19</v>
      </c>
      <c r="N96">
        <v>1</v>
      </c>
      <c r="O96" t="s">
        <v>65</v>
      </c>
      <c r="P96" t="s">
        <v>19</v>
      </c>
      <c r="Q96">
        <v>0.86299999999999999</v>
      </c>
      <c r="R96" t="s">
        <v>23</v>
      </c>
      <c r="S96">
        <v>4</v>
      </c>
    </row>
    <row r="97" spans="1:19">
      <c r="A97">
        <v>96</v>
      </c>
      <c r="B97" t="s">
        <v>176</v>
      </c>
      <c r="C97">
        <v>149.0094</v>
      </c>
      <c r="D97">
        <v>118.4</v>
      </c>
      <c r="E97">
        <v>-0.84302326859037202</v>
      </c>
      <c r="F97" t="s">
        <v>18</v>
      </c>
      <c r="G97" t="s">
        <v>19</v>
      </c>
      <c r="H97">
        <v>1</v>
      </c>
      <c r="I97" t="s">
        <v>32</v>
      </c>
      <c r="J97" t="s">
        <v>19</v>
      </c>
      <c r="K97">
        <v>0.93</v>
      </c>
      <c r="L97" t="s">
        <v>33</v>
      </c>
      <c r="M97" t="s">
        <v>19</v>
      </c>
      <c r="N97">
        <v>1</v>
      </c>
      <c r="O97" t="s">
        <v>34</v>
      </c>
      <c r="P97" t="s">
        <v>19</v>
      </c>
      <c r="Q97">
        <v>0.94699999999999995</v>
      </c>
      <c r="R97" t="s">
        <v>23</v>
      </c>
      <c r="S97">
        <v>4</v>
      </c>
    </row>
    <row r="98" spans="1:19">
      <c r="A98">
        <v>97</v>
      </c>
      <c r="B98" t="s">
        <v>177</v>
      </c>
      <c r="C98">
        <v>1442.6959999999999</v>
      </c>
      <c r="D98">
        <v>381.9</v>
      </c>
      <c r="E98">
        <v>-8.5155013725397993E-2</v>
      </c>
      <c r="F98" t="s">
        <v>18</v>
      </c>
      <c r="G98" t="s">
        <v>19</v>
      </c>
      <c r="H98">
        <v>1</v>
      </c>
      <c r="I98" t="s">
        <v>25</v>
      </c>
      <c r="J98" t="s">
        <v>19</v>
      </c>
      <c r="K98">
        <v>0.96</v>
      </c>
      <c r="L98" t="s">
        <v>26</v>
      </c>
      <c r="M98" t="s">
        <v>19</v>
      </c>
      <c r="N98">
        <v>0.99</v>
      </c>
      <c r="O98" t="s">
        <v>27</v>
      </c>
      <c r="P98" t="s">
        <v>19</v>
      </c>
      <c r="Q98">
        <v>1</v>
      </c>
      <c r="R98" t="s">
        <v>23</v>
      </c>
      <c r="S98">
        <v>4</v>
      </c>
    </row>
    <row r="99" spans="1:19">
      <c r="A99">
        <v>98</v>
      </c>
      <c r="B99" t="s">
        <v>178</v>
      </c>
      <c r="C99">
        <v>1050.7066</v>
      </c>
      <c r="D99">
        <v>336.2</v>
      </c>
      <c r="E99">
        <v>-0.53343153023547496</v>
      </c>
      <c r="F99" t="s">
        <v>18</v>
      </c>
      <c r="G99" t="s">
        <v>19</v>
      </c>
      <c r="H99">
        <v>1</v>
      </c>
      <c r="I99" t="s">
        <v>25</v>
      </c>
      <c r="J99" t="s">
        <v>19</v>
      </c>
      <c r="K99">
        <v>1</v>
      </c>
      <c r="L99" t="s">
        <v>36</v>
      </c>
      <c r="M99" t="s">
        <v>19</v>
      </c>
      <c r="N99">
        <v>0.99</v>
      </c>
      <c r="O99" t="s">
        <v>37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99</v>
      </c>
      <c r="B100" t="s">
        <v>179</v>
      </c>
      <c r="C100">
        <v>730.43380000000002</v>
      </c>
      <c r="D100">
        <v>195</v>
      </c>
      <c r="E100">
        <v>-0.61823273944378299</v>
      </c>
      <c r="F100" t="s">
        <v>18</v>
      </c>
      <c r="G100" t="s">
        <v>19</v>
      </c>
      <c r="H100">
        <v>0.88200000000000001</v>
      </c>
      <c r="I100" t="s">
        <v>74</v>
      </c>
      <c r="J100" t="s">
        <v>19</v>
      </c>
      <c r="K100">
        <v>0.68</v>
      </c>
      <c r="L100" t="s">
        <v>75</v>
      </c>
      <c r="M100" t="s">
        <v>19</v>
      </c>
      <c r="N100">
        <v>0.99</v>
      </c>
      <c r="O100" t="s">
        <v>134</v>
      </c>
      <c r="P100" t="s">
        <v>19</v>
      </c>
      <c r="Q100">
        <v>0.80100000000000005</v>
      </c>
      <c r="R100" t="s">
        <v>23</v>
      </c>
      <c r="S100">
        <v>4</v>
      </c>
    </row>
    <row r="101" spans="1:19">
      <c r="A101">
        <v>100</v>
      </c>
      <c r="B101" t="s">
        <v>180</v>
      </c>
      <c r="C101">
        <v>483.99270000000001</v>
      </c>
      <c r="D101">
        <v>188.5</v>
      </c>
      <c r="E101">
        <v>-0.45229702238833602</v>
      </c>
      <c r="F101" t="s">
        <v>18</v>
      </c>
      <c r="G101" t="s">
        <v>19</v>
      </c>
      <c r="H101">
        <v>1</v>
      </c>
      <c r="I101" t="s">
        <v>32</v>
      </c>
      <c r="J101" t="s">
        <v>19</v>
      </c>
      <c r="K101">
        <v>0.56999999999999995</v>
      </c>
      <c r="L101" t="s">
        <v>33</v>
      </c>
      <c r="M101" t="s">
        <v>19</v>
      </c>
      <c r="N101">
        <v>1</v>
      </c>
      <c r="O101" t="s">
        <v>34</v>
      </c>
      <c r="P101" t="s">
        <v>19</v>
      </c>
      <c r="Q101">
        <v>1</v>
      </c>
      <c r="R101" t="s">
        <v>23</v>
      </c>
      <c r="S101">
        <v>4</v>
      </c>
    </row>
    <row r="102" spans="1:19">
      <c r="A102">
        <v>101</v>
      </c>
      <c r="B102" t="s">
        <v>181</v>
      </c>
      <c r="C102">
        <v>341.10840000000002</v>
      </c>
      <c r="D102">
        <v>177.7</v>
      </c>
      <c r="E102">
        <v>-0.72753476164342601</v>
      </c>
      <c r="F102" t="s">
        <v>18</v>
      </c>
      <c r="G102" t="s">
        <v>19</v>
      </c>
      <c r="H102">
        <v>1</v>
      </c>
      <c r="I102" t="s">
        <v>32</v>
      </c>
      <c r="J102" t="s">
        <v>19</v>
      </c>
      <c r="K102">
        <v>0.99</v>
      </c>
      <c r="L102" t="s">
        <v>33</v>
      </c>
      <c r="M102" t="s">
        <v>19</v>
      </c>
      <c r="N102">
        <v>1</v>
      </c>
      <c r="O102" t="s">
        <v>34</v>
      </c>
      <c r="P102" t="s">
        <v>19</v>
      </c>
      <c r="Q102">
        <v>1</v>
      </c>
      <c r="R102" t="s">
        <v>23</v>
      </c>
      <c r="S102">
        <v>4</v>
      </c>
    </row>
    <row r="103" spans="1:19">
      <c r="A103">
        <v>102</v>
      </c>
      <c r="B103" t="s">
        <v>182</v>
      </c>
      <c r="C103">
        <v>810.53030000000001</v>
      </c>
      <c r="D103">
        <v>285.3</v>
      </c>
      <c r="E103">
        <v>-0.62530083872241005</v>
      </c>
      <c r="F103" t="s">
        <v>18</v>
      </c>
      <c r="G103" t="s">
        <v>19</v>
      </c>
      <c r="H103">
        <v>1</v>
      </c>
      <c r="I103" t="s">
        <v>20</v>
      </c>
      <c r="J103" t="s">
        <v>19</v>
      </c>
      <c r="K103">
        <v>1</v>
      </c>
      <c r="L103" t="s">
        <v>21</v>
      </c>
      <c r="M103" t="s">
        <v>19</v>
      </c>
      <c r="N103">
        <v>1</v>
      </c>
      <c r="O103" t="s">
        <v>22</v>
      </c>
      <c r="P103" t="s">
        <v>19</v>
      </c>
      <c r="Q103">
        <v>0.70899999999999996</v>
      </c>
      <c r="R103" t="s">
        <v>23</v>
      </c>
      <c r="S103">
        <v>4</v>
      </c>
    </row>
    <row r="104" spans="1:19">
      <c r="A104">
        <v>103</v>
      </c>
      <c r="B104" t="s">
        <v>183</v>
      </c>
      <c r="C104">
        <v>820.70299999999997</v>
      </c>
      <c r="D104">
        <v>302.7</v>
      </c>
      <c r="E104">
        <v>-0.78664249102348505</v>
      </c>
      <c r="F104" t="s">
        <v>18</v>
      </c>
      <c r="G104" t="s">
        <v>19</v>
      </c>
      <c r="H104">
        <v>1</v>
      </c>
      <c r="I104" t="s">
        <v>20</v>
      </c>
      <c r="J104" t="s">
        <v>19</v>
      </c>
      <c r="K104">
        <v>1</v>
      </c>
      <c r="L104" t="s">
        <v>67</v>
      </c>
      <c r="M104" t="s">
        <v>19</v>
      </c>
      <c r="N104">
        <v>1</v>
      </c>
      <c r="O104" t="s">
        <v>68</v>
      </c>
      <c r="P104" t="s">
        <v>19</v>
      </c>
      <c r="Q104">
        <v>0.83199999999999996</v>
      </c>
      <c r="R104" t="s">
        <v>23</v>
      </c>
      <c r="S104">
        <v>4</v>
      </c>
    </row>
    <row r="105" spans="1:19">
      <c r="A105">
        <v>104</v>
      </c>
      <c r="B105" t="s">
        <v>184</v>
      </c>
      <c r="C105">
        <v>132.10239999999999</v>
      </c>
      <c r="D105">
        <v>133.6</v>
      </c>
      <c r="E105">
        <v>-0.954900811872477</v>
      </c>
      <c r="F105" t="s">
        <v>18</v>
      </c>
      <c r="G105" t="s">
        <v>19</v>
      </c>
      <c r="H105">
        <v>1</v>
      </c>
      <c r="I105" t="s">
        <v>25</v>
      </c>
      <c r="J105" t="s">
        <v>19</v>
      </c>
      <c r="K105">
        <v>1</v>
      </c>
      <c r="L105" t="s">
        <v>26</v>
      </c>
      <c r="M105" t="s">
        <v>19</v>
      </c>
      <c r="N105">
        <v>1</v>
      </c>
      <c r="O105" t="s">
        <v>27</v>
      </c>
      <c r="P105" t="s">
        <v>19</v>
      </c>
      <c r="Q105">
        <v>1</v>
      </c>
      <c r="R105" t="s">
        <v>23</v>
      </c>
      <c r="S105">
        <v>4</v>
      </c>
    </row>
    <row r="106" spans="1:19">
      <c r="A106">
        <v>105</v>
      </c>
      <c r="B106" t="s">
        <v>185</v>
      </c>
      <c r="C106">
        <v>2094.1327999999999</v>
      </c>
      <c r="D106">
        <v>460.3</v>
      </c>
      <c r="E106">
        <v>-0.79459200505652905</v>
      </c>
      <c r="F106" t="s">
        <v>18</v>
      </c>
      <c r="G106" t="s">
        <v>19</v>
      </c>
      <c r="H106">
        <v>1</v>
      </c>
      <c r="I106" t="s">
        <v>25</v>
      </c>
      <c r="J106" t="s">
        <v>19</v>
      </c>
      <c r="K106">
        <v>0.99</v>
      </c>
      <c r="L106" t="s">
        <v>26</v>
      </c>
      <c r="M106" t="s">
        <v>19</v>
      </c>
      <c r="N106">
        <v>0.99</v>
      </c>
      <c r="O106" t="s">
        <v>27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186</v>
      </c>
      <c r="C107">
        <v>308.10180000000003</v>
      </c>
      <c r="D107">
        <v>163.69999999999999</v>
      </c>
      <c r="E107">
        <v>-0.75778834418889596</v>
      </c>
      <c r="F107" t="s">
        <v>18</v>
      </c>
      <c r="G107" t="s">
        <v>19</v>
      </c>
      <c r="H107">
        <v>1</v>
      </c>
      <c r="I107" t="s">
        <v>32</v>
      </c>
      <c r="J107" t="s">
        <v>19</v>
      </c>
      <c r="K107">
        <v>0.79</v>
      </c>
      <c r="L107" t="s">
        <v>33</v>
      </c>
      <c r="M107" t="s">
        <v>19</v>
      </c>
      <c r="N107">
        <v>1</v>
      </c>
      <c r="O107" t="s">
        <v>34</v>
      </c>
      <c r="P107" t="s">
        <v>19</v>
      </c>
      <c r="Q107">
        <v>1</v>
      </c>
      <c r="R107" t="s">
        <v>23</v>
      </c>
      <c r="S107">
        <v>4</v>
      </c>
    </row>
    <row r="108" spans="1:19">
      <c r="A108">
        <v>107</v>
      </c>
      <c r="B108" t="s">
        <v>187</v>
      </c>
      <c r="C108">
        <v>190.0121</v>
      </c>
      <c r="D108">
        <v>136.19999999999999</v>
      </c>
      <c r="E108">
        <v>-0.79994162525127899</v>
      </c>
      <c r="F108" t="s">
        <v>18</v>
      </c>
      <c r="G108" t="s">
        <v>19</v>
      </c>
      <c r="H108">
        <v>1</v>
      </c>
      <c r="I108" t="s">
        <v>39</v>
      </c>
      <c r="J108" t="s">
        <v>19</v>
      </c>
      <c r="K108">
        <v>0.72</v>
      </c>
      <c r="L108" t="s">
        <v>188</v>
      </c>
      <c r="M108" t="s">
        <v>19</v>
      </c>
      <c r="N108">
        <v>0.63</v>
      </c>
      <c r="O108" t="s">
        <v>189</v>
      </c>
      <c r="P108" t="s">
        <v>19</v>
      </c>
      <c r="Q108">
        <v>0.999</v>
      </c>
      <c r="R108" t="s">
        <v>23</v>
      </c>
      <c r="S108">
        <v>4</v>
      </c>
    </row>
    <row r="109" spans="1:19">
      <c r="A109">
        <v>108</v>
      </c>
      <c r="B109" t="s">
        <v>190</v>
      </c>
      <c r="C109">
        <v>329.0154</v>
      </c>
      <c r="D109">
        <v>171.9</v>
      </c>
      <c r="E109">
        <v>-0.64803722399102504</v>
      </c>
      <c r="F109" t="s">
        <v>18</v>
      </c>
      <c r="G109" t="s">
        <v>19</v>
      </c>
      <c r="H109">
        <v>1</v>
      </c>
      <c r="I109" t="s">
        <v>53</v>
      </c>
      <c r="J109" t="s">
        <v>19</v>
      </c>
      <c r="K109">
        <v>0.99</v>
      </c>
      <c r="L109" t="s">
        <v>54</v>
      </c>
      <c r="M109" t="s">
        <v>19</v>
      </c>
      <c r="N109">
        <v>0.86</v>
      </c>
      <c r="O109" t="s">
        <v>145</v>
      </c>
      <c r="P109" t="s">
        <v>19</v>
      </c>
      <c r="Q109">
        <v>0.95099999999999996</v>
      </c>
      <c r="R109" t="s">
        <v>23</v>
      </c>
      <c r="S109">
        <v>4</v>
      </c>
    </row>
    <row r="110" spans="1:19">
      <c r="A110">
        <v>109</v>
      </c>
      <c r="B110" t="s">
        <v>191</v>
      </c>
      <c r="C110">
        <v>166.0729</v>
      </c>
      <c r="D110">
        <v>133.4</v>
      </c>
      <c r="E110">
        <v>-0.887470984933032</v>
      </c>
      <c r="F110" t="s">
        <v>18</v>
      </c>
      <c r="G110" t="s">
        <v>19</v>
      </c>
      <c r="H110">
        <v>1</v>
      </c>
      <c r="I110" t="s">
        <v>39</v>
      </c>
      <c r="J110" t="s">
        <v>19</v>
      </c>
      <c r="K110">
        <v>0.68</v>
      </c>
      <c r="L110" t="s">
        <v>188</v>
      </c>
      <c r="M110" t="s">
        <v>19</v>
      </c>
      <c r="N110">
        <v>0.53</v>
      </c>
      <c r="O110" t="s">
        <v>189</v>
      </c>
      <c r="P110" t="s">
        <v>19</v>
      </c>
      <c r="Q110">
        <v>1</v>
      </c>
      <c r="R110" t="s">
        <v>23</v>
      </c>
      <c r="S110">
        <v>4</v>
      </c>
    </row>
    <row r="111" spans="1:19">
      <c r="A111">
        <v>110</v>
      </c>
      <c r="B111" t="s">
        <v>192</v>
      </c>
      <c r="C111">
        <v>768.49450000000002</v>
      </c>
      <c r="D111">
        <v>278.5</v>
      </c>
      <c r="E111">
        <v>-0.63643599184831601</v>
      </c>
      <c r="F111" t="s">
        <v>18</v>
      </c>
      <c r="G111" t="s">
        <v>19</v>
      </c>
      <c r="H111">
        <v>1</v>
      </c>
      <c r="I111" t="s">
        <v>20</v>
      </c>
      <c r="J111" t="s">
        <v>19</v>
      </c>
      <c r="K111">
        <v>1</v>
      </c>
      <c r="L111" t="s">
        <v>21</v>
      </c>
      <c r="M111" t="s">
        <v>19</v>
      </c>
      <c r="N111">
        <v>1</v>
      </c>
      <c r="O111" t="s">
        <v>29</v>
      </c>
      <c r="P111" t="s">
        <v>19</v>
      </c>
      <c r="Q111">
        <v>0.90200000000000002</v>
      </c>
      <c r="R111" t="s">
        <v>23</v>
      </c>
      <c r="S111">
        <v>4</v>
      </c>
    </row>
    <row r="112" spans="1:19">
      <c r="A112">
        <v>111</v>
      </c>
      <c r="B112" t="s">
        <v>193</v>
      </c>
      <c r="C112">
        <v>114.0564</v>
      </c>
      <c r="D112">
        <v>125.1</v>
      </c>
      <c r="E112">
        <v>-0.92905010778950703</v>
      </c>
      <c r="F112" t="s">
        <v>18</v>
      </c>
      <c r="G112" t="s">
        <v>19</v>
      </c>
      <c r="H112">
        <v>1</v>
      </c>
      <c r="I112" t="s">
        <v>25</v>
      </c>
      <c r="J112" t="s">
        <v>19</v>
      </c>
      <c r="K112">
        <v>0.98</v>
      </c>
      <c r="L112" t="s">
        <v>26</v>
      </c>
      <c r="M112" t="s">
        <v>19</v>
      </c>
      <c r="N112">
        <v>1</v>
      </c>
      <c r="O112" t="s">
        <v>27</v>
      </c>
      <c r="P112" t="s">
        <v>19</v>
      </c>
      <c r="Q112">
        <v>1</v>
      </c>
      <c r="R112" t="s">
        <v>23</v>
      </c>
      <c r="S112">
        <v>4</v>
      </c>
    </row>
    <row r="113" spans="1:19">
      <c r="A113">
        <v>112</v>
      </c>
      <c r="B113" t="s">
        <v>194</v>
      </c>
      <c r="C113">
        <v>281.08730000000003</v>
      </c>
      <c r="D113">
        <v>166.4</v>
      </c>
      <c r="E113">
        <v>-0.77345143598483901</v>
      </c>
      <c r="F113" t="s">
        <v>18</v>
      </c>
      <c r="G113" t="s">
        <v>19</v>
      </c>
      <c r="H113">
        <v>1</v>
      </c>
      <c r="I113" t="s">
        <v>32</v>
      </c>
      <c r="J113" t="s">
        <v>19</v>
      </c>
      <c r="K113">
        <v>0.66</v>
      </c>
      <c r="L113" t="s">
        <v>33</v>
      </c>
      <c r="M113" t="s">
        <v>19</v>
      </c>
      <c r="N113">
        <v>1</v>
      </c>
      <c r="O113" t="s">
        <v>34</v>
      </c>
      <c r="P113" t="s">
        <v>19</v>
      </c>
      <c r="Q113">
        <v>1</v>
      </c>
      <c r="R113" t="s">
        <v>23</v>
      </c>
      <c r="S113">
        <v>4</v>
      </c>
    </row>
    <row r="114" spans="1:19">
      <c r="A114">
        <v>114</v>
      </c>
      <c r="B114" t="s">
        <v>199</v>
      </c>
      <c r="C114">
        <v>375.28989999999999</v>
      </c>
      <c r="D114">
        <v>201.4</v>
      </c>
      <c r="E114">
        <v>-0.87086934224919299</v>
      </c>
      <c r="F114" t="s">
        <v>18</v>
      </c>
      <c r="G114" t="s">
        <v>19</v>
      </c>
      <c r="H114">
        <v>1</v>
      </c>
      <c r="I114" t="s">
        <v>20</v>
      </c>
      <c r="J114" t="s">
        <v>19</v>
      </c>
      <c r="K114">
        <v>0.96</v>
      </c>
      <c r="L114" t="s">
        <v>85</v>
      </c>
      <c r="M114" t="s">
        <v>19</v>
      </c>
      <c r="N114">
        <v>0.77</v>
      </c>
      <c r="O114" t="s">
        <v>171</v>
      </c>
      <c r="P114" t="s">
        <v>19</v>
      </c>
      <c r="Q114">
        <v>0.67900000000000005</v>
      </c>
      <c r="R114" t="s">
        <v>23</v>
      </c>
      <c r="S114">
        <v>4</v>
      </c>
    </row>
    <row r="115" spans="1:19">
      <c r="A115">
        <v>115</v>
      </c>
      <c r="B115" t="s">
        <v>200</v>
      </c>
      <c r="C115">
        <v>407.27980000000002</v>
      </c>
      <c r="D115">
        <v>203.3</v>
      </c>
      <c r="E115">
        <v>-0.82505095803912798</v>
      </c>
      <c r="F115" t="s">
        <v>18</v>
      </c>
      <c r="G115" t="s">
        <v>19</v>
      </c>
      <c r="H115">
        <v>1</v>
      </c>
      <c r="I115" t="s">
        <v>20</v>
      </c>
      <c r="J115" t="s">
        <v>19</v>
      </c>
      <c r="K115">
        <v>0.98</v>
      </c>
      <c r="L115" t="s">
        <v>85</v>
      </c>
      <c r="M115" t="s">
        <v>19</v>
      </c>
      <c r="N115">
        <v>0.95</v>
      </c>
      <c r="O115" t="s">
        <v>171</v>
      </c>
      <c r="P115" t="s">
        <v>19</v>
      </c>
      <c r="Q115">
        <v>0.98899999999999999</v>
      </c>
      <c r="R115" t="s">
        <v>23</v>
      </c>
      <c r="S115">
        <v>4</v>
      </c>
    </row>
    <row r="116" spans="1:19">
      <c r="A116">
        <v>116</v>
      </c>
      <c r="B116" t="s">
        <v>201</v>
      </c>
      <c r="C116">
        <v>644.01149999999996</v>
      </c>
      <c r="D116">
        <v>205.1</v>
      </c>
      <c r="E116">
        <v>-0.29242772428972302</v>
      </c>
      <c r="F116" t="s">
        <v>18</v>
      </c>
      <c r="G116" t="s">
        <v>19</v>
      </c>
      <c r="H116">
        <v>1</v>
      </c>
      <c r="I116" t="s">
        <v>127</v>
      </c>
      <c r="J116" t="s">
        <v>19</v>
      </c>
      <c r="K116">
        <v>0.78</v>
      </c>
      <c r="L116" t="s">
        <v>128</v>
      </c>
      <c r="M116" t="s">
        <v>19</v>
      </c>
      <c r="N116">
        <v>0.96</v>
      </c>
      <c r="O116" t="s">
        <v>129</v>
      </c>
      <c r="P116" t="s">
        <v>19</v>
      </c>
      <c r="Q116">
        <v>0.99</v>
      </c>
      <c r="R116" t="s">
        <v>23</v>
      </c>
      <c r="S116">
        <v>4</v>
      </c>
    </row>
    <row r="117" spans="1:19">
      <c r="A117">
        <v>117</v>
      </c>
      <c r="B117" t="s">
        <v>202</v>
      </c>
      <c r="C117">
        <v>319.2235</v>
      </c>
      <c r="D117">
        <v>187</v>
      </c>
      <c r="E117">
        <v>-0.86707038871946895</v>
      </c>
      <c r="F117" t="s">
        <v>18</v>
      </c>
      <c r="G117" t="s">
        <v>19</v>
      </c>
      <c r="H117">
        <v>1</v>
      </c>
      <c r="I117" t="s">
        <v>20</v>
      </c>
      <c r="J117" t="s">
        <v>19</v>
      </c>
      <c r="K117">
        <v>1</v>
      </c>
      <c r="L117" t="s">
        <v>45</v>
      </c>
      <c r="M117" t="s">
        <v>19</v>
      </c>
      <c r="N117">
        <v>0.93</v>
      </c>
      <c r="O117" t="s">
        <v>51</v>
      </c>
      <c r="P117" t="s">
        <v>19</v>
      </c>
      <c r="Q117">
        <v>0.61099999999999999</v>
      </c>
      <c r="R117" t="s">
        <v>23</v>
      </c>
      <c r="S117">
        <v>4</v>
      </c>
    </row>
    <row r="118" spans="1:19">
      <c r="A118">
        <v>118</v>
      </c>
      <c r="B118" t="s">
        <v>203</v>
      </c>
      <c r="C118">
        <v>830.5951</v>
      </c>
      <c r="D118">
        <v>295.5</v>
      </c>
      <c r="E118">
        <v>-0.66769744779276197</v>
      </c>
      <c r="F118" t="s">
        <v>18</v>
      </c>
      <c r="G118" t="s">
        <v>19</v>
      </c>
      <c r="H118">
        <v>1</v>
      </c>
      <c r="I118" t="s">
        <v>20</v>
      </c>
      <c r="J118" t="s">
        <v>19</v>
      </c>
      <c r="K118">
        <v>1</v>
      </c>
      <c r="L118" t="s">
        <v>21</v>
      </c>
      <c r="M118" t="s">
        <v>19</v>
      </c>
      <c r="N118">
        <v>1</v>
      </c>
      <c r="O118" t="s">
        <v>65</v>
      </c>
      <c r="P118" t="s">
        <v>19</v>
      </c>
      <c r="Q118">
        <v>0.876</v>
      </c>
      <c r="R118" t="s">
        <v>23</v>
      </c>
      <c r="S118">
        <v>4</v>
      </c>
    </row>
    <row r="119" spans="1:19">
      <c r="A119">
        <v>119</v>
      </c>
      <c r="B119" t="s">
        <v>204</v>
      </c>
      <c r="C119">
        <v>343.22109999999998</v>
      </c>
      <c r="D119">
        <v>187</v>
      </c>
      <c r="E119">
        <v>-0.83787582240569203</v>
      </c>
      <c r="F119" t="s">
        <v>18</v>
      </c>
      <c r="G119" t="s">
        <v>19</v>
      </c>
      <c r="H119">
        <v>1</v>
      </c>
      <c r="I119" t="s">
        <v>20</v>
      </c>
      <c r="J119" t="s">
        <v>19</v>
      </c>
      <c r="K119">
        <v>1</v>
      </c>
      <c r="L119" t="s">
        <v>45</v>
      </c>
      <c r="M119" t="s">
        <v>19</v>
      </c>
      <c r="N119">
        <v>0.92</v>
      </c>
      <c r="O119" t="s">
        <v>46</v>
      </c>
      <c r="P119" t="s">
        <v>19</v>
      </c>
      <c r="Q119">
        <v>0.92600000000000005</v>
      </c>
      <c r="R119" t="s">
        <v>23</v>
      </c>
      <c r="S119">
        <v>4</v>
      </c>
    </row>
    <row r="120" spans="1:19">
      <c r="A120">
        <v>120</v>
      </c>
      <c r="B120" t="s">
        <v>205</v>
      </c>
      <c r="C120">
        <v>612.072</v>
      </c>
      <c r="D120">
        <v>225.6</v>
      </c>
      <c r="E120">
        <v>-0.38858983428315202</v>
      </c>
      <c r="F120" t="s">
        <v>18</v>
      </c>
      <c r="G120" t="s">
        <v>19</v>
      </c>
      <c r="H120">
        <v>1</v>
      </c>
      <c r="I120" t="s">
        <v>53</v>
      </c>
      <c r="J120" t="s">
        <v>19</v>
      </c>
      <c r="K120">
        <v>1</v>
      </c>
      <c r="L120" t="s">
        <v>80</v>
      </c>
      <c r="M120" t="s">
        <v>19</v>
      </c>
      <c r="N120">
        <v>0.77</v>
      </c>
      <c r="O120" t="s">
        <v>206</v>
      </c>
      <c r="P120" t="s">
        <v>19</v>
      </c>
      <c r="Q120">
        <v>0.93100000000000005</v>
      </c>
      <c r="R120" t="s">
        <v>23</v>
      </c>
      <c r="S120">
        <v>4</v>
      </c>
    </row>
    <row r="121" spans="1:19">
      <c r="A121">
        <v>121</v>
      </c>
      <c r="B121" t="s">
        <v>207</v>
      </c>
      <c r="C121">
        <v>1642.6965</v>
      </c>
      <c r="D121">
        <v>389.6</v>
      </c>
      <c r="E121">
        <v>-0.86234407179654204</v>
      </c>
      <c r="F121" t="s">
        <v>18</v>
      </c>
      <c r="G121" t="s">
        <v>19</v>
      </c>
      <c r="H121">
        <v>1</v>
      </c>
      <c r="I121" t="s">
        <v>25</v>
      </c>
      <c r="J121" t="s">
        <v>19</v>
      </c>
      <c r="K121">
        <v>1</v>
      </c>
      <c r="L121" t="s">
        <v>36</v>
      </c>
      <c r="M121" t="s">
        <v>19</v>
      </c>
      <c r="N121">
        <v>0.72</v>
      </c>
      <c r="O121" t="s">
        <v>37</v>
      </c>
      <c r="P121" t="s">
        <v>19</v>
      </c>
      <c r="Q121">
        <v>0.996</v>
      </c>
      <c r="R121" t="s">
        <v>23</v>
      </c>
      <c r="S121">
        <v>4</v>
      </c>
    </row>
    <row r="122" spans="1:19">
      <c r="A122">
        <v>122</v>
      </c>
      <c r="B122" t="s">
        <v>208</v>
      </c>
      <c r="C122">
        <v>824.55709999999999</v>
      </c>
      <c r="D122">
        <v>290.3</v>
      </c>
      <c r="E122">
        <v>-0.63643918827529</v>
      </c>
      <c r="F122" t="s">
        <v>18</v>
      </c>
      <c r="G122" t="s">
        <v>19</v>
      </c>
      <c r="H122">
        <v>1</v>
      </c>
      <c r="I122" t="s">
        <v>20</v>
      </c>
      <c r="J122" t="s">
        <v>19</v>
      </c>
      <c r="K122">
        <v>1</v>
      </c>
      <c r="L122" t="s">
        <v>21</v>
      </c>
      <c r="M122" t="s">
        <v>19</v>
      </c>
      <c r="N122">
        <v>1</v>
      </c>
      <c r="O122" t="s">
        <v>65</v>
      </c>
      <c r="P122" t="s">
        <v>19</v>
      </c>
      <c r="Q122">
        <v>0.83699999999999997</v>
      </c>
      <c r="R122" t="s">
        <v>23</v>
      </c>
      <c r="S122">
        <v>4</v>
      </c>
    </row>
    <row r="123" spans="1:19">
      <c r="A123">
        <v>123</v>
      </c>
      <c r="B123" t="s">
        <v>209</v>
      </c>
      <c r="C123">
        <v>778.53620000000001</v>
      </c>
      <c r="D123">
        <v>281.3</v>
      </c>
      <c r="E123">
        <v>-0.66692391245066995</v>
      </c>
      <c r="F123" t="s">
        <v>18</v>
      </c>
      <c r="G123" t="s">
        <v>19</v>
      </c>
      <c r="H123">
        <v>1</v>
      </c>
      <c r="I123" t="s">
        <v>20</v>
      </c>
      <c r="J123" t="s">
        <v>19</v>
      </c>
      <c r="K123">
        <v>1</v>
      </c>
      <c r="L123" t="s">
        <v>21</v>
      </c>
      <c r="M123" t="s">
        <v>19</v>
      </c>
      <c r="N123">
        <v>1</v>
      </c>
      <c r="O123" t="s">
        <v>29</v>
      </c>
      <c r="P123" t="s">
        <v>19</v>
      </c>
      <c r="Q123">
        <v>0.79400000000000004</v>
      </c>
      <c r="R123" t="s">
        <v>23</v>
      </c>
      <c r="S123">
        <v>4</v>
      </c>
    </row>
    <row r="124" spans="1:19">
      <c r="A124">
        <v>124</v>
      </c>
      <c r="B124" t="s">
        <v>210</v>
      </c>
      <c r="C124">
        <v>678.38210000000004</v>
      </c>
      <c r="D124">
        <v>254.4</v>
      </c>
      <c r="E124">
        <v>-0.624651164927855</v>
      </c>
      <c r="F124" t="s">
        <v>18</v>
      </c>
      <c r="G124" t="s">
        <v>19</v>
      </c>
      <c r="H124">
        <v>1</v>
      </c>
      <c r="I124" t="s">
        <v>25</v>
      </c>
      <c r="J124" t="s">
        <v>19</v>
      </c>
      <c r="K124">
        <v>0.93</v>
      </c>
      <c r="L124" t="s">
        <v>26</v>
      </c>
      <c r="M124" t="s">
        <v>19</v>
      </c>
      <c r="N124">
        <v>1</v>
      </c>
      <c r="O124" t="s">
        <v>27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125</v>
      </c>
      <c r="B125" t="s">
        <v>211</v>
      </c>
      <c r="C125">
        <v>138.05279999999999</v>
      </c>
      <c r="D125">
        <v>136.1</v>
      </c>
      <c r="E125">
        <v>-0.89865688133801302</v>
      </c>
      <c r="F125" t="s">
        <v>18</v>
      </c>
      <c r="G125" t="s">
        <v>19</v>
      </c>
      <c r="H125">
        <v>1</v>
      </c>
      <c r="I125" t="s">
        <v>32</v>
      </c>
      <c r="J125" t="s">
        <v>19</v>
      </c>
      <c r="K125">
        <v>0.56000000000000005</v>
      </c>
      <c r="L125" t="s">
        <v>33</v>
      </c>
      <c r="M125" t="s">
        <v>19</v>
      </c>
      <c r="N125">
        <v>1</v>
      </c>
      <c r="O125" t="s">
        <v>34</v>
      </c>
      <c r="P125" t="s">
        <v>19</v>
      </c>
      <c r="Q125">
        <v>0.96099999999999997</v>
      </c>
      <c r="R125" t="s">
        <v>23</v>
      </c>
      <c r="S125">
        <v>4</v>
      </c>
    </row>
    <row r="126" spans="1:19">
      <c r="A126">
        <v>126</v>
      </c>
      <c r="B126" t="s">
        <v>212</v>
      </c>
      <c r="C126">
        <v>514.26250000000005</v>
      </c>
      <c r="D126">
        <v>211.2</v>
      </c>
      <c r="E126">
        <v>-0.68829921913288705</v>
      </c>
      <c r="F126" t="s">
        <v>18</v>
      </c>
      <c r="G126" t="s">
        <v>19</v>
      </c>
      <c r="H126">
        <v>1</v>
      </c>
      <c r="I126" t="s">
        <v>161</v>
      </c>
      <c r="J126" t="s">
        <v>19</v>
      </c>
      <c r="K126">
        <v>0.69</v>
      </c>
      <c r="L126" t="s">
        <v>26</v>
      </c>
      <c r="M126" t="s">
        <v>19</v>
      </c>
      <c r="N126">
        <v>0.99</v>
      </c>
      <c r="O126" t="s">
        <v>27</v>
      </c>
      <c r="P126" t="s">
        <v>19</v>
      </c>
      <c r="Q126">
        <v>0.997</v>
      </c>
      <c r="R126" t="s">
        <v>162</v>
      </c>
      <c r="S126">
        <v>4</v>
      </c>
    </row>
    <row r="127" spans="1:19">
      <c r="A127">
        <v>127</v>
      </c>
      <c r="B127" t="s">
        <v>213</v>
      </c>
      <c r="C127">
        <v>304.90949999999998</v>
      </c>
      <c r="D127">
        <v>162.69999999999999</v>
      </c>
      <c r="E127">
        <v>-0.56905271287752202</v>
      </c>
      <c r="F127" t="s">
        <v>18</v>
      </c>
      <c r="G127" t="s">
        <v>19</v>
      </c>
      <c r="H127">
        <v>1</v>
      </c>
      <c r="I127" t="s">
        <v>74</v>
      </c>
      <c r="J127" t="s">
        <v>19</v>
      </c>
      <c r="K127">
        <v>1</v>
      </c>
      <c r="L127" t="s">
        <v>75</v>
      </c>
      <c r="M127" t="s">
        <v>19</v>
      </c>
      <c r="N127">
        <v>0.99</v>
      </c>
      <c r="O127" t="s">
        <v>76</v>
      </c>
      <c r="P127" t="s">
        <v>19</v>
      </c>
      <c r="Q127">
        <v>0.998</v>
      </c>
      <c r="R127" t="s">
        <v>23</v>
      </c>
      <c r="S127">
        <v>4</v>
      </c>
    </row>
    <row r="128" spans="1:19">
      <c r="A128">
        <v>128</v>
      </c>
      <c r="B128" t="s">
        <v>214</v>
      </c>
      <c r="C128">
        <v>1743.9412</v>
      </c>
      <c r="D128">
        <v>337.24</v>
      </c>
      <c r="E128">
        <v>-0.99399910779720801</v>
      </c>
      <c r="F128" t="s">
        <v>18</v>
      </c>
      <c r="G128" t="s">
        <v>19</v>
      </c>
      <c r="H128">
        <v>0.92800000000000005</v>
      </c>
      <c r="I128" t="s">
        <v>127</v>
      </c>
      <c r="J128" t="s">
        <v>19</v>
      </c>
      <c r="K128">
        <v>0.95</v>
      </c>
      <c r="L128" t="s">
        <v>128</v>
      </c>
      <c r="M128" t="s">
        <v>19</v>
      </c>
      <c r="N128">
        <v>0.98</v>
      </c>
      <c r="O128" t="s">
        <v>129</v>
      </c>
      <c r="P128" t="s">
        <v>19</v>
      </c>
      <c r="Q128">
        <v>1</v>
      </c>
      <c r="R128" t="s">
        <v>23</v>
      </c>
      <c r="S128">
        <v>4</v>
      </c>
    </row>
    <row r="129" spans="1:19">
      <c r="A129">
        <v>129</v>
      </c>
      <c r="B129" t="s">
        <v>215</v>
      </c>
      <c r="C129">
        <v>846.69510000000002</v>
      </c>
      <c r="D129">
        <v>308</v>
      </c>
      <c r="E129">
        <v>-0.749720961908793</v>
      </c>
      <c r="F129" t="s">
        <v>18</v>
      </c>
      <c r="G129" t="s">
        <v>19</v>
      </c>
      <c r="H129">
        <v>1</v>
      </c>
      <c r="I129" t="s">
        <v>20</v>
      </c>
      <c r="J129" t="s">
        <v>19</v>
      </c>
      <c r="K129">
        <v>1</v>
      </c>
      <c r="L129" t="s">
        <v>21</v>
      </c>
      <c r="M129" t="s">
        <v>19</v>
      </c>
      <c r="N129">
        <v>0.66</v>
      </c>
      <c r="O129" t="s">
        <v>65</v>
      </c>
      <c r="P129" t="s">
        <v>19</v>
      </c>
      <c r="Q129">
        <v>0.92</v>
      </c>
      <c r="R129" t="s">
        <v>23</v>
      </c>
      <c r="S129">
        <v>4</v>
      </c>
    </row>
    <row r="130" spans="1:19">
      <c r="A130">
        <v>130</v>
      </c>
      <c r="B130" t="s">
        <v>216</v>
      </c>
      <c r="C130">
        <v>1014.62</v>
      </c>
      <c r="D130">
        <v>321.7</v>
      </c>
      <c r="E130">
        <v>-0.48712409268910101</v>
      </c>
      <c r="F130" t="s">
        <v>18</v>
      </c>
      <c r="G130" t="s">
        <v>19</v>
      </c>
      <c r="H130">
        <v>1</v>
      </c>
      <c r="I130" t="s">
        <v>25</v>
      </c>
      <c r="J130" t="s">
        <v>19</v>
      </c>
      <c r="K130">
        <v>0.98</v>
      </c>
      <c r="L130" t="s">
        <v>26</v>
      </c>
      <c r="M130" t="s">
        <v>19</v>
      </c>
      <c r="N130">
        <v>0.96</v>
      </c>
      <c r="O130" t="s">
        <v>27</v>
      </c>
      <c r="P130" t="s">
        <v>19</v>
      </c>
      <c r="Q130">
        <v>1</v>
      </c>
      <c r="R130" t="s">
        <v>23</v>
      </c>
      <c r="S130">
        <v>4</v>
      </c>
    </row>
    <row r="131" spans="1:19">
      <c r="A131">
        <v>131</v>
      </c>
      <c r="B131" t="s">
        <v>217</v>
      </c>
      <c r="C131">
        <v>152.07130000000001</v>
      </c>
      <c r="D131">
        <v>133.30000000000001</v>
      </c>
      <c r="E131">
        <v>-0.90150449827183399</v>
      </c>
      <c r="F131" t="s">
        <v>18</v>
      </c>
      <c r="G131" t="s">
        <v>19</v>
      </c>
      <c r="H131">
        <v>1</v>
      </c>
      <c r="I131" t="s">
        <v>74</v>
      </c>
      <c r="J131" t="s">
        <v>19</v>
      </c>
      <c r="K131">
        <v>0.67</v>
      </c>
      <c r="L131" t="s">
        <v>119</v>
      </c>
      <c r="M131" t="s">
        <v>19</v>
      </c>
      <c r="N131">
        <v>0.83</v>
      </c>
      <c r="O131" t="s">
        <v>120</v>
      </c>
      <c r="P131" t="s">
        <v>19</v>
      </c>
      <c r="Q131">
        <v>1</v>
      </c>
      <c r="R131" t="s">
        <v>23</v>
      </c>
      <c r="S131">
        <v>4</v>
      </c>
    </row>
    <row r="132" spans="1:19">
      <c r="A132">
        <v>132</v>
      </c>
      <c r="B132" t="s">
        <v>218</v>
      </c>
      <c r="C132">
        <v>166.04769999999999</v>
      </c>
      <c r="D132">
        <v>127.9</v>
      </c>
      <c r="E132">
        <v>-0.86229912204137804</v>
      </c>
      <c r="F132" t="s">
        <v>18</v>
      </c>
      <c r="G132" t="s">
        <v>19</v>
      </c>
      <c r="H132">
        <v>1</v>
      </c>
      <c r="I132" t="s">
        <v>32</v>
      </c>
      <c r="J132" t="s">
        <v>19</v>
      </c>
      <c r="K132">
        <v>0.74</v>
      </c>
      <c r="L132" t="s">
        <v>33</v>
      </c>
      <c r="M132" t="s">
        <v>19</v>
      </c>
      <c r="N132">
        <v>1</v>
      </c>
      <c r="O132" t="s">
        <v>34</v>
      </c>
      <c r="P132" t="s">
        <v>19</v>
      </c>
      <c r="Q132">
        <v>0.95399999999999996</v>
      </c>
      <c r="R132" t="s">
        <v>23</v>
      </c>
      <c r="S132">
        <v>4</v>
      </c>
    </row>
    <row r="133" spans="1:19">
      <c r="A133">
        <v>133</v>
      </c>
      <c r="B133" t="s">
        <v>219</v>
      </c>
      <c r="C133">
        <v>303.08690000000001</v>
      </c>
      <c r="D133">
        <v>175.4</v>
      </c>
      <c r="E133">
        <v>-0.74848774040378896</v>
      </c>
      <c r="F133" t="s">
        <v>18</v>
      </c>
      <c r="G133" t="s">
        <v>19</v>
      </c>
      <c r="H133">
        <v>1</v>
      </c>
      <c r="I133" t="s">
        <v>115</v>
      </c>
      <c r="J133" t="s">
        <v>19</v>
      </c>
      <c r="K133">
        <v>0.64</v>
      </c>
      <c r="L133" t="s">
        <v>116</v>
      </c>
      <c r="M133" t="s">
        <v>19</v>
      </c>
      <c r="N133">
        <v>0.98</v>
      </c>
      <c r="O133" t="s">
        <v>117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134</v>
      </c>
      <c r="B134" t="s">
        <v>220</v>
      </c>
      <c r="C134">
        <v>447.0265</v>
      </c>
      <c r="D134">
        <v>187</v>
      </c>
      <c r="E134">
        <v>-0.52737170390935295</v>
      </c>
      <c r="F134" t="s">
        <v>18</v>
      </c>
      <c r="G134" t="s">
        <v>19</v>
      </c>
      <c r="H134">
        <v>1</v>
      </c>
      <c r="I134" t="s">
        <v>39</v>
      </c>
      <c r="J134" t="s">
        <v>19</v>
      </c>
      <c r="K134">
        <v>0.68</v>
      </c>
      <c r="L134" t="s">
        <v>221</v>
      </c>
      <c r="M134" t="s">
        <v>19</v>
      </c>
      <c r="N134">
        <v>0.81</v>
      </c>
      <c r="O134" t="s">
        <v>222</v>
      </c>
      <c r="P134" t="s">
        <v>19</v>
      </c>
      <c r="Q134">
        <v>0.97699999999999998</v>
      </c>
      <c r="R134" t="s">
        <v>23</v>
      </c>
      <c r="S134">
        <v>4</v>
      </c>
    </row>
    <row r="135" spans="1:19">
      <c r="A135">
        <v>135</v>
      </c>
      <c r="B135" t="s">
        <v>223</v>
      </c>
      <c r="C135">
        <v>793.60239999999999</v>
      </c>
      <c r="D135">
        <v>294.7</v>
      </c>
      <c r="E135">
        <v>-0.71630171793958697</v>
      </c>
      <c r="F135" t="s">
        <v>18</v>
      </c>
      <c r="G135" t="s">
        <v>19</v>
      </c>
      <c r="H135">
        <v>1</v>
      </c>
      <c r="I135" t="s">
        <v>20</v>
      </c>
      <c r="J135" t="s">
        <v>19</v>
      </c>
      <c r="K135">
        <v>1</v>
      </c>
      <c r="L135" t="s">
        <v>67</v>
      </c>
      <c r="M135" t="s">
        <v>19</v>
      </c>
      <c r="N135">
        <v>0.99</v>
      </c>
      <c r="O135" t="s">
        <v>224</v>
      </c>
      <c r="P135" t="s">
        <v>19</v>
      </c>
      <c r="Q135">
        <v>0.80900000000000005</v>
      </c>
      <c r="R135" t="s">
        <v>23</v>
      </c>
      <c r="S135">
        <v>4</v>
      </c>
    </row>
    <row r="136" spans="1:19">
      <c r="A136">
        <v>136</v>
      </c>
      <c r="B136" t="s">
        <v>225</v>
      </c>
      <c r="C136">
        <v>1222.1437000000001</v>
      </c>
      <c r="D136">
        <v>229.2</v>
      </c>
      <c r="E136">
        <v>-0.77911310736863004</v>
      </c>
      <c r="F136" t="s">
        <v>59</v>
      </c>
      <c r="G136" t="s">
        <v>19</v>
      </c>
      <c r="H136">
        <v>0.97199999999999998</v>
      </c>
      <c r="I136" t="s">
        <v>60</v>
      </c>
      <c r="J136" t="s">
        <v>19</v>
      </c>
      <c r="K136">
        <v>0.98</v>
      </c>
      <c r="L136" t="s">
        <v>61</v>
      </c>
      <c r="M136" t="s">
        <v>19</v>
      </c>
      <c r="N136">
        <v>0.9</v>
      </c>
      <c r="O136" t="s">
        <v>62</v>
      </c>
      <c r="P136" t="s">
        <v>19</v>
      </c>
      <c r="Q136">
        <v>0.999</v>
      </c>
      <c r="R136" t="s">
        <v>23</v>
      </c>
      <c r="S136">
        <v>4</v>
      </c>
    </row>
    <row r="137" spans="1:19">
      <c r="A137">
        <v>137</v>
      </c>
      <c r="B137" t="s">
        <v>226</v>
      </c>
      <c r="C137">
        <v>287.10079999999999</v>
      </c>
      <c r="D137">
        <v>170.2</v>
      </c>
      <c r="E137">
        <v>-0.78023705102435803</v>
      </c>
      <c r="F137" t="s">
        <v>18</v>
      </c>
      <c r="G137" t="s">
        <v>19</v>
      </c>
      <c r="H137">
        <v>1</v>
      </c>
      <c r="I137" t="s">
        <v>25</v>
      </c>
      <c r="J137" t="s">
        <v>19</v>
      </c>
      <c r="K137">
        <v>0.72</v>
      </c>
      <c r="L137" t="s">
        <v>26</v>
      </c>
      <c r="M137" t="s">
        <v>19</v>
      </c>
      <c r="N137">
        <v>1</v>
      </c>
      <c r="O137" t="s">
        <v>27</v>
      </c>
      <c r="P137" t="s">
        <v>19</v>
      </c>
      <c r="Q137">
        <v>1</v>
      </c>
      <c r="R137" t="s">
        <v>23</v>
      </c>
      <c r="S137">
        <v>4</v>
      </c>
    </row>
    <row r="138" spans="1:19">
      <c r="A138">
        <v>138</v>
      </c>
      <c r="B138" t="s">
        <v>227</v>
      </c>
      <c r="C138">
        <v>346.05579999999998</v>
      </c>
      <c r="D138">
        <v>174.1</v>
      </c>
      <c r="E138">
        <v>-0.66941073268299101</v>
      </c>
      <c r="F138" t="s">
        <v>18</v>
      </c>
      <c r="G138" t="s">
        <v>19</v>
      </c>
      <c r="H138">
        <v>1</v>
      </c>
      <c r="I138" t="s">
        <v>53</v>
      </c>
      <c r="J138" t="s">
        <v>19</v>
      </c>
      <c r="K138">
        <v>0.8</v>
      </c>
      <c r="L138" t="s">
        <v>80</v>
      </c>
      <c r="M138" t="s">
        <v>19</v>
      </c>
      <c r="N138">
        <v>0.96</v>
      </c>
      <c r="O138" t="s">
        <v>113</v>
      </c>
      <c r="P138" t="s">
        <v>19</v>
      </c>
      <c r="Q138">
        <v>0.68</v>
      </c>
      <c r="R138" t="s">
        <v>23</v>
      </c>
      <c r="S138">
        <v>4</v>
      </c>
    </row>
    <row r="139" spans="1:19">
      <c r="A139">
        <v>139</v>
      </c>
      <c r="B139" t="s">
        <v>228</v>
      </c>
      <c r="C139">
        <v>443.18490000000003</v>
      </c>
      <c r="D139">
        <v>207</v>
      </c>
      <c r="E139">
        <v>-0.69006104975858296</v>
      </c>
      <c r="F139" t="s">
        <v>18</v>
      </c>
      <c r="G139" t="s">
        <v>19</v>
      </c>
      <c r="H139">
        <v>1</v>
      </c>
      <c r="I139" t="s">
        <v>20</v>
      </c>
      <c r="J139" t="s">
        <v>19</v>
      </c>
      <c r="K139">
        <v>0.68</v>
      </c>
      <c r="L139" t="s">
        <v>85</v>
      </c>
      <c r="M139" t="s">
        <v>19</v>
      </c>
      <c r="N139">
        <v>0.74</v>
      </c>
      <c r="O139" t="s">
        <v>229</v>
      </c>
      <c r="P139" t="s">
        <v>19</v>
      </c>
      <c r="Q139">
        <v>0.61799999999999999</v>
      </c>
      <c r="R139" t="s">
        <v>23</v>
      </c>
      <c r="S139">
        <v>4</v>
      </c>
    </row>
    <row r="140" spans="1:19">
      <c r="A140">
        <v>140</v>
      </c>
      <c r="B140" t="s">
        <v>230</v>
      </c>
      <c r="C140">
        <v>317.20929999999998</v>
      </c>
      <c r="D140">
        <v>192.1</v>
      </c>
      <c r="E140">
        <v>-0.85511934759324504</v>
      </c>
      <c r="F140" t="s">
        <v>18</v>
      </c>
      <c r="G140" t="s">
        <v>19</v>
      </c>
      <c r="H140">
        <v>1</v>
      </c>
      <c r="I140" t="s">
        <v>20</v>
      </c>
      <c r="J140" t="s">
        <v>19</v>
      </c>
      <c r="K140">
        <v>1</v>
      </c>
      <c r="L140" t="s">
        <v>45</v>
      </c>
      <c r="M140" t="s">
        <v>19</v>
      </c>
      <c r="N140">
        <v>0.97</v>
      </c>
      <c r="O140" t="s">
        <v>78</v>
      </c>
      <c r="P140" t="s">
        <v>19</v>
      </c>
      <c r="Q140">
        <v>0.82299999999999995</v>
      </c>
      <c r="R140" t="s">
        <v>23</v>
      </c>
      <c r="S140">
        <v>4</v>
      </c>
    </row>
    <row r="141" spans="1:19">
      <c r="A141">
        <v>141</v>
      </c>
      <c r="B141" t="s">
        <v>231</v>
      </c>
      <c r="C141">
        <v>512.26819999999998</v>
      </c>
      <c r="D141">
        <v>218.2</v>
      </c>
      <c r="E141">
        <v>-0.69622595862341496</v>
      </c>
      <c r="F141" t="s">
        <v>18</v>
      </c>
      <c r="G141" t="s">
        <v>19</v>
      </c>
      <c r="H141">
        <v>1</v>
      </c>
      <c r="I141" t="s">
        <v>20</v>
      </c>
      <c r="J141" t="s">
        <v>19</v>
      </c>
      <c r="K141">
        <v>0.83</v>
      </c>
      <c r="L141" t="s">
        <v>85</v>
      </c>
      <c r="M141" t="s">
        <v>19</v>
      </c>
      <c r="N141">
        <v>0.74</v>
      </c>
      <c r="O141" t="s">
        <v>171</v>
      </c>
      <c r="P141" t="s">
        <v>19</v>
      </c>
      <c r="Q141">
        <v>0.95199999999999996</v>
      </c>
      <c r="R141" t="s">
        <v>23</v>
      </c>
      <c r="S141">
        <v>4</v>
      </c>
    </row>
    <row r="142" spans="1:19">
      <c r="A142">
        <v>142</v>
      </c>
      <c r="B142" t="s">
        <v>232</v>
      </c>
      <c r="C142">
        <v>1229.6741</v>
      </c>
      <c r="D142">
        <v>352.4</v>
      </c>
      <c r="E142">
        <v>-0.301105024803064</v>
      </c>
      <c r="F142" t="s">
        <v>18</v>
      </c>
      <c r="G142" t="s">
        <v>19</v>
      </c>
      <c r="H142">
        <v>1</v>
      </c>
      <c r="I142" t="s">
        <v>25</v>
      </c>
      <c r="J142" t="s">
        <v>19</v>
      </c>
      <c r="K142">
        <v>1</v>
      </c>
      <c r="L142" t="s">
        <v>26</v>
      </c>
      <c r="M142" t="s">
        <v>19</v>
      </c>
      <c r="N142">
        <v>0.93</v>
      </c>
      <c r="O142" t="s">
        <v>27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143</v>
      </c>
      <c r="B143" t="s">
        <v>233</v>
      </c>
      <c r="C143">
        <v>168.06710000000001</v>
      </c>
      <c r="D143">
        <v>134.4</v>
      </c>
      <c r="E143">
        <v>-0.87944435709764002</v>
      </c>
      <c r="F143" t="s">
        <v>18</v>
      </c>
      <c r="G143" t="s">
        <v>19</v>
      </c>
      <c r="H143">
        <v>1</v>
      </c>
      <c r="I143" t="s">
        <v>74</v>
      </c>
      <c r="J143" t="s">
        <v>19</v>
      </c>
      <c r="K143">
        <v>0.6</v>
      </c>
      <c r="L143" t="s">
        <v>119</v>
      </c>
      <c r="M143" t="s">
        <v>19</v>
      </c>
      <c r="N143">
        <v>0.75</v>
      </c>
      <c r="O143" t="s">
        <v>120</v>
      </c>
      <c r="P143" t="s">
        <v>19</v>
      </c>
      <c r="Q143">
        <v>0.999</v>
      </c>
      <c r="R143" t="s">
        <v>23</v>
      </c>
      <c r="S143">
        <v>4</v>
      </c>
    </row>
    <row r="144" spans="1:19">
      <c r="A144">
        <v>144</v>
      </c>
      <c r="B144" t="s">
        <v>234</v>
      </c>
      <c r="C144">
        <v>842.72370000000001</v>
      </c>
      <c r="D144">
        <v>308.89999999999998</v>
      </c>
      <c r="E144">
        <v>-0.78275523619697696</v>
      </c>
      <c r="F144" t="s">
        <v>18</v>
      </c>
      <c r="G144" t="s">
        <v>19</v>
      </c>
      <c r="H144">
        <v>1</v>
      </c>
      <c r="I144" t="s">
        <v>20</v>
      </c>
      <c r="J144" t="s">
        <v>19</v>
      </c>
      <c r="K144">
        <v>1</v>
      </c>
      <c r="L144" t="s">
        <v>67</v>
      </c>
      <c r="M144" t="s">
        <v>19</v>
      </c>
      <c r="N144">
        <v>0.97</v>
      </c>
      <c r="O144" t="s">
        <v>68</v>
      </c>
      <c r="P144" t="s">
        <v>19</v>
      </c>
      <c r="Q144">
        <v>0.83</v>
      </c>
      <c r="R144" t="s">
        <v>23</v>
      </c>
      <c r="S144">
        <v>4</v>
      </c>
    </row>
    <row r="145" spans="1:19">
      <c r="A145">
        <v>145</v>
      </c>
      <c r="B145" t="s">
        <v>235</v>
      </c>
      <c r="C145">
        <v>112.08629999999999</v>
      </c>
      <c r="D145">
        <v>120.4</v>
      </c>
      <c r="E145">
        <v>-0.96114982672367</v>
      </c>
      <c r="F145" t="s">
        <v>18</v>
      </c>
      <c r="G145" t="s">
        <v>19</v>
      </c>
      <c r="H145">
        <v>1</v>
      </c>
      <c r="I145" t="s">
        <v>106</v>
      </c>
      <c r="J145" t="s">
        <v>19</v>
      </c>
      <c r="K145">
        <v>0.97</v>
      </c>
      <c r="L145" t="s">
        <v>107</v>
      </c>
      <c r="M145" t="s">
        <v>19</v>
      </c>
      <c r="N145">
        <v>1</v>
      </c>
      <c r="O145" t="s">
        <v>167</v>
      </c>
      <c r="P145" t="s">
        <v>19</v>
      </c>
      <c r="Q145">
        <v>0.95199999999999996</v>
      </c>
      <c r="R145" t="s">
        <v>23</v>
      </c>
      <c r="S145">
        <v>4</v>
      </c>
    </row>
    <row r="146" spans="1:19">
      <c r="A146">
        <v>146</v>
      </c>
      <c r="B146" t="s">
        <v>236</v>
      </c>
      <c r="C146">
        <v>258.03899999999999</v>
      </c>
      <c r="D146">
        <v>148.19999999999999</v>
      </c>
      <c r="E146">
        <v>-0.750886059562617</v>
      </c>
      <c r="F146" t="s">
        <v>18</v>
      </c>
      <c r="G146" t="s">
        <v>19</v>
      </c>
      <c r="H146">
        <v>1</v>
      </c>
      <c r="I146" t="s">
        <v>32</v>
      </c>
      <c r="J146" t="s">
        <v>19</v>
      </c>
      <c r="K146">
        <v>0.83</v>
      </c>
      <c r="L146" t="s">
        <v>33</v>
      </c>
      <c r="M146" t="s">
        <v>19</v>
      </c>
      <c r="N146">
        <v>1</v>
      </c>
      <c r="O146" t="s">
        <v>34</v>
      </c>
      <c r="P146" t="s">
        <v>19</v>
      </c>
      <c r="Q146">
        <v>1</v>
      </c>
      <c r="R146" t="s">
        <v>23</v>
      </c>
      <c r="S146">
        <v>4</v>
      </c>
    </row>
    <row r="147" spans="1:19">
      <c r="A147">
        <v>147</v>
      </c>
      <c r="B147" t="s">
        <v>237</v>
      </c>
      <c r="C147">
        <v>780.63289999999995</v>
      </c>
      <c r="D147">
        <v>292.39999999999998</v>
      </c>
      <c r="E147">
        <v>-0.76128283804348496</v>
      </c>
      <c r="F147" t="s">
        <v>18</v>
      </c>
      <c r="G147" t="s">
        <v>19</v>
      </c>
      <c r="H147">
        <v>1</v>
      </c>
      <c r="I147" t="s">
        <v>20</v>
      </c>
      <c r="J147" t="s">
        <v>19</v>
      </c>
      <c r="K147">
        <v>1</v>
      </c>
      <c r="L147" t="s">
        <v>67</v>
      </c>
      <c r="M147" t="s">
        <v>19</v>
      </c>
      <c r="N147">
        <v>0.99</v>
      </c>
      <c r="O147" t="s">
        <v>68</v>
      </c>
      <c r="P147" t="s">
        <v>19</v>
      </c>
      <c r="Q147">
        <v>0.95599999999999996</v>
      </c>
      <c r="R147" t="s">
        <v>23</v>
      </c>
      <c r="S147">
        <v>4</v>
      </c>
    </row>
    <row r="148" spans="1:19">
      <c r="A148">
        <v>148</v>
      </c>
      <c r="B148" t="s">
        <v>190</v>
      </c>
      <c r="C148">
        <v>307.03300000000002</v>
      </c>
      <c r="D148">
        <v>159.19999999999999</v>
      </c>
      <c r="E148">
        <v>-0.69018171487908797</v>
      </c>
      <c r="F148" t="s">
        <v>18</v>
      </c>
      <c r="G148" t="s">
        <v>19</v>
      </c>
      <c r="H148">
        <v>1</v>
      </c>
      <c r="I148" t="s">
        <v>53</v>
      </c>
      <c r="J148" t="s">
        <v>19</v>
      </c>
      <c r="K148">
        <v>0.69</v>
      </c>
      <c r="L148" t="s">
        <v>54</v>
      </c>
      <c r="M148" t="s">
        <v>19</v>
      </c>
      <c r="N148">
        <v>0.97</v>
      </c>
      <c r="O148" t="s">
        <v>145</v>
      </c>
      <c r="P148" t="s">
        <v>19</v>
      </c>
      <c r="Q148">
        <v>0.91300000000000003</v>
      </c>
      <c r="R148" t="s">
        <v>23</v>
      </c>
      <c r="S148">
        <v>4</v>
      </c>
    </row>
    <row r="149" spans="1:19">
      <c r="A149">
        <v>149</v>
      </c>
      <c r="B149" t="s">
        <v>238</v>
      </c>
      <c r="C149">
        <v>386.04520000000002</v>
      </c>
      <c r="D149">
        <v>174.3</v>
      </c>
      <c r="E149">
        <v>-0.61416049140268603</v>
      </c>
      <c r="F149" t="s">
        <v>18</v>
      </c>
      <c r="G149" t="s">
        <v>19</v>
      </c>
      <c r="H149">
        <v>1</v>
      </c>
      <c r="I149" t="s">
        <v>53</v>
      </c>
      <c r="J149" t="s">
        <v>19</v>
      </c>
      <c r="K149">
        <v>0.87</v>
      </c>
      <c r="L149" t="s">
        <v>80</v>
      </c>
      <c r="M149" t="s">
        <v>19</v>
      </c>
      <c r="N149">
        <v>0.98</v>
      </c>
      <c r="O149" t="s">
        <v>113</v>
      </c>
      <c r="P149" t="s">
        <v>19</v>
      </c>
      <c r="Q149">
        <v>0.96699999999999997</v>
      </c>
      <c r="R149" t="s">
        <v>23</v>
      </c>
      <c r="S149">
        <v>4</v>
      </c>
    </row>
    <row r="150" spans="1:19">
      <c r="A150">
        <v>150</v>
      </c>
      <c r="B150" t="s">
        <v>239</v>
      </c>
      <c r="C150">
        <v>259.02190000000002</v>
      </c>
      <c r="D150">
        <v>146.69999999999999</v>
      </c>
      <c r="E150">
        <v>-0.73268860068213804</v>
      </c>
      <c r="F150" t="s">
        <v>18</v>
      </c>
      <c r="G150" t="s">
        <v>19</v>
      </c>
      <c r="H150">
        <v>1</v>
      </c>
      <c r="I150" t="s">
        <v>32</v>
      </c>
      <c r="J150" t="s">
        <v>19</v>
      </c>
      <c r="K150">
        <v>1</v>
      </c>
      <c r="L150" t="s">
        <v>33</v>
      </c>
      <c r="M150" t="s">
        <v>19</v>
      </c>
      <c r="N150">
        <v>1</v>
      </c>
      <c r="O150" t="s">
        <v>34</v>
      </c>
      <c r="P150" t="s">
        <v>19</v>
      </c>
      <c r="Q150">
        <v>1</v>
      </c>
      <c r="R150" t="s">
        <v>23</v>
      </c>
      <c r="S150">
        <v>4</v>
      </c>
    </row>
    <row r="151" spans="1:19">
      <c r="A151">
        <v>151</v>
      </c>
      <c r="B151" t="s">
        <v>201</v>
      </c>
      <c r="C151">
        <v>622.02949999999998</v>
      </c>
      <c r="D151">
        <v>202.8</v>
      </c>
      <c r="E151">
        <v>-0.334971768557011</v>
      </c>
      <c r="F151" t="s">
        <v>18</v>
      </c>
      <c r="G151" t="s">
        <v>19</v>
      </c>
      <c r="H151">
        <v>1</v>
      </c>
      <c r="I151" t="s">
        <v>127</v>
      </c>
      <c r="J151" t="s">
        <v>19</v>
      </c>
      <c r="K151">
        <v>0.88</v>
      </c>
      <c r="L151" t="s">
        <v>128</v>
      </c>
      <c r="M151" t="s">
        <v>19</v>
      </c>
      <c r="N151">
        <v>0.97</v>
      </c>
      <c r="O151" t="s">
        <v>129</v>
      </c>
      <c r="P151" t="s">
        <v>19</v>
      </c>
      <c r="Q151">
        <v>0.99199999999999999</v>
      </c>
      <c r="R151" t="s">
        <v>23</v>
      </c>
      <c r="S151">
        <v>4</v>
      </c>
    </row>
    <row r="152" spans="1:19">
      <c r="A152">
        <v>152</v>
      </c>
      <c r="B152" t="s">
        <v>240</v>
      </c>
      <c r="C152">
        <v>218.0626</v>
      </c>
      <c r="D152">
        <v>146.6</v>
      </c>
      <c r="E152">
        <v>-0.81912178566796001</v>
      </c>
      <c r="F152" t="s">
        <v>18</v>
      </c>
      <c r="G152" t="s">
        <v>19</v>
      </c>
      <c r="H152">
        <v>1</v>
      </c>
      <c r="I152" t="s">
        <v>25</v>
      </c>
      <c r="J152" t="s">
        <v>19</v>
      </c>
      <c r="K152">
        <v>0.81</v>
      </c>
      <c r="L152" t="s">
        <v>26</v>
      </c>
      <c r="M152" t="s">
        <v>19</v>
      </c>
      <c r="N152">
        <v>1</v>
      </c>
      <c r="O152" t="s">
        <v>27</v>
      </c>
      <c r="P152" t="s">
        <v>19</v>
      </c>
      <c r="Q152">
        <v>1</v>
      </c>
      <c r="R152" t="s">
        <v>23</v>
      </c>
      <c r="S152">
        <v>4</v>
      </c>
    </row>
    <row r="153" spans="1:19">
      <c r="A153">
        <v>153</v>
      </c>
      <c r="B153" t="s">
        <v>241</v>
      </c>
      <c r="C153">
        <v>778.6173</v>
      </c>
      <c r="D153">
        <v>291.7</v>
      </c>
      <c r="E153">
        <v>-0.74793336009008704</v>
      </c>
      <c r="F153" t="s">
        <v>18</v>
      </c>
      <c r="G153" t="s">
        <v>19</v>
      </c>
      <c r="H153">
        <v>1</v>
      </c>
      <c r="I153" t="s">
        <v>20</v>
      </c>
      <c r="J153" t="s">
        <v>19</v>
      </c>
      <c r="K153">
        <v>1</v>
      </c>
      <c r="L153" t="s">
        <v>67</v>
      </c>
      <c r="M153" t="s">
        <v>19</v>
      </c>
      <c r="N153">
        <v>0.96</v>
      </c>
      <c r="O153" t="s">
        <v>68</v>
      </c>
      <c r="P153" t="s">
        <v>19</v>
      </c>
      <c r="Q153">
        <v>0.96299999999999997</v>
      </c>
      <c r="R153" t="s">
        <v>23</v>
      </c>
      <c r="S153">
        <v>4</v>
      </c>
    </row>
    <row r="154" spans="1:19">
      <c r="A154">
        <v>154</v>
      </c>
      <c r="B154" t="s">
        <v>242</v>
      </c>
      <c r="C154">
        <v>1043.9858999999999</v>
      </c>
      <c r="D154">
        <v>256.68</v>
      </c>
      <c r="E154">
        <v>-0.82023554071247395</v>
      </c>
      <c r="F154" t="s">
        <v>18</v>
      </c>
      <c r="G154" t="s">
        <v>19</v>
      </c>
      <c r="H154">
        <v>0.98399999999999999</v>
      </c>
      <c r="I154" t="s">
        <v>127</v>
      </c>
      <c r="J154" t="s">
        <v>19</v>
      </c>
      <c r="K154">
        <v>0.95</v>
      </c>
      <c r="L154" t="s">
        <v>128</v>
      </c>
      <c r="M154" t="s">
        <v>19</v>
      </c>
      <c r="N154">
        <v>0.99</v>
      </c>
      <c r="O154" t="s">
        <v>129</v>
      </c>
      <c r="P154" t="s">
        <v>19</v>
      </c>
      <c r="Q154">
        <v>1</v>
      </c>
      <c r="R154" t="s">
        <v>23</v>
      </c>
      <c r="S154">
        <v>4</v>
      </c>
    </row>
    <row r="155" spans="1:19">
      <c r="A155">
        <v>155</v>
      </c>
      <c r="B155" t="s">
        <v>38</v>
      </c>
      <c r="C155">
        <v>204.10120000000001</v>
      </c>
      <c r="D155">
        <v>145.4</v>
      </c>
      <c r="E155">
        <v>-0.873310413619663</v>
      </c>
      <c r="F155" t="s">
        <v>18</v>
      </c>
      <c r="G155" t="s">
        <v>19</v>
      </c>
      <c r="H155">
        <v>1</v>
      </c>
      <c r="I155" t="s">
        <v>39</v>
      </c>
      <c r="J155" t="s">
        <v>19</v>
      </c>
      <c r="K155">
        <v>0.88</v>
      </c>
      <c r="L155" t="s">
        <v>40</v>
      </c>
      <c r="M155" t="s">
        <v>19</v>
      </c>
      <c r="N155">
        <v>0.94</v>
      </c>
      <c r="O155" t="s">
        <v>41</v>
      </c>
      <c r="P155" t="s">
        <v>19</v>
      </c>
      <c r="Q155">
        <v>0.84199999999999997</v>
      </c>
      <c r="R155" t="s">
        <v>23</v>
      </c>
      <c r="S155">
        <v>4</v>
      </c>
    </row>
    <row r="156" spans="1:19">
      <c r="A156">
        <v>156</v>
      </c>
      <c r="B156" t="s">
        <v>243</v>
      </c>
      <c r="C156">
        <v>119.0401</v>
      </c>
      <c r="D156">
        <v>114.6</v>
      </c>
      <c r="E156">
        <v>-0.90718554799444495</v>
      </c>
      <c r="F156" t="s">
        <v>18</v>
      </c>
      <c r="G156" t="s">
        <v>19</v>
      </c>
      <c r="H156">
        <v>1</v>
      </c>
      <c r="I156" t="s">
        <v>39</v>
      </c>
      <c r="J156" t="s">
        <v>19</v>
      </c>
      <c r="K156">
        <v>0.75</v>
      </c>
      <c r="L156" t="s">
        <v>188</v>
      </c>
      <c r="M156" t="s">
        <v>19</v>
      </c>
      <c r="N156">
        <v>0.63</v>
      </c>
      <c r="O156" t="s">
        <v>189</v>
      </c>
      <c r="P156" t="s">
        <v>19</v>
      </c>
      <c r="Q156">
        <v>0.999</v>
      </c>
      <c r="R156" t="s">
        <v>23</v>
      </c>
      <c r="S156">
        <v>4</v>
      </c>
    </row>
    <row r="157" spans="1:19">
      <c r="A157">
        <v>157</v>
      </c>
      <c r="B157" t="s">
        <v>244</v>
      </c>
      <c r="C157">
        <v>141.03</v>
      </c>
      <c r="D157">
        <v>124.1</v>
      </c>
      <c r="E157">
        <v>-0.87253268296697695</v>
      </c>
      <c r="F157" t="s">
        <v>18</v>
      </c>
      <c r="G157" t="s">
        <v>19</v>
      </c>
      <c r="H157">
        <v>1</v>
      </c>
      <c r="I157" t="s">
        <v>39</v>
      </c>
      <c r="J157" t="s">
        <v>19</v>
      </c>
      <c r="K157">
        <v>0.74</v>
      </c>
      <c r="L157" t="s">
        <v>221</v>
      </c>
      <c r="M157" t="s">
        <v>19</v>
      </c>
      <c r="N157">
        <v>0.61</v>
      </c>
      <c r="O157" t="s">
        <v>222</v>
      </c>
      <c r="P157" t="s">
        <v>19</v>
      </c>
      <c r="Q157">
        <v>1</v>
      </c>
      <c r="R157" t="s">
        <v>23</v>
      </c>
      <c r="S157">
        <v>4</v>
      </c>
    </row>
    <row r="158" spans="1:19">
      <c r="A158">
        <v>158</v>
      </c>
      <c r="B158" t="s">
        <v>245</v>
      </c>
      <c r="C158">
        <v>690.50530000000003</v>
      </c>
      <c r="D158">
        <v>261.8</v>
      </c>
      <c r="E158">
        <v>-0.73431498271236295</v>
      </c>
      <c r="F158" t="s">
        <v>18</v>
      </c>
      <c r="G158" t="s">
        <v>19</v>
      </c>
      <c r="H158">
        <v>1</v>
      </c>
      <c r="I158" t="s">
        <v>20</v>
      </c>
      <c r="J158" t="s">
        <v>19</v>
      </c>
      <c r="K158">
        <v>0.93</v>
      </c>
      <c r="L158" t="s">
        <v>21</v>
      </c>
      <c r="M158" t="s">
        <v>19</v>
      </c>
      <c r="N158">
        <v>1</v>
      </c>
      <c r="O158" t="s">
        <v>29</v>
      </c>
      <c r="P158" t="s">
        <v>19</v>
      </c>
      <c r="Q158">
        <v>0.80600000000000005</v>
      </c>
      <c r="R158" t="s">
        <v>23</v>
      </c>
      <c r="S158">
        <v>4</v>
      </c>
    </row>
    <row r="159" spans="1:19">
      <c r="A159">
        <v>159</v>
      </c>
      <c r="B159" t="s">
        <v>246</v>
      </c>
      <c r="C159">
        <v>330.0609</v>
      </c>
      <c r="D159">
        <v>177</v>
      </c>
      <c r="E159">
        <v>-0.69236986896044095</v>
      </c>
      <c r="F159" t="s">
        <v>18</v>
      </c>
      <c r="G159" t="s">
        <v>19</v>
      </c>
      <c r="H159">
        <v>1</v>
      </c>
      <c r="I159" t="s">
        <v>53</v>
      </c>
      <c r="J159" t="s">
        <v>19</v>
      </c>
      <c r="K159">
        <v>0.89</v>
      </c>
      <c r="L159" t="s">
        <v>80</v>
      </c>
      <c r="M159" t="s">
        <v>19</v>
      </c>
      <c r="N159">
        <v>0.93</v>
      </c>
      <c r="O159" t="s">
        <v>247</v>
      </c>
      <c r="P159" t="s">
        <v>19</v>
      </c>
      <c r="Q159">
        <v>0.875</v>
      </c>
      <c r="R159" t="s">
        <v>23</v>
      </c>
      <c r="S159">
        <v>4</v>
      </c>
    </row>
    <row r="160" spans="1:19">
      <c r="A160">
        <v>160</v>
      </c>
      <c r="B160" t="s">
        <v>248</v>
      </c>
      <c r="C160">
        <v>267.04739999999998</v>
      </c>
      <c r="D160">
        <v>151.69999999999999</v>
      </c>
      <c r="E160">
        <v>-0.74922771326208704</v>
      </c>
      <c r="F160" t="s">
        <v>18</v>
      </c>
      <c r="G160" t="s">
        <v>19</v>
      </c>
      <c r="H160">
        <v>1</v>
      </c>
      <c r="I160" t="s">
        <v>25</v>
      </c>
      <c r="J160" t="s">
        <v>19</v>
      </c>
      <c r="K160">
        <v>0.73</v>
      </c>
      <c r="L160" t="s">
        <v>26</v>
      </c>
      <c r="M160" t="s">
        <v>19</v>
      </c>
      <c r="N160">
        <v>1</v>
      </c>
      <c r="O160" t="s">
        <v>27</v>
      </c>
      <c r="P160" t="s">
        <v>19</v>
      </c>
      <c r="Q160">
        <v>0.96299999999999997</v>
      </c>
      <c r="R160" t="s">
        <v>23</v>
      </c>
      <c r="S160">
        <v>4</v>
      </c>
    </row>
    <row r="161" spans="1:19">
      <c r="A161">
        <v>161</v>
      </c>
      <c r="B161" t="s">
        <v>249</v>
      </c>
      <c r="C161">
        <v>452.51949999999999</v>
      </c>
      <c r="D161">
        <v>249.9</v>
      </c>
      <c r="E161">
        <v>-1.4238484222289601E-2</v>
      </c>
      <c r="F161" t="s">
        <v>18</v>
      </c>
      <c r="G161" t="s">
        <v>19</v>
      </c>
      <c r="H161">
        <v>1</v>
      </c>
      <c r="I161" t="s">
        <v>106</v>
      </c>
      <c r="J161" t="s">
        <v>19</v>
      </c>
      <c r="K161">
        <v>0.94</v>
      </c>
      <c r="L161" t="s">
        <v>107</v>
      </c>
      <c r="M161" t="s">
        <v>19</v>
      </c>
      <c r="N161">
        <v>0.97</v>
      </c>
      <c r="O161" t="s">
        <v>108</v>
      </c>
      <c r="P161" t="s">
        <v>19</v>
      </c>
      <c r="Q161">
        <v>0.98299999999999998</v>
      </c>
      <c r="R161" t="s">
        <v>23</v>
      </c>
      <c r="S161">
        <v>4</v>
      </c>
    </row>
    <row r="162" spans="1:19">
      <c r="A162">
        <v>162</v>
      </c>
      <c r="B162" t="s">
        <v>250</v>
      </c>
      <c r="C162">
        <v>177.1028</v>
      </c>
      <c r="D162">
        <v>150.9</v>
      </c>
      <c r="E162">
        <v>-0.90505552892975105</v>
      </c>
      <c r="F162" t="s">
        <v>18</v>
      </c>
      <c r="G162" t="s">
        <v>19</v>
      </c>
      <c r="H162">
        <v>1</v>
      </c>
      <c r="I162" t="s">
        <v>39</v>
      </c>
      <c r="J162" t="s">
        <v>19</v>
      </c>
      <c r="K162">
        <v>0.72</v>
      </c>
      <c r="L162" t="s">
        <v>40</v>
      </c>
      <c r="M162" t="s">
        <v>19</v>
      </c>
      <c r="N162">
        <v>0.92</v>
      </c>
      <c r="O162" t="s">
        <v>251</v>
      </c>
      <c r="P162" t="s">
        <v>19</v>
      </c>
      <c r="Q162">
        <v>0.92</v>
      </c>
      <c r="R162" t="s">
        <v>23</v>
      </c>
      <c r="S162">
        <v>4</v>
      </c>
    </row>
    <row r="163" spans="1:19">
      <c r="A163">
        <v>163</v>
      </c>
      <c r="B163" t="s">
        <v>185</v>
      </c>
      <c r="C163">
        <v>2036.1280999999999</v>
      </c>
      <c r="D163">
        <v>456.7</v>
      </c>
      <c r="E163">
        <v>-0.85465726411007403</v>
      </c>
      <c r="F163" t="s">
        <v>18</v>
      </c>
      <c r="G163" t="s">
        <v>19</v>
      </c>
      <c r="H163">
        <v>1</v>
      </c>
      <c r="I163" t="s">
        <v>25</v>
      </c>
      <c r="J163" t="s">
        <v>19</v>
      </c>
      <c r="K163">
        <v>1</v>
      </c>
      <c r="L163" t="s">
        <v>26</v>
      </c>
      <c r="M163" t="s">
        <v>19</v>
      </c>
      <c r="N163">
        <v>0.98</v>
      </c>
      <c r="O163" t="s">
        <v>27</v>
      </c>
      <c r="P163" t="s">
        <v>19</v>
      </c>
      <c r="Q163">
        <v>1</v>
      </c>
      <c r="R163" t="s">
        <v>23</v>
      </c>
      <c r="S163">
        <v>4</v>
      </c>
    </row>
    <row r="164" spans="1:19">
      <c r="A164">
        <v>164</v>
      </c>
      <c r="B164" t="s">
        <v>219</v>
      </c>
      <c r="C164">
        <v>325.06880000000001</v>
      </c>
      <c r="D164">
        <v>183.3</v>
      </c>
      <c r="E164">
        <v>-0.705843807791666</v>
      </c>
      <c r="F164" t="s">
        <v>18</v>
      </c>
      <c r="G164" t="s">
        <v>19</v>
      </c>
      <c r="H164">
        <v>1</v>
      </c>
      <c r="I164" t="s">
        <v>115</v>
      </c>
      <c r="J164" t="s">
        <v>19</v>
      </c>
      <c r="K164">
        <v>0.88</v>
      </c>
      <c r="L164" t="s">
        <v>116</v>
      </c>
      <c r="M164" t="s">
        <v>19</v>
      </c>
      <c r="N164">
        <v>0.98</v>
      </c>
      <c r="O164" t="s">
        <v>117</v>
      </c>
      <c r="P164" t="s">
        <v>19</v>
      </c>
      <c r="Q164">
        <v>0.999</v>
      </c>
      <c r="R164" t="s">
        <v>23</v>
      </c>
      <c r="S164">
        <v>4</v>
      </c>
    </row>
    <row r="165" spans="1:19">
      <c r="A165">
        <v>165</v>
      </c>
      <c r="B165" t="s">
        <v>252</v>
      </c>
      <c r="C165">
        <v>346.03930000000003</v>
      </c>
      <c r="D165">
        <v>168.7</v>
      </c>
      <c r="E165">
        <v>-0.65292915578965005</v>
      </c>
      <c r="F165" t="s">
        <v>18</v>
      </c>
      <c r="G165" t="s">
        <v>19</v>
      </c>
      <c r="H165">
        <v>1</v>
      </c>
      <c r="I165" t="s">
        <v>53</v>
      </c>
      <c r="J165" t="s">
        <v>19</v>
      </c>
      <c r="K165">
        <v>0.99</v>
      </c>
      <c r="L165" t="s">
        <v>54</v>
      </c>
      <c r="M165" t="s">
        <v>19</v>
      </c>
      <c r="N165">
        <v>0.67</v>
      </c>
      <c r="O165" t="s">
        <v>253</v>
      </c>
      <c r="P165" t="s">
        <v>19</v>
      </c>
      <c r="Q165">
        <v>0.72499999999999998</v>
      </c>
      <c r="R165" t="s">
        <v>23</v>
      </c>
      <c r="S165">
        <v>4</v>
      </c>
    </row>
    <row r="166" spans="1:19">
      <c r="A166">
        <v>166</v>
      </c>
      <c r="B166" t="s">
        <v>254</v>
      </c>
      <c r="C166">
        <v>377.23039999999997</v>
      </c>
      <c r="D166">
        <v>204.2</v>
      </c>
      <c r="E166">
        <v>-0.80920267325177497</v>
      </c>
      <c r="F166" t="s">
        <v>18</v>
      </c>
      <c r="G166" t="s">
        <v>19</v>
      </c>
      <c r="H166">
        <v>1</v>
      </c>
      <c r="I166" t="s">
        <v>20</v>
      </c>
      <c r="J166" t="s">
        <v>19</v>
      </c>
      <c r="K166">
        <v>1</v>
      </c>
      <c r="L166" t="s">
        <v>45</v>
      </c>
      <c r="M166" t="s">
        <v>19</v>
      </c>
      <c r="N166">
        <v>0.89</v>
      </c>
      <c r="O166" t="s">
        <v>46</v>
      </c>
      <c r="P166" t="s">
        <v>19</v>
      </c>
      <c r="Q166">
        <v>0.997</v>
      </c>
      <c r="R166" t="s">
        <v>23</v>
      </c>
      <c r="S166">
        <v>4</v>
      </c>
    </row>
    <row r="167" spans="1:19">
      <c r="A167">
        <v>167</v>
      </c>
      <c r="B167" t="s">
        <v>255</v>
      </c>
      <c r="C167">
        <v>155.0112</v>
      </c>
      <c r="D167">
        <v>121.7</v>
      </c>
      <c r="E167">
        <v>-0.83812194728730605</v>
      </c>
      <c r="F167" t="s">
        <v>18</v>
      </c>
      <c r="G167" t="s">
        <v>19</v>
      </c>
      <c r="H167">
        <v>1</v>
      </c>
      <c r="I167" t="s">
        <v>39</v>
      </c>
      <c r="J167" t="s">
        <v>19</v>
      </c>
      <c r="K167">
        <v>0.88</v>
      </c>
      <c r="L167" t="s">
        <v>221</v>
      </c>
      <c r="M167" t="s">
        <v>19</v>
      </c>
      <c r="N167">
        <v>0.73</v>
      </c>
      <c r="O167" t="s">
        <v>222</v>
      </c>
      <c r="P167" t="s">
        <v>19</v>
      </c>
      <c r="Q167">
        <v>1</v>
      </c>
      <c r="R167" t="s">
        <v>23</v>
      </c>
      <c r="S167">
        <v>4</v>
      </c>
    </row>
    <row r="168" spans="1:19">
      <c r="A168">
        <v>168</v>
      </c>
      <c r="B168" t="s">
        <v>256</v>
      </c>
      <c r="C168">
        <v>145.09870000000001</v>
      </c>
      <c r="D168">
        <v>135.9</v>
      </c>
      <c r="E168">
        <v>-0.93668976817713201</v>
      </c>
      <c r="F168" t="s">
        <v>18</v>
      </c>
      <c r="G168" t="s">
        <v>19</v>
      </c>
      <c r="H168">
        <v>1</v>
      </c>
      <c r="I168" t="s">
        <v>25</v>
      </c>
      <c r="J168" t="s">
        <v>19</v>
      </c>
      <c r="K168">
        <v>0.87</v>
      </c>
      <c r="L168" t="s">
        <v>26</v>
      </c>
      <c r="M168" t="s">
        <v>19</v>
      </c>
      <c r="N168">
        <v>1</v>
      </c>
      <c r="O168" t="s">
        <v>27</v>
      </c>
      <c r="P168" t="s">
        <v>19</v>
      </c>
      <c r="Q168">
        <v>1</v>
      </c>
      <c r="R168" t="s">
        <v>23</v>
      </c>
      <c r="S168">
        <v>4</v>
      </c>
    </row>
    <row r="169" spans="1:19">
      <c r="A169">
        <v>169</v>
      </c>
      <c r="B169" t="s">
        <v>257</v>
      </c>
      <c r="C169">
        <v>144.06630000000001</v>
      </c>
      <c r="D169">
        <v>131.19999999999999</v>
      </c>
      <c r="E169">
        <v>-0.90544249637756002</v>
      </c>
      <c r="F169" t="s">
        <v>18</v>
      </c>
      <c r="G169" t="s">
        <v>19</v>
      </c>
      <c r="H169">
        <v>1</v>
      </c>
      <c r="I169" t="s">
        <v>25</v>
      </c>
      <c r="J169" t="s">
        <v>19</v>
      </c>
      <c r="K169">
        <v>0.96</v>
      </c>
      <c r="L169" t="s">
        <v>26</v>
      </c>
      <c r="M169" t="s">
        <v>19</v>
      </c>
      <c r="N169">
        <v>1</v>
      </c>
      <c r="O169" t="s">
        <v>27</v>
      </c>
      <c r="P169" t="s">
        <v>19</v>
      </c>
      <c r="Q169">
        <v>1</v>
      </c>
      <c r="R169" t="s">
        <v>23</v>
      </c>
      <c r="S169">
        <v>4</v>
      </c>
    </row>
    <row r="170" spans="1:19">
      <c r="A170">
        <v>170</v>
      </c>
      <c r="B170" t="s">
        <v>258</v>
      </c>
      <c r="C170">
        <v>927.49400000000003</v>
      </c>
      <c r="D170">
        <v>302.8</v>
      </c>
      <c r="E170">
        <v>-0.45840479512003202</v>
      </c>
      <c r="F170" t="s">
        <v>18</v>
      </c>
      <c r="G170" t="s">
        <v>19</v>
      </c>
      <c r="H170">
        <v>1</v>
      </c>
      <c r="I170" t="s">
        <v>25</v>
      </c>
      <c r="J170" t="s">
        <v>19</v>
      </c>
      <c r="K170">
        <v>0.72</v>
      </c>
      <c r="L170" t="s">
        <v>26</v>
      </c>
      <c r="M170" t="s">
        <v>19</v>
      </c>
      <c r="N170">
        <v>0.91</v>
      </c>
      <c r="O170" t="s">
        <v>27</v>
      </c>
      <c r="P170" t="s">
        <v>19</v>
      </c>
      <c r="Q170">
        <v>1</v>
      </c>
      <c r="R170" t="s">
        <v>23</v>
      </c>
      <c r="S170">
        <v>4</v>
      </c>
    </row>
    <row r="171" spans="1:19">
      <c r="A171">
        <v>171</v>
      </c>
      <c r="B171" t="s">
        <v>259</v>
      </c>
      <c r="C171">
        <v>130.08680000000001</v>
      </c>
      <c r="D171">
        <v>132.4</v>
      </c>
      <c r="E171">
        <v>-0.94155133391893697</v>
      </c>
      <c r="F171" t="s">
        <v>18</v>
      </c>
      <c r="G171" t="s">
        <v>19</v>
      </c>
      <c r="H171">
        <v>1</v>
      </c>
      <c r="I171" t="s">
        <v>25</v>
      </c>
      <c r="J171" t="s">
        <v>19</v>
      </c>
      <c r="K171">
        <v>1</v>
      </c>
      <c r="L171" t="s">
        <v>26</v>
      </c>
      <c r="M171" t="s">
        <v>19</v>
      </c>
      <c r="N171">
        <v>1</v>
      </c>
      <c r="O171" t="s">
        <v>27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172</v>
      </c>
      <c r="B172" t="s">
        <v>260</v>
      </c>
      <c r="C172">
        <v>472.15809999999999</v>
      </c>
      <c r="D172">
        <v>201.7</v>
      </c>
      <c r="E172">
        <v>-0.63091096772024002</v>
      </c>
      <c r="F172" t="s">
        <v>18</v>
      </c>
      <c r="G172" t="s">
        <v>19</v>
      </c>
      <c r="H172">
        <v>1</v>
      </c>
      <c r="I172" t="s">
        <v>25</v>
      </c>
      <c r="J172" t="s">
        <v>19</v>
      </c>
      <c r="K172">
        <v>0.99</v>
      </c>
      <c r="L172" t="s">
        <v>26</v>
      </c>
      <c r="M172" t="s">
        <v>19</v>
      </c>
      <c r="N172">
        <v>1</v>
      </c>
      <c r="O172" t="s">
        <v>27</v>
      </c>
      <c r="P172" t="s">
        <v>19</v>
      </c>
      <c r="Q172">
        <v>1</v>
      </c>
      <c r="R172" t="s">
        <v>23</v>
      </c>
      <c r="S172">
        <v>4</v>
      </c>
    </row>
    <row r="173" spans="1:19">
      <c r="A173">
        <v>173</v>
      </c>
      <c r="B173" t="s">
        <v>238</v>
      </c>
      <c r="C173">
        <v>364.06400000000002</v>
      </c>
      <c r="D173">
        <v>179.6</v>
      </c>
      <c r="E173">
        <v>-0.65750364242848003</v>
      </c>
      <c r="F173" t="s">
        <v>18</v>
      </c>
      <c r="G173" t="s">
        <v>19</v>
      </c>
      <c r="H173">
        <v>1</v>
      </c>
      <c r="I173" t="s">
        <v>53</v>
      </c>
      <c r="J173" t="s">
        <v>19</v>
      </c>
      <c r="K173">
        <v>0.66</v>
      </c>
      <c r="L173" t="s">
        <v>80</v>
      </c>
      <c r="M173" t="s">
        <v>19</v>
      </c>
      <c r="N173">
        <v>1</v>
      </c>
      <c r="O173" t="s">
        <v>113</v>
      </c>
      <c r="P173" t="s">
        <v>19</v>
      </c>
      <c r="Q173">
        <v>0.74399999999999999</v>
      </c>
      <c r="R173" t="s">
        <v>23</v>
      </c>
      <c r="S173">
        <v>4</v>
      </c>
    </row>
    <row r="174" spans="1:19">
      <c r="A174">
        <v>174</v>
      </c>
      <c r="B174" t="s">
        <v>261</v>
      </c>
      <c r="C174">
        <v>803.70060000000001</v>
      </c>
      <c r="D174">
        <v>303.5</v>
      </c>
      <c r="E174">
        <v>-0.80322655335862703</v>
      </c>
      <c r="F174" t="s">
        <v>18</v>
      </c>
      <c r="G174" t="s">
        <v>19</v>
      </c>
      <c r="H174">
        <v>1</v>
      </c>
      <c r="I174" t="s">
        <v>20</v>
      </c>
      <c r="J174" t="s">
        <v>19</v>
      </c>
      <c r="K174">
        <v>1</v>
      </c>
      <c r="L174" t="s">
        <v>67</v>
      </c>
      <c r="M174" t="s">
        <v>19</v>
      </c>
      <c r="N174">
        <v>1</v>
      </c>
      <c r="O174" t="s">
        <v>224</v>
      </c>
      <c r="P174" t="s">
        <v>19</v>
      </c>
      <c r="Q174">
        <v>0.79200000000000004</v>
      </c>
      <c r="R174" t="s">
        <v>23</v>
      </c>
      <c r="S174">
        <v>4</v>
      </c>
    </row>
    <row r="175" spans="1:19">
      <c r="A175">
        <v>175</v>
      </c>
      <c r="B175" t="s">
        <v>262</v>
      </c>
      <c r="C175">
        <v>270.0138</v>
      </c>
      <c r="D175">
        <v>161.4</v>
      </c>
      <c r="E175">
        <v>-0.712315573651779</v>
      </c>
      <c r="F175" t="s">
        <v>18</v>
      </c>
      <c r="G175" t="s">
        <v>19</v>
      </c>
      <c r="H175">
        <v>1</v>
      </c>
      <c r="I175" t="s">
        <v>39</v>
      </c>
      <c r="J175" t="s">
        <v>19</v>
      </c>
      <c r="K175">
        <v>0.88</v>
      </c>
      <c r="L175" t="s">
        <v>196</v>
      </c>
      <c r="M175" t="s">
        <v>19</v>
      </c>
      <c r="N175">
        <v>0.96</v>
      </c>
      <c r="O175" t="s">
        <v>263</v>
      </c>
      <c r="P175" t="s">
        <v>19</v>
      </c>
      <c r="Q175">
        <v>0.92200000000000004</v>
      </c>
      <c r="R175" t="s">
        <v>23</v>
      </c>
      <c r="S175">
        <v>4</v>
      </c>
    </row>
    <row r="176" spans="1:19">
      <c r="A176">
        <v>176</v>
      </c>
      <c r="B176" t="s">
        <v>50</v>
      </c>
      <c r="C176">
        <v>181.0497</v>
      </c>
      <c r="D176">
        <v>134.69999999999999</v>
      </c>
      <c r="E176">
        <v>-0.84754861016355698</v>
      </c>
      <c r="F176" t="s">
        <v>18</v>
      </c>
      <c r="G176" t="s">
        <v>19</v>
      </c>
      <c r="H176">
        <v>1</v>
      </c>
      <c r="I176" t="s">
        <v>20</v>
      </c>
      <c r="J176" t="s">
        <v>19</v>
      </c>
      <c r="K176">
        <v>0.59</v>
      </c>
      <c r="L176" t="s">
        <v>45</v>
      </c>
      <c r="M176" t="s">
        <v>19</v>
      </c>
      <c r="N176">
        <v>1</v>
      </c>
      <c r="O176" t="s">
        <v>51</v>
      </c>
      <c r="P176" t="s">
        <v>19</v>
      </c>
      <c r="Q176">
        <v>1</v>
      </c>
      <c r="R176" t="s">
        <v>23</v>
      </c>
      <c r="S176">
        <v>4</v>
      </c>
    </row>
    <row r="177" spans="1:19">
      <c r="A177">
        <v>177</v>
      </c>
      <c r="B177" t="s">
        <v>174</v>
      </c>
      <c r="C177">
        <v>269.08139999999997</v>
      </c>
      <c r="D177">
        <v>168.2</v>
      </c>
      <c r="E177">
        <v>-0.78095664666034303</v>
      </c>
      <c r="F177" t="s">
        <v>18</v>
      </c>
      <c r="G177" t="s">
        <v>19</v>
      </c>
      <c r="H177">
        <v>1</v>
      </c>
      <c r="I177" t="s">
        <v>115</v>
      </c>
      <c r="J177" t="s">
        <v>19</v>
      </c>
      <c r="K177">
        <v>0.64</v>
      </c>
      <c r="L177" t="s">
        <v>116</v>
      </c>
      <c r="M177" t="s">
        <v>19</v>
      </c>
      <c r="N177">
        <v>0.97</v>
      </c>
      <c r="O177" t="s">
        <v>117</v>
      </c>
      <c r="P177" t="s">
        <v>19</v>
      </c>
      <c r="Q177">
        <v>0.99199999999999999</v>
      </c>
      <c r="R177" t="s">
        <v>23</v>
      </c>
      <c r="S177">
        <v>4</v>
      </c>
    </row>
    <row r="178" spans="1:19">
      <c r="A178">
        <v>178</v>
      </c>
      <c r="B178" t="s">
        <v>264</v>
      </c>
      <c r="C178">
        <v>540.29399999999998</v>
      </c>
      <c r="D178">
        <v>233.2</v>
      </c>
      <c r="E178">
        <v>-0.69073369787247396</v>
      </c>
      <c r="F178" t="s">
        <v>18</v>
      </c>
      <c r="G178" t="s">
        <v>19</v>
      </c>
      <c r="H178">
        <v>0.98799999999999999</v>
      </c>
      <c r="I178" t="s">
        <v>25</v>
      </c>
      <c r="J178" t="s">
        <v>19</v>
      </c>
      <c r="K178">
        <v>0.77</v>
      </c>
      <c r="L178" t="s">
        <v>26</v>
      </c>
      <c r="M178" t="s">
        <v>19</v>
      </c>
      <c r="N178">
        <v>0.99</v>
      </c>
      <c r="O178" t="s">
        <v>27</v>
      </c>
      <c r="P178" t="s">
        <v>19</v>
      </c>
      <c r="Q178">
        <v>1</v>
      </c>
      <c r="R178" t="s">
        <v>23</v>
      </c>
      <c r="S178">
        <v>4</v>
      </c>
    </row>
    <row r="179" spans="1:19">
      <c r="A179">
        <v>179</v>
      </c>
      <c r="B179" t="s">
        <v>265</v>
      </c>
      <c r="C179">
        <v>795.63559999999995</v>
      </c>
      <c r="D179">
        <v>295.7</v>
      </c>
      <c r="E179">
        <v>-0.74723154457933605</v>
      </c>
      <c r="F179" t="s">
        <v>18</v>
      </c>
      <c r="G179" t="s">
        <v>19</v>
      </c>
      <c r="H179">
        <v>1</v>
      </c>
      <c r="I179" t="s">
        <v>20</v>
      </c>
      <c r="J179" t="s">
        <v>19</v>
      </c>
      <c r="K179">
        <v>1</v>
      </c>
      <c r="L179" t="s">
        <v>67</v>
      </c>
      <c r="M179" t="s">
        <v>19</v>
      </c>
      <c r="N179">
        <v>1</v>
      </c>
      <c r="O179" t="s">
        <v>224</v>
      </c>
      <c r="P179" t="s">
        <v>19</v>
      </c>
      <c r="Q179">
        <v>0.93</v>
      </c>
      <c r="R179" t="s">
        <v>23</v>
      </c>
      <c r="S179">
        <v>4</v>
      </c>
    </row>
    <row r="180" spans="1:19">
      <c r="A180">
        <v>180</v>
      </c>
      <c r="B180" t="s">
        <v>266</v>
      </c>
      <c r="C180">
        <v>829.64530000000002</v>
      </c>
      <c r="D180">
        <v>299.8</v>
      </c>
      <c r="E180">
        <v>-0.71895794880481401</v>
      </c>
      <c r="F180" t="s">
        <v>18</v>
      </c>
      <c r="G180" t="s">
        <v>19</v>
      </c>
      <c r="H180">
        <v>1</v>
      </c>
      <c r="I180" t="s">
        <v>20</v>
      </c>
      <c r="J180" t="s">
        <v>19</v>
      </c>
      <c r="K180">
        <v>1</v>
      </c>
      <c r="L180" t="s">
        <v>67</v>
      </c>
      <c r="M180" t="s">
        <v>19</v>
      </c>
      <c r="N180">
        <v>1</v>
      </c>
      <c r="O180" t="s">
        <v>224</v>
      </c>
      <c r="P180" t="s">
        <v>19</v>
      </c>
      <c r="Q180">
        <v>0.86499999999999999</v>
      </c>
      <c r="R180" t="s">
        <v>23</v>
      </c>
      <c r="S180">
        <v>4</v>
      </c>
    </row>
    <row r="181" spans="1:19">
      <c r="A181">
        <v>181</v>
      </c>
      <c r="B181" t="s">
        <v>267</v>
      </c>
      <c r="C181">
        <v>186.22219999999999</v>
      </c>
      <c r="D181">
        <v>145.69999999999999</v>
      </c>
      <c r="E181">
        <v>-1.42732453662973E-2</v>
      </c>
      <c r="F181" t="s">
        <v>18</v>
      </c>
      <c r="G181" t="s">
        <v>19</v>
      </c>
      <c r="H181">
        <v>0.94599999999999995</v>
      </c>
      <c r="I181" t="s">
        <v>106</v>
      </c>
      <c r="J181" t="s">
        <v>19</v>
      </c>
      <c r="K181">
        <v>0.98</v>
      </c>
      <c r="L181" t="s">
        <v>107</v>
      </c>
      <c r="M181" t="s">
        <v>19</v>
      </c>
      <c r="N181">
        <v>1</v>
      </c>
      <c r="O181" t="s">
        <v>108</v>
      </c>
      <c r="P181" t="s">
        <v>19</v>
      </c>
      <c r="Q181">
        <v>0.79400000000000004</v>
      </c>
      <c r="R181" t="s">
        <v>23</v>
      </c>
      <c r="S181">
        <v>4</v>
      </c>
    </row>
    <row r="182" spans="1:19">
      <c r="A182">
        <v>182</v>
      </c>
      <c r="B182" t="s">
        <v>17</v>
      </c>
      <c r="C182">
        <v>912.57060000000001</v>
      </c>
      <c r="D182">
        <v>306.60000000000002</v>
      </c>
      <c r="E182">
        <v>-0.55166754601702905</v>
      </c>
      <c r="F182" t="s">
        <v>18</v>
      </c>
      <c r="G182" t="s">
        <v>19</v>
      </c>
      <c r="H182">
        <v>1</v>
      </c>
      <c r="I182" t="s">
        <v>20</v>
      </c>
      <c r="J182" t="s">
        <v>19</v>
      </c>
      <c r="K182">
        <v>0.92</v>
      </c>
      <c r="L182" t="s">
        <v>21</v>
      </c>
      <c r="M182" t="s">
        <v>19</v>
      </c>
      <c r="N182">
        <v>0.99</v>
      </c>
      <c r="O182" t="s">
        <v>22</v>
      </c>
      <c r="P182" t="s">
        <v>19</v>
      </c>
      <c r="Q182">
        <v>1</v>
      </c>
      <c r="R182" t="s">
        <v>23</v>
      </c>
      <c r="S182">
        <v>4</v>
      </c>
    </row>
    <row r="183" spans="1:19">
      <c r="A183">
        <v>183</v>
      </c>
      <c r="B183" t="s">
        <v>268</v>
      </c>
      <c r="C183">
        <v>352.04059999999998</v>
      </c>
      <c r="D183">
        <v>174.9</v>
      </c>
      <c r="E183">
        <v>-0.64752839276252405</v>
      </c>
      <c r="F183" t="s">
        <v>18</v>
      </c>
      <c r="G183" t="s">
        <v>19</v>
      </c>
      <c r="H183">
        <v>1</v>
      </c>
      <c r="I183" t="s">
        <v>53</v>
      </c>
      <c r="J183" t="s">
        <v>19</v>
      </c>
      <c r="K183">
        <v>0.97</v>
      </c>
      <c r="L183" t="s">
        <v>80</v>
      </c>
      <c r="M183" t="s">
        <v>19</v>
      </c>
      <c r="N183">
        <v>0.97</v>
      </c>
      <c r="O183" t="s">
        <v>247</v>
      </c>
      <c r="P183" t="s">
        <v>19</v>
      </c>
      <c r="Q183">
        <v>0.73399999999999999</v>
      </c>
      <c r="R183" t="s">
        <v>23</v>
      </c>
      <c r="S183">
        <v>4</v>
      </c>
    </row>
    <row r="184" spans="1:19">
      <c r="A184">
        <v>184</v>
      </c>
      <c r="B184" t="s">
        <v>269</v>
      </c>
      <c r="C184">
        <v>157.03729999999999</v>
      </c>
      <c r="D184">
        <v>126.7</v>
      </c>
      <c r="E184">
        <v>-0.861959701445699</v>
      </c>
      <c r="F184" t="s">
        <v>18</v>
      </c>
      <c r="G184" t="s">
        <v>19</v>
      </c>
      <c r="H184">
        <v>1</v>
      </c>
      <c r="I184" t="s">
        <v>39</v>
      </c>
      <c r="J184" t="s">
        <v>19</v>
      </c>
      <c r="K184">
        <v>0.71</v>
      </c>
      <c r="L184" t="s">
        <v>270</v>
      </c>
      <c r="M184" t="s">
        <v>19</v>
      </c>
      <c r="N184">
        <v>0.5</v>
      </c>
      <c r="O184" t="s">
        <v>271</v>
      </c>
      <c r="P184" t="s">
        <v>19</v>
      </c>
      <c r="Q184">
        <v>0.98599999999999999</v>
      </c>
      <c r="R184" t="s">
        <v>23</v>
      </c>
      <c r="S184">
        <v>4</v>
      </c>
    </row>
    <row r="185" spans="1:19">
      <c r="A185">
        <v>185</v>
      </c>
      <c r="B185" t="s">
        <v>272</v>
      </c>
      <c r="C185">
        <v>566.19629999999995</v>
      </c>
      <c r="D185">
        <v>221.5</v>
      </c>
      <c r="E185">
        <v>-0.56411243511991005</v>
      </c>
      <c r="F185" t="s">
        <v>18</v>
      </c>
      <c r="G185" t="s">
        <v>19</v>
      </c>
      <c r="H185">
        <v>1</v>
      </c>
      <c r="I185" t="s">
        <v>32</v>
      </c>
      <c r="J185" t="s">
        <v>19</v>
      </c>
      <c r="K185">
        <v>0.74</v>
      </c>
      <c r="L185" t="s">
        <v>33</v>
      </c>
      <c r="M185" t="s">
        <v>19</v>
      </c>
      <c r="N185">
        <v>1</v>
      </c>
      <c r="O185" t="s">
        <v>34</v>
      </c>
      <c r="P185" t="s">
        <v>19</v>
      </c>
      <c r="Q185">
        <v>1</v>
      </c>
      <c r="R185" t="s">
        <v>23</v>
      </c>
      <c r="S185">
        <v>4</v>
      </c>
    </row>
    <row r="186" spans="1:19">
      <c r="A186">
        <v>186</v>
      </c>
      <c r="B186" t="s">
        <v>273</v>
      </c>
      <c r="C186">
        <v>185.08959999999999</v>
      </c>
      <c r="D186">
        <v>137.69999999999999</v>
      </c>
      <c r="E186">
        <v>-0.88293785206894904</v>
      </c>
      <c r="F186" t="s">
        <v>18</v>
      </c>
      <c r="G186" t="s">
        <v>19</v>
      </c>
      <c r="H186">
        <v>1</v>
      </c>
      <c r="I186" t="s">
        <v>25</v>
      </c>
      <c r="J186" t="s">
        <v>19</v>
      </c>
      <c r="K186">
        <v>0.68</v>
      </c>
      <c r="L186" t="s">
        <v>26</v>
      </c>
      <c r="M186" t="s">
        <v>19</v>
      </c>
      <c r="N186">
        <v>1</v>
      </c>
      <c r="O186" t="s">
        <v>27</v>
      </c>
      <c r="P186" t="s">
        <v>19</v>
      </c>
      <c r="Q186">
        <v>1</v>
      </c>
      <c r="R186" t="s">
        <v>23</v>
      </c>
      <c r="S186">
        <v>4</v>
      </c>
    </row>
    <row r="187" spans="1:19">
      <c r="A187">
        <v>187</v>
      </c>
      <c r="B187" t="s">
        <v>274</v>
      </c>
      <c r="C187">
        <v>181.07</v>
      </c>
      <c r="D187">
        <v>134.5</v>
      </c>
      <c r="E187">
        <v>-0.86782594415959102</v>
      </c>
      <c r="F187" t="s">
        <v>18</v>
      </c>
      <c r="G187" t="s">
        <v>19</v>
      </c>
      <c r="H187">
        <v>1</v>
      </c>
      <c r="I187" t="s">
        <v>39</v>
      </c>
      <c r="J187" t="s">
        <v>19</v>
      </c>
      <c r="K187">
        <v>0.81</v>
      </c>
      <c r="L187" t="s">
        <v>188</v>
      </c>
      <c r="M187" t="s">
        <v>19</v>
      </c>
      <c r="N187">
        <v>0.88</v>
      </c>
      <c r="O187" t="s">
        <v>189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188</v>
      </c>
      <c r="B188" t="s">
        <v>275</v>
      </c>
      <c r="C188">
        <v>167.02109999999999</v>
      </c>
      <c r="D188">
        <v>126.2</v>
      </c>
      <c r="E188">
        <v>-0.83461227040413599</v>
      </c>
      <c r="F188" t="s">
        <v>18</v>
      </c>
      <c r="G188" t="s">
        <v>19</v>
      </c>
      <c r="H188">
        <v>1</v>
      </c>
      <c r="I188" t="s">
        <v>39</v>
      </c>
      <c r="J188" t="s">
        <v>19</v>
      </c>
      <c r="K188">
        <v>0.91</v>
      </c>
      <c r="L188" t="s">
        <v>188</v>
      </c>
      <c r="M188" t="s">
        <v>19</v>
      </c>
      <c r="N188">
        <v>0.81</v>
      </c>
      <c r="O188" t="s">
        <v>189</v>
      </c>
      <c r="P188" t="s">
        <v>19</v>
      </c>
      <c r="Q188">
        <v>1</v>
      </c>
      <c r="R188" t="s">
        <v>23</v>
      </c>
      <c r="S188">
        <v>4</v>
      </c>
    </row>
    <row r="189" spans="1:19">
      <c r="A189">
        <v>189</v>
      </c>
      <c r="B189" t="s">
        <v>183</v>
      </c>
      <c r="C189">
        <v>860.69550000000004</v>
      </c>
      <c r="D189">
        <v>307.5</v>
      </c>
      <c r="E189">
        <v>-0.73448878843225895</v>
      </c>
      <c r="F189" t="s">
        <v>18</v>
      </c>
      <c r="G189" t="s">
        <v>19</v>
      </c>
      <c r="H189">
        <v>1</v>
      </c>
      <c r="I189" t="s">
        <v>20</v>
      </c>
      <c r="J189" t="s">
        <v>19</v>
      </c>
      <c r="K189">
        <v>1</v>
      </c>
      <c r="L189" t="s">
        <v>67</v>
      </c>
      <c r="M189" t="s">
        <v>19</v>
      </c>
      <c r="N189">
        <v>1</v>
      </c>
      <c r="O189" t="s">
        <v>68</v>
      </c>
      <c r="P189" t="s">
        <v>19</v>
      </c>
      <c r="Q189">
        <v>0.74099999999999999</v>
      </c>
      <c r="R189" t="s">
        <v>23</v>
      </c>
      <c r="S189">
        <v>4</v>
      </c>
    </row>
    <row r="190" spans="1:19">
      <c r="A190">
        <v>190</v>
      </c>
      <c r="B190" t="s">
        <v>276</v>
      </c>
      <c r="C190">
        <v>255.233</v>
      </c>
      <c r="D190">
        <v>169</v>
      </c>
      <c r="E190">
        <v>-0.94801910424527602</v>
      </c>
      <c r="F190" t="s">
        <v>18</v>
      </c>
      <c r="G190" t="s">
        <v>19</v>
      </c>
      <c r="H190">
        <v>1</v>
      </c>
      <c r="I190" t="s">
        <v>20</v>
      </c>
      <c r="J190" t="s">
        <v>19</v>
      </c>
      <c r="K190">
        <v>1</v>
      </c>
      <c r="L190" t="s">
        <v>45</v>
      </c>
      <c r="M190" t="s">
        <v>19</v>
      </c>
      <c r="N190">
        <v>1</v>
      </c>
      <c r="O190" t="s">
        <v>51</v>
      </c>
      <c r="P190" t="s">
        <v>19</v>
      </c>
      <c r="Q190">
        <v>1</v>
      </c>
      <c r="R190" t="s">
        <v>23</v>
      </c>
      <c r="S190">
        <v>4</v>
      </c>
    </row>
    <row r="191" spans="1:19">
      <c r="A191">
        <v>191</v>
      </c>
      <c r="B191" t="s">
        <v>92</v>
      </c>
      <c r="C191">
        <v>225.13120000000001</v>
      </c>
      <c r="D191">
        <v>158.1</v>
      </c>
      <c r="E191">
        <v>-0.87982932677851999</v>
      </c>
      <c r="F191" t="s">
        <v>18</v>
      </c>
      <c r="G191" t="s">
        <v>19</v>
      </c>
      <c r="H191">
        <v>1</v>
      </c>
      <c r="I191" t="s">
        <v>25</v>
      </c>
      <c r="J191" t="s">
        <v>19</v>
      </c>
      <c r="K191">
        <v>0.68</v>
      </c>
      <c r="L191" t="s">
        <v>26</v>
      </c>
      <c r="M191" t="s">
        <v>19</v>
      </c>
      <c r="N191">
        <v>0.8</v>
      </c>
      <c r="O191" t="s">
        <v>27</v>
      </c>
      <c r="P191" t="s">
        <v>19</v>
      </c>
      <c r="Q191">
        <v>0.999</v>
      </c>
      <c r="R191" t="s">
        <v>23</v>
      </c>
      <c r="S191">
        <v>4</v>
      </c>
    </row>
    <row r="192" spans="1:19">
      <c r="A192">
        <v>192</v>
      </c>
      <c r="B192" t="s">
        <v>277</v>
      </c>
      <c r="C192">
        <v>179.05760000000001</v>
      </c>
      <c r="D192">
        <v>133.6</v>
      </c>
      <c r="E192">
        <v>-0.85767289323993601</v>
      </c>
      <c r="F192" t="s">
        <v>18</v>
      </c>
      <c r="G192" t="s">
        <v>19</v>
      </c>
      <c r="H192">
        <v>1</v>
      </c>
      <c r="I192" t="s">
        <v>39</v>
      </c>
      <c r="J192" t="s">
        <v>19</v>
      </c>
      <c r="K192">
        <v>0.67</v>
      </c>
      <c r="L192" t="s">
        <v>188</v>
      </c>
      <c r="M192" t="s">
        <v>19</v>
      </c>
      <c r="N192">
        <v>0.59</v>
      </c>
      <c r="O192" t="s">
        <v>189</v>
      </c>
      <c r="P192" t="s">
        <v>19</v>
      </c>
      <c r="Q192">
        <v>1</v>
      </c>
      <c r="R192" t="s">
        <v>23</v>
      </c>
      <c r="S192">
        <v>4</v>
      </c>
    </row>
    <row r="193" spans="1:19">
      <c r="A193">
        <v>193</v>
      </c>
      <c r="B193" t="s">
        <v>278</v>
      </c>
      <c r="C193">
        <v>127.0501</v>
      </c>
      <c r="D193">
        <v>124</v>
      </c>
      <c r="E193">
        <v>-0.90824196712914296</v>
      </c>
      <c r="F193" t="s">
        <v>18</v>
      </c>
      <c r="G193" t="s">
        <v>19</v>
      </c>
      <c r="H193">
        <v>1</v>
      </c>
      <c r="I193" t="s">
        <v>39</v>
      </c>
      <c r="J193" t="s">
        <v>19</v>
      </c>
      <c r="K193">
        <v>0.91</v>
      </c>
      <c r="L193" t="s">
        <v>270</v>
      </c>
      <c r="M193" t="s">
        <v>19</v>
      </c>
      <c r="N193">
        <v>0.62</v>
      </c>
      <c r="O193" t="s">
        <v>271</v>
      </c>
      <c r="P193" t="s">
        <v>19</v>
      </c>
      <c r="Q193">
        <v>0.99</v>
      </c>
      <c r="R193" t="s">
        <v>23</v>
      </c>
      <c r="S193">
        <v>4</v>
      </c>
    </row>
    <row r="194" spans="1:19">
      <c r="A194">
        <v>194</v>
      </c>
      <c r="B194" t="s">
        <v>279</v>
      </c>
      <c r="C194">
        <v>186.01599999999999</v>
      </c>
      <c r="D194">
        <v>149.30000000000001</v>
      </c>
      <c r="E194">
        <v>-0.808303478371869</v>
      </c>
      <c r="F194" t="s">
        <v>18</v>
      </c>
      <c r="G194" t="s">
        <v>19</v>
      </c>
      <c r="H194">
        <v>1</v>
      </c>
      <c r="I194" t="s">
        <v>25</v>
      </c>
      <c r="J194" t="s">
        <v>19</v>
      </c>
      <c r="K194">
        <v>0.7</v>
      </c>
      <c r="L194" t="s">
        <v>26</v>
      </c>
      <c r="M194" t="s">
        <v>19</v>
      </c>
      <c r="N194">
        <v>1</v>
      </c>
      <c r="O194" t="s">
        <v>27</v>
      </c>
      <c r="P194" t="s">
        <v>19</v>
      </c>
      <c r="Q194">
        <v>0.90200000000000002</v>
      </c>
      <c r="R194" t="s">
        <v>23</v>
      </c>
      <c r="S194">
        <v>4</v>
      </c>
    </row>
    <row r="195" spans="1:19">
      <c r="A195">
        <v>195</v>
      </c>
      <c r="B195" t="s">
        <v>280</v>
      </c>
      <c r="C195">
        <v>754.57259999999997</v>
      </c>
      <c r="D195">
        <v>282.8</v>
      </c>
      <c r="E195">
        <v>-0.73008051599913404</v>
      </c>
      <c r="F195" t="s">
        <v>18</v>
      </c>
      <c r="G195" t="s">
        <v>19</v>
      </c>
      <c r="H195">
        <v>1</v>
      </c>
      <c r="I195" t="s">
        <v>20</v>
      </c>
      <c r="J195" t="s">
        <v>19</v>
      </c>
      <c r="K195">
        <v>0.86</v>
      </c>
      <c r="L195" t="s">
        <v>21</v>
      </c>
      <c r="M195" t="s">
        <v>19</v>
      </c>
      <c r="N195">
        <v>0.8</v>
      </c>
      <c r="O195" t="s">
        <v>29</v>
      </c>
      <c r="P195" t="s">
        <v>19</v>
      </c>
      <c r="Q195">
        <v>0.69199999999999995</v>
      </c>
      <c r="R195" t="s">
        <v>23</v>
      </c>
      <c r="S195">
        <v>4</v>
      </c>
    </row>
    <row r="196" spans="1:19">
      <c r="A196">
        <v>196</v>
      </c>
      <c r="B196" t="s">
        <v>281</v>
      </c>
      <c r="C196">
        <v>277.2167</v>
      </c>
      <c r="D196">
        <v>173.9</v>
      </c>
      <c r="E196">
        <v>-0.90717316183969399</v>
      </c>
      <c r="F196" t="s">
        <v>18</v>
      </c>
      <c r="G196" t="s">
        <v>19</v>
      </c>
      <c r="H196">
        <v>1</v>
      </c>
      <c r="I196" t="s">
        <v>20</v>
      </c>
      <c r="J196" t="s">
        <v>19</v>
      </c>
      <c r="K196">
        <v>0.99</v>
      </c>
      <c r="L196" t="s">
        <v>45</v>
      </c>
      <c r="M196" t="s">
        <v>19</v>
      </c>
      <c r="N196">
        <v>1</v>
      </c>
      <c r="O196" t="s">
        <v>78</v>
      </c>
      <c r="P196" t="s">
        <v>19</v>
      </c>
      <c r="Q196">
        <v>0.91400000000000003</v>
      </c>
      <c r="R196" t="s">
        <v>23</v>
      </c>
      <c r="S196">
        <v>4</v>
      </c>
    </row>
    <row r="197" spans="1:19">
      <c r="A197">
        <v>197</v>
      </c>
      <c r="B197" t="s">
        <v>282</v>
      </c>
      <c r="C197">
        <v>162.09119999999999</v>
      </c>
      <c r="D197">
        <v>133.80000000000001</v>
      </c>
      <c r="E197">
        <v>-0.91021675970597504</v>
      </c>
      <c r="F197" t="s">
        <v>18</v>
      </c>
      <c r="G197" t="s">
        <v>19</v>
      </c>
      <c r="H197">
        <v>1</v>
      </c>
      <c r="I197" t="s">
        <v>39</v>
      </c>
      <c r="J197" t="s">
        <v>19</v>
      </c>
      <c r="K197">
        <v>0.73</v>
      </c>
      <c r="L197" t="s">
        <v>40</v>
      </c>
      <c r="M197" t="s">
        <v>19</v>
      </c>
      <c r="N197">
        <v>0.89</v>
      </c>
      <c r="O197" t="s">
        <v>159</v>
      </c>
      <c r="P197" t="s">
        <v>19</v>
      </c>
      <c r="Q197">
        <v>0.88500000000000001</v>
      </c>
      <c r="R197" t="s">
        <v>23</v>
      </c>
      <c r="S197">
        <v>4</v>
      </c>
    </row>
    <row r="198" spans="1:19">
      <c r="A198">
        <v>198</v>
      </c>
      <c r="B198" t="s">
        <v>42</v>
      </c>
      <c r="C198">
        <v>171.02979999999999</v>
      </c>
      <c r="D198">
        <v>132.19999999999999</v>
      </c>
      <c r="E198">
        <v>-0.83883634872938695</v>
      </c>
      <c r="F198" t="s">
        <v>18</v>
      </c>
      <c r="G198" t="s">
        <v>19</v>
      </c>
      <c r="H198">
        <v>1</v>
      </c>
      <c r="I198" t="s">
        <v>32</v>
      </c>
      <c r="J198" t="s">
        <v>19</v>
      </c>
      <c r="K198">
        <v>0.63</v>
      </c>
      <c r="L198" t="s">
        <v>33</v>
      </c>
      <c r="M198" t="s">
        <v>19</v>
      </c>
      <c r="N198">
        <v>1</v>
      </c>
      <c r="O198" t="s">
        <v>43</v>
      </c>
      <c r="P198" t="s">
        <v>19</v>
      </c>
      <c r="Q198">
        <v>0.53600000000000003</v>
      </c>
      <c r="R198" t="s">
        <v>23</v>
      </c>
      <c r="S198">
        <v>4</v>
      </c>
    </row>
    <row r="199" spans="1:19">
      <c r="A199">
        <v>199</v>
      </c>
      <c r="B199" t="s">
        <v>283</v>
      </c>
      <c r="C199">
        <v>220.11799999999999</v>
      </c>
      <c r="D199">
        <v>129.80000000000001</v>
      </c>
      <c r="E199">
        <v>-0.87222682485514702</v>
      </c>
      <c r="F199" t="s">
        <v>18</v>
      </c>
      <c r="G199" t="s">
        <v>19</v>
      </c>
      <c r="H199">
        <v>0.998</v>
      </c>
      <c r="I199" t="s">
        <v>32</v>
      </c>
      <c r="J199" t="s">
        <v>19</v>
      </c>
      <c r="K199">
        <v>0.72</v>
      </c>
      <c r="L199" t="s">
        <v>33</v>
      </c>
      <c r="M199" t="s">
        <v>19</v>
      </c>
      <c r="N199">
        <v>1</v>
      </c>
      <c r="O199" t="s">
        <v>110</v>
      </c>
      <c r="P199" t="s">
        <v>19</v>
      </c>
      <c r="Q199">
        <v>0.68899999999999995</v>
      </c>
      <c r="R199" t="s">
        <v>23</v>
      </c>
      <c r="S199">
        <v>4</v>
      </c>
    </row>
    <row r="200" spans="1:19">
      <c r="A200">
        <v>200</v>
      </c>
      <c r="B200" t="s">
        <v>284</v>
      </c>
      <c r="C200">
        <v>878.53129999999999</v>
      </c>
      <c r="D200">
        <v>297.8</v>
      </c>
      <c r="E200">
        <v>-0.55037419172845103</v>
      </c>
      <c r="F200" t="s">
        <v>18</v>
      </c>
      <c r="G200" t="s">
        <v>19</v>
      </c>
      <c r="H200">
        <v>1</v>
      </c>
      <c r="I200" t="s">
        <v>20</v>
      </c>
      <c r="J200" t="s">
        <v>19</v>
      </c>
      <c r="K200">
        <v>1</v>
      </c>
      <c r="L200" t="s">
        <v>21</v>
      </c>
      <c r="M200" t="s">
        <v>19</v>
      </c>
      <c r="N200">
        <v>1</v>
      </c>
      <c r="O200" t="s">
        <v>22</v>
      </c>
      <c r="P200" t="s">
        <v>19</v>
      </c>
      <c r="Q200">
        <v>1</v>
      </c>
      <c r="R200" t="s">
        <v>23</v>
      </c>
      <c r="S200">
        <v>4</v>
      </c>
    </row>
    <row r="201" spans="1:19">
      <c r="A201">
        <v>201</v>
      </c>
      <c r="B201" t="s">
        <v>285</v>
      </c>
      <c r="C201">
        <v>618.61890000000005</v>
      </c>
      <c r="D201">
        <v>274.31</v>
      </c>
      <c r="E201">
        <v>-0.92817988052956901</v>
      </c>
      <c r="F201" t="s">
        <v>18</v>
      </c>
      <c r="G201" t="s">
        <v>19</v>
      </c>
      <c r="H201">
        <v>1</v>
      </c>
      <c r="I201" t="s">
        <v>20</v>
      </c>
      <c r="J201" t="s">
        <v>19</v>
      </c>
      <c r="K201">
        <v>1</v>
      </c>
      <c r="L201" t="s">
        <v>67</v>
      </c>
      <c r="M201" t="s">
        <v>19</v>
      </c>
      <c r="N201">
        <v>1</v>
      </c>
      <c r="O201" t="s">
        <v>97</v>
      </c>
      <c r="P201" t="s">
        <v>19</v>
      </c>
      <c r="Q201">
        <v>1</v>
      </c>
      <c r="R201" t="s">
        <v>23</v>
      </c>
      <c r="S201">
        <v>4</v>
      </c>
    </row>
    <row r="202" spans="1:19">
      <c r="A202">
        <v>202</v>
      </c>
      <c r="B202" t="s">
        <v>286</v>
      </c>
      <c r="C202">
        <v>370.04930000000002</v>
      </c>
      <c r="D202">
        <v>171.5</v>
      </c>
      <c r="E202">
        <v>-0.63612074423207299</v>
      </c>
      <c r="F202" t="s">
        <v>18</v>
      </c>
      <c r="G202" t="s">
        <v>19</v>
      </c>
      <c r="H202">
        <v>1</v>
      </c>
      <c r="I202" t="s">
        <v>53</v>
      </c>
      <c r="J202" t="s">
        <v>19</v>
      </c>
      <c r="K202">
        <v>0.99</v>
      </c>
      <c r="L202" t="s">
        <v>80</v>
      </c>
      <c r="M202" t="s">
        <v>19</v>
      </c>
      <c r="N202">
        <v>1</v>
      </c>
      <c r="O202" t="s">
        <v>81</v>
      </c>
      <c r="P202" t="s">
        <v>19</v>
      </c>
      <c r="Q202">
        <v>0.64500000000000002</v>
      </c>
      <c r="R202" t="s">
        <v>23</v>
      </c>
      <c r="S202">
        <v>4</v>
      </c>
    </row>
    <row r="203" spans="1:19">
      <c r="A203">
        <v>203</v>
      </c>
      <c r="B203" t="s">
        <v>287</v>
      </c>
      <c r="C203">
        <v>184.98609999999999</v>
      </c>
      <c r="D203">
        <v>124.4</v>
      </c>
      <c r="E203">
        <v>-0.779553415192481</v>
      </c>
      <c r="F203" t="s">
        <v>18</v>
      </c>
      <c r="G203" t="s">
        <v>19</v>
      </c>
      <c r="H203">
        <v>1</v>
      </c>
      <c r="I203" t="s">
        <v>32</v>
      </c>
      <c r="J203" t="s">
        <v>19</v>
      </c>
      <c r="K203">
        <v>0.96</v>
      </c>
      <c r="L203" t="s">
        <v>33</v>
      </c>
      <c r="M203" t="s">
        <v>19</v>
      </c>
      <c r="N203">
        <v>1</v>
      </c>
      <c r="O203" t="s">
        <v>34</v>
      </c>
      <c r="P203" t="s">
        <v>19</v>
      </c>
      <c r="Q203">
        <v>1</v>
      </c>
      <c r="R203" t="s">
        <v>23</v>
      </c>
      <c r="S203">
        <v>4</v>
      </c>
    </row>
    <row r="204" spans="1:19">
      <c r="A204">
        <v>204</v>
      </c>
      <c r="B204" t="s">
        <v>288</v>
      </c>
      <c r="C204">
        <v>716.52300000000002</v>
      </c>
      <c r="D204">
        <v>269.5</v>
      </c>
      <c r="E204">
        <v>-0.72296486986840602</v>
      </c>
      <c r="F204" t="s">
        <v>18</v>
      </c>
      <c r="G204" t="s">
        <v>19</v>
      </c>
      <c r="H204">
        <v>1</v>
      </c>
      <c r="I204" t="s">
        <v>20</v>
      </c>
      <c r="J204" t="s">
        <v>19</v>
      </c>
      <c r="K204">
        <v>1</v>
      </c>
      <c r="L204" t="s">
        <v>21</v>
      </c>
      <c r="M204" t="s">
        <v>19</v>
      </c>
      <c r="N204">
        <v>1</v>
      </c>
      <c r="O204" t="s">
        <v>29</v>
      </c>
      <c r="P204" t="s">
        <v>19</v>
      </c>
      <c r="Q204">
        <v>0.999</v>
      </c>
      <c r="R204" t="s">
        <v>23</v>
      </c>
      <c r="S204">
        <v>4</v>
      </c>
    </row>
    <row r="205" spans="1:19">
      <c r="A205">
        <v>205</v>
      </c>
      <c r="B205" t="s">
        <v>289</v>
      </c>
      <c r="C205">
        <v>788.54409999999996</v>
      </c>
      <c r="D205">
        <v>283.10000000000002</v>
      </c>
      <c r="E205">
        <v>-0.66364957250777901</v>
      </c>
      <c r="F205" t="s">
        <v>18</v>
      </c>
      <c r="G205" t="s">
        <v>19</v>
      </c>
      <c r="H205">
        <v>0.998</v>
      </c>
      <c r="I205" t="s">
        <v>20</v>
      </c>
      <c r="J205" t="s">
        <v>19</v>
      </c>
      <c r="K205">
        <v>1</v>
      </c>
      <c r="L205" t="s">
        <v>21</v>
      </c>
      <c r="M205" t="s">
        <v>19</v>
      </c>
      <c r="N205">
        <v>1</v>
      </c>
      <c r="O205" t="s">
        <v>22</v>
      </c>
      <c r="P205" t="s">
        <v>19</v>
      </c>
      <c r="Q205">
        <v>0.752</v>
      </c>
      <c r="R205" t="s">
        <v>23</v>
      </c>
      <c r="S205">
        <v>4</v>
      </c>
    </row>
    <row r="206" spans="1:19">
      <c r="A206">
        <v>206</v>
      </c>
      <c r="B206" t="s">
        <v>290</v>
      </c>
      <c r="C206">
        <v>337.90269999999998</v>
      </c>
      <c r="D206">
        <v>167.5</v>
      </c>
      <c r="E206">
        <v>-0.525414092127789</v>
      </c>
      <c r="F206" t="s">
        <v>18</v>
      </c>
      <c r="G206" t="s">
        <v>19</v>
      </c>
      <c r="H206">
        <v>1</v>
      </c>
      <c r="I206" t="s">
        <v>25</v>
      </c>
      <c r="J206" t="s">
        <v>19</v>
      </c>
      <c r="K206">
        <v>0.72</v>
      </c>
      <c r="L206" t="s">
        <v>26</v>
      </c>
      <c r="M206" t="s">
        <v>19</v>
      </c>
      <c r="N206">
        <v>0.96</v>
      </c>
      <c r="O206" t="s">
        <v>27</v>
      </c>
      <c r="P206" t="s">
        <v>19</v>
      </c>
      <c r="Q206">
        <v>1</v>
      </c>
      <c r="R206" t="s">
        <v>23</v>
      </c>
      <c r="S206">
        <v>4</v>
      </c>
    </row>
    <row r="207" spans="1:19">
      <c r="A207">
        <v>207</v>
      </c>
      <c r="B207" t="s">
        <v>291</v>
      </c>
      <c r="C207">
        <v>210.03870000000001</v>
      </c>
      <c r="D207">
        <v>143.5</v>
      </c>
      <c r="E207">
        <v>-0.80418088660493903</v>
      </c>
      <c r="F207" t="s">
        <v>18</v>
      </c>
      <c r="G207" t="s">
        <v>19</v>
      </c>
      <c r="H207">
        <v>1</v>
      </c>
      <c r="I207" t="s">
        <v>25</v>
      </c>
      <c r="J207" t="s">
        <v>19</v>
      </c>
      <c r="K207">
        <v>0.77</v>
      </c>
      <c r="L207" t="s">
        <v>26</v>
      </c>
      <c r="M207" t="s">
        <v>19</v>
      </c>
      <c r="N207">
        <v>1</v>
      </c>
      <c r="O207" t="s">
        <v>27</v>
      </c>
      <c r="P207" t="s">
        <v>19</v>
      </c>
      <c r="Q207">
        <v>0.97199999999999998</v>
      </c>
      <c r="R207" t="s">
        <v>23</v>
      </c>
      <c r="S207">
        <v>4</v>
      </c>
    </row>
    <row r="208" spans="1:19">
      <c r="A208">
        <v>208</v>
      </c>
      <c r="B208" t="s">
        <v>292</v>
      </c>
      <c r="C208">
        <v>122.02760000000001</v>
      </c>
      <c r="D208">
        <v>148.6</v>
      </c>
      <c r="E208">
        <v>-0.89134984913863502</v>
      </c>
      <c r="F208" t="s">
        <v>18</v>
      </c>
      <c r="G208" t="s">
        <v>19</v>
      </c>
      <c r="H208">
        <v>1</v>
      </c>
      <c r="I208" t="s">
        <v>25</v>
      </c>
      <c r="J208" t="s">
        <v>19</v>
      </c>
      <c r="K208">
        <v>0.92</v>
      </c>
      <c r="L208" t="s">
        <v>26</v>
      </c>
      <c r="M208" t="s">
        <v>19</v>
      </c>
      <c r="N208">
        <v>1</v>
      </c>
      <c r="O208" t="s">
        <v>27</v>
      </c>
      <c r="P208" t="s">
        <v>19</v>
      </c>
      <c r="Q208">
        <v>0.995</v>
      </c>
      <c r="R208" t="s">
        <v>23</v>
      </c>
      <c r="S208">
        <v>4</v>
      </c>
    </row>
    <row r="209" spans="1:19">
      <c r="A209">
        <v>209</v>
      </c>
      <c r="B209" t="s">
        <v>93</v>
      </c>
      <c r="C209">
        <v>231.01249999999999</v>
      </c>
      <c r="D209">
        <v>137.5</v>
      </c>
      <c r="E209">
        <v>-0.75456254998161398</v>
      </c>
      <c r="F209" t="s">
        <v>18</v>
      </c>
      <c r="G209" t="s">
        <v>19</v>
      </c>
      <c r="H209">
        <v>1</v>
      </c>
      <c r="I209" t="s">
        <v>32</v>
      </c>
      <c r="J209" t="s">
        <v>19</v>
      </c>
      <c r="K209">
        <v>0.93</v>
      </c>
      <c r="L209" t="s">
        <v>33</v>
      </c>
      <c r="M209" t="s">
        <v>19</v>
      </c>
      <c r="N209">
        <v>1</v>
      </c>
      <c r="O209" t="s">
        <v>34</v>
      </c>
      <c r="P209" t="s">
        <v>19</v>
      </c>
      <c r="Q209">
        <v>0.99299999999999999</v>
      </c>
      <c r="R209" t="s">
        <v>23</v>
      </c>
      <c r="S209">
        <v>4</v>
      </c>
    </row>
    <row r="210" spans="1:19">
      <c r="A210">
        <v>210</v>
      </c>
      <c r="B210" t="s">
        <v>293</v>
      </c>
      <c r="C210">
        <v>170.09289999999999</v>
      </c>
      <c r="D210">
        <v>135.69999999999999</v>
      </c>
      <c r="E210">
        <v>-0.90298244622158597</v>
      </c>
      <c r="F210" t="s">
        <v>18</v>
      </c>
      <c r="G210" t="s">
        <v>19</v>
      </c>
      <c r="H210">
        <v>1</v>
      </c>
      <c r="I210" t="s">
        <v>25</v>
      </c>
      <c r="J210" t="s">
        <v>19</v>
      </c>
      <c r="K210">
        <v>0.96</v>
      </c>
      <c r="L210" t="s">
        <v>26</v>
      </c>
      <c r="M210" t="s">
        <v>19</v>
      </c>
      <c r="N210">
        <v>1</v>
      </c>
      <c r="O210" t="s">
        <v>27</v>
      </c>
      <c r="P210" t="s">
        <v>19</v>
      </c>
      <c r="Q210">
        <v>1</v>
      </c>
      <c r="R210" t="s">
        <v>23</v>
      </c>
      <c r="S210">
        <v>4</v>
      </c>
    </row>
    <row r="211" spans="1:19">
      <c r="A211">
        <v>211</v>
      </c>
      <c r="B211" t="s">
        <v>294</v>
      </c>
      <c r="C211">
        <v>812.51819999999998</v>
      </c>
      <c r="D211">
        <v>286.10000000000002</v>
      </c>
      <c r="E211">
        <v>-0.61098124516411201</v>
      </c>
      <c r="F211" t="s">
        <v>18</v>
      </c>
      <c r="G211" t="s">
        <v>19</v>
      </c>
      <c r="H211">
        <v>1</v>
      </c>
      <c r="I211" t="s">
        <v>20</v>
      </c>
      <c r="J211" t="s">
        <v>19</v>
      </c>
      <c r="K211">
        <v>0.98</v>
      </c>
      <c r="L211" t="s">
        <v>21</v>
      </c>
      <c r="M211" t="s">
        <v>19</v>
      </c>
      <c r="N211">
        <v>1</v>
      </c>
      <c r="O211" t="s">
        <v>29</v>
      </c>
      <c r="P211" t="s">
        <v>19</v>
      </c>
      <c r="Q211">
        <v>0.78100000000000003</v>
      </c>
      <c r="R211" t="s">
        <v>23</v>
      </c>
      <c r="S211">
        <v>4</v>
      </c>
    </row>
    <row r="212" spans="1:19">
      <c r="A212">
        <v>212</v>
      </c>
      <c r="B212" t="s">
        <v>295</v>
      </c>
      <c r="C212">
        <v>130.08750000000001</v>
      </c>
      <c r="D212">
        <v>132.19999999999999</v>
      </c>
      <c r="E212">
        <v>-0.94225055233260901</v>
      </c>
      <c r="F212" t="s">
        <v>18</v>
      </c>
      <c r="G212" t="s">
        <v>19</v>
      </c>
      <c r="H212">
        <v>1</v>
      </c>
      <c r="I212" t="s">
        <v>25</v>
      </c>
      <c r="J212" t="s">
        <v>19</v>
      </c>
      <c r="K212">
        <v>1</v>
      </c>
      <c r="L212" t="s">
        <v>26</v>
      </c>
      <c r="M212" t="s">
        <v>19</v>
      </c>
      <c r="N212">
        <v>1</v>
      </c>
      <c r="O212" t="s">
        <v>27</v>
      </c>
      <c r="P212" t="s">
        <v>19</v>
      </c>
      <c r="Q212">
        <v>1</v>
      </c>
      <c r="R212" t="s">
        <v>23</v>
      </c>
      <c r="S212">
        <v>4</v>
      </c>
    </row>
    <row r="213" spans="1:19">
      <c r="A213">
        <v>213</v>
      </c>
      <c r="B213" t="s">
        <v>296</v>
      </c>
      <c r="C213">
        <v>331.08179999999999</v>
      </c>
      <c r="D213">
        <v>177.4</v>
      </c>
      <c r="E213">
        <v>-0.71212998110706804</v>
      </c>
      <c r="F213" t="s">
        <v>18</v>
      </c>
      <c r="G213" t="s">
        <v>19</v>
      </c>
      <c r="H213">
        <v>1</v>
      </c>
      <c r="I213" t="s">
        <v>115</v>
      </c>
      <c r="J213" t="s">
        <v>19</v>
      </c>
      <c r="K213">
        <v>0.5</v>
      </c>
      <c r="L213" t="s">
        <v>116</v>
      </c>
      <c r="M213" t="s">
        <v>19</v>
      </c>
      <c r="N213">
        <v>1</v>
      </c>
      <c r="O213" t="s">
        <v>117</v>
      </c>
      <c r="P213" t="s">
        <v>19</v>
      </c>
      <c r="Q213">
        <v>1</v>
      </c>
      <c r="R213" t="s">
        <v>23</v>
      </c>
      <c r="S213">
        <v>4</v>
      </c>
    </row>
    <row r="214" spans="1:19">
      <c r="A214">
        <v>214</v>
      </c>
      <c r="B214" t="s">
        <v>297</v>
      </c>
      <c r="C214">
        <v>269.09019999999998</v>
      </c>
      <c r="D214">
        <v>161.69999999999999</v>
      </c>
      <c r="E214">
        <v>-0.78974682100346205</v>
      </c>
      <c r="F214" t="s">
        <v>18</v>
      </c>
      <c r="G214" t="s">
        <v>19</v>
      </c>
      <c r="H214">
        <v>1</v>
      </c>
      <c r="I214" t="s">
        <v>25</v>
      </c>
      <c r="J214" t="s">
        <v>19</v>
      </c>
      <c r="K214">
        <v>0.8</v>
      </c>
      <c r="L214" t="s">
        <v>26</v>
      </c>
      <c r="M214" t="s">
        <v>19</v>
      </c>
      <c r="N214">
        <v>1</v>
      </c>
      <c r="O214" t="s">
        <v>27</v>
      </c>
      <c r="P214" t="s">
        <v>19</v>
      </c>
      <c r="Q214">
        <v>1</v>
      </c>
      <c r="R214" t="s">
        <v>23</v>
      </c>
      <c r="S214">
        <v>4</v>
      </c>
    </row>
    <row r="215" spans="1:19">
      <c r="A215">
        <v>215</v>
      </c>
      <c r="B215" t="s">
        <v>298</v>
      </c>
      <c r="C215">
        <v>253.0943</v>
      </c>
      <c r="D215">
        <v>156.1</v>
      </c>
      <c r="E215">
        <v>-0.81170707383284901</v>
      </c>
      <c r="F215" t="s">
        <v>18</v>
      </c>
      <c r="G215" t="s">
        <v>19</v>
      </c>
      <c r="H215">
        <v>1</v>
      </c>
      <c r="I215" t="s">
        <v>39</v>
      </c>
      <c r="J215" t="s">
        <v>19</v>
      </c>
      <c r="K215">
        <v>0.72</v>
      </c>
      <c r="L215" t="s">
        <v>270</v>
      </c>
      <c r="M215" t="s">
        <v>19</v>
      </c>
      <c r="N215">
        <v>0.64</v>
      </c>
      <c r="O215" t="s">
        <v>271</v>
      </c>
      <c r="P215" t="s">
        <v>19</v>
      </c>
      <c r="Q215">
        <v>0.93300000000000005</v>
      </c>
      <c r="R215" t="s">
        <v>23</v>
      </c>
      <c r="S215">
        <v>4</v>
      </c>
    </row>
    <row r="216" spans="1:19">
      <c r="A216">
        <v>216</v>
      </c>
      <c r="B216" t="s">
        <v>299</v>
      </c>
      <c r="C216">
        <v>445.17750000000001</v>
      </c>
      <c r="D216">
        <v>213.6</v>
      </c>
      <c r="E216">
        <v>-0.680436208406206</v>
      </c>
      <c r="F216" t="s">
        <v>18</v>
      </c>
      <c r="G216" t="s">
        <v>19</v>
      </c>
      <c r="H216">
        <v>1</v>
      </c>
      <c r="I216" t="s">
        <v>25</v>
      </c>
      <c r="J216" t="s">
        <v>19</v>
      </c>
      <c r="K216">
        <v>0.75</v>
      </c>
      <c r="L216" t="s">
        <v>26</v>
      </c>
      <c r="M216" t="s">
        <v>19</v>
      </c>
      <c r="N216">
        <v>1</v>
      </c>
      <c r="O216" t="s">
        <v>27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217</v>
      </c>
      <c r="B217" t="s">
        <v>300</v>
      </c>
      <c r="C217">
        <v>236.98740000000001</v>
      </c>
      <c r="D217">
        <v>151.1</v>
      </c>
      <c r="E217">
        <v>-0.722791263925188</v>
      </c>
      <c r="F217" t="s">
        <v>18</v>
      </c>
      <c r="G217" t="s">
        <v>19</v>
      </c>
      <c r="H217">
        <v>1</v>
      </c>
      <c r="I217" t="s">
        <v>74</v>
      </c>
      <c r="J217" t="s">
        <v>19</v>
      </c>
      <c r="K217">
        <v>0.97</v>
      </c>
      <c r="L217" t="s">
        <v>75</v>
      </c>
      <c r="M217" t="s">
        <v>19</v>
      </c>
      <c r="N217">
        <v>1</v>
      </c>
      <c r="O217" t="s">
        <v>76</v>
      </c>
      <c r="P217" t="s">
        <v>19</v>
      </c>
      <c r="Q217">
        <v>0.99399999999999999</v>
      </c>
      <c r="R217" t="s">
        <v>23</v>
      </c>
      <c r="S217">
        <v>4</v>
      </c>
    </row>
    <row r="218" spans="1:19">
      <c r="A218">
        <v>218</v>
      </c>
      <c r="B218" t="s">
        <v>301</v>
      </c>
      <c r="C218">
        <v>111.0201</v>
      </c>
      <c r="D218">
        <v>113.5</v>
      </c>
      <c r="E218">
        <v>-0.89614029437893805</v>
      </c>
      <c r="F218" t="s">
        <v>18</v>
      </c>
      <c r="G218" t="s">
        <v>19</v>
      </c>
      <c r="H218">
        <v>1</v>
      </c>
      <c r="I218" t="s">
        <v>39</v>
      </c>
      <c r="J218" t="s">
        <v>19</v>
      </c>
      <c r="K218">
        <v>0.64</v>
      </c>
      <c r="L218" t="s">
        <v>221</v>
      </c>
      <c r="M218" t="s">
        <v>19</v>
      </c>
      <c r="N218">
        <v>0.75</v>
      </c>
      <c r="O218" t="s">
        <v>222</v>
      </c>
      <c r="P218" t="s">
        <v>19</v>
      </c>
      <c r="Q218">
        <v>1</v>
      </c>
      <c r="R218" t="s">
        <v>23</v>
      </c>
      <c r="S218">
        <v>4</v>
      </c>
    </row>
    <row r="219" spans="1:19">
      <c r="A219">
        <v>219</v>
      </c>
      <c r="B219" t="s">
        <v>302</v>
      </c>
      <c r="C219">
        <v>828.47450000000003</v>
      </c>
      <c r="D219">
        <v>287.5</v>
      </c>
      <c r="E219">
        <v>-0.54946520779071795</v>
      </c>
      <c r="F219" t="s">
        <v>18</v>
      </c>
      <c r="G219" t="s">
        <v>19</v>
      </c>
      <c r="H219">
        <v>1</v>
      </c>
      <c r="I219" t="s">
        <v>32</v>
      </c>
      <c r="J219" t="s">
        <v>19</v>
      </c>
      <c r="K219">
        <v>0.73</v>
      </c>
      <c r="L219" t="s">
        <v>33</v>
      </c>
      <c r="M219" t="s">
        <v>19</v>
      </c>
      <c r="N219">
        <v>1</v>
      </c>
      <c r="O219" t="s">
        <v>34</v>
      </c>
      <c r="P219" t="s">
        <v>19</v>
      </c>
      <c r="Q219">
        <v>1</v>
      </c>
      <c r="R219" t="s">
        <v>23</v>
      </c>
      <c r="S219">
        <v>4</v>
      </c>
    </row>
    <row r="220" spans="1:19">
      <c r="A220">
        <v>220</v>
      </c>
      <c r="B220" t="s">
        <v>303</v>
      </c>
      <c r="C220">
        <v>238.91820000000001</v>
      </c>
      <c r="D220">
        <v>136.4</v>
      </c>
      <c r="E220">
        <v>-0.65143542548139499</v>
      </c>
      <c r="F220" t="s">
        <v>18</v>
      </c>
      <c r="G220" t="s">
        <v>19</v>
      </c>
      <c r="H220">
        <v>0.89800000000000002</v>
      </c>
      <c r="I220" t="s">
        <v>39</v>
      </c>
      <c r="J220" t="s">
        <v>19</v>
      </c>
      <c r="K220">
        <v>0.91</v>
      </c>
      <c r="L220" t="s">
        <v>196</v>
      </c>
      <c r="M220" t="s">
        <v>19</v>
      </c>
      <c r="N220">
        <v>0.93</v>
      </c>
      <c r="O220" t="s">
        <v>197</v>
      </c>
      <c r="P220" t="s">
        <v>19</v>
      </c>
      <c r="Q220">
        <v>0.93</v>
      </c>
      <c r="R220" t="s">
        <v>23</v>
      </c>
      <c r="S220">
        <v>4</v>
      </c>
    </row>
    <row r="221" spans="1:19">
      <c r="A221">
        <v>221</v>
      </c>
      <c r="B221" t="s">
        <v>304</v>
      </c>
      <c r="C221">
        <v>136.06139999999999</v>
      </c>
      <c r="D221">
        <v>125.6</v>
      </c>
      <c r="E221">
        <v>-0.90948038282806498</v>
      </c>
      <c r="F221" t="s">
        <v>18</v>
      </c>
      <c r="G221" t="s">
        <v>19</v>
      </c>
      <c r="H221">
        <v>1</v>
      </c>
      <c r="I221" t="s">
        <v>39</v>
      </c>
      <c r="J221" t="s">
        <v>19</v>
      </c>
      <c r="K221">
        <v>0.83</v>
      </c>
      <c r="L221" t="s">
        <v>188</v>
      </c>
      <c r="M221" t="s">
        <v>19</v>
      </c>
      <c r="N221">
        <v>0.62</v>
      </c>
      <c r="O221" t="s">
        <v>189</v>
      </c>
      <c r="P221" t="s">
        <v>19</v>
      </c>
      <c r="Q221">
        <v>1</v>
      </c>
      <c r="R221" t="s">
        <v>23</v>
      </c>
      <c r="S221">
        <v>4</v>
      </c>
    </row>
    <row r="222" spans="1:19">
      <c r="A222">
        <v>222</v>
      </c>
      <c r="B222" t="s">
        <v>305</v>
      </c>
      <c r="C222">
        <v>1633.9492</v>
      </c>
      <c r="D222">
        <v>320.3</v>
      </c>
      <c r="E222">
        <v>-0.12481088639106</v>
      </c>
      <c r="F222" t="s">
        <v>18</v>
      </c>
      <c r="G222" t="s">
        <v>19</v>
      </c>
      <c r="H222">
        <v>0.998</v>
      </c>
      <c r="I222" t="s">
        <v>127</v>
      </c>
      <c r="J222" t="s">
        <v>19</v>
      </c>
      <c r="K222">
        <v>0.96</v>
      </c>
      <c r="L222" t="s">
        <v>128</v>
      </c>
      <c r="M222" t="s">
        <v>19</v>
      </c>
      <c r="N222">
        <v>1</v>
      </c>
      <c r="O222" t="s">
        <v>129</v>
      </c>
      <c r="P222" t="s">
        <v>19</v>
      </c>
      <c r="Q222">
        <v>1</v>
      </c>
      <c r="R222" t="s">
        <v>23</v>
      </c>
      <c r="S222">
        <v>4</v>
      </c>
    </row>
    <row r="223" spans="1:19">
      <c r="A223">
        <v>223</v>
      </c>
      <c r="B223" t="s">
        <v>306</v>
      </c>
      <c r="C223">
        <v>758.41600000000005</v>
      </c>
      <c r="D223">
        <v>277.5</v>
      </c>
      <c r="E223">
        <v>-0.56918916035658595</v>
      </c>
      <c r="F223" t="s">
        <v>18</v>
      </c>
      <c r="G223" t="s">
        <v>19</v>
      </c>
      <c r="H223">
        <v>1</v>
      </c>
      <c r="I223" t="s">
        <v>25</v>
      </c>
      <c r="J223" t="s">
        <v>19</v>
      </c>
      <c r="K223">
        <v>0.96</v>
      </c>
      <c r="L223" t="s">
        <v>26</v>
      </c>
      <c r="M223" t="s">
        <v>19</v>
      </c>
      <c r="N223">
        <v>1</v>
      </c>
      <c r="O223" t="s">
        <v>27</v>
      </c>
      <c r="P223" t="s">
        <v>19</v>
      </c>
      <c r="Q223">
        <v>1</v>
      </c>
      <c r="R223" t="s">
        <v>23</v>
      </c>
      <c r="S223">
        <v>4</v>
      </c>
    </row>
    <row r="224" spans="1:19">
      <c r="A224">
        <v>224</v>
      </c>
      <c r="B224" t="s">
        <v>280</v>
      </c>
      <c r="C224">
        <v>776.55460000000005</v>
      </c>
      <c r="D224">
        <v>284.3</v>
      </c>
      <c r="E224">
        <v>-0.68753647173195997</v>
      </c>
      <c r="F224" t="s">
        <v>18</v>
      </c>
      <c r="G224" t="s">
        <v>19</v>
      </c>
      <c r="H224">
        <v>1</v>
      </c>
      <c r="I224" t="s">
        <v>20</v>
      </c>
      <c r="J224" t="s">
        <v>19</v>
      </c>
      <c r="K224">
        <v>1</v>
      </c>
      <c r="L224" t="s">
        <v>21</v>
      </c>
      <c r="M224" t="s">
        <v>19</v>
      </c>
      <c r="N224">
        <v>1</v>
      </c>
      <c r="O224" t="s">
        <v>29</v>
      </c>
      <c r="P224" t="s">
        <v>19</v>
      </c>
      <c r="Q224">
        <v>0.76900000000000002</v>
      </c>
      <c r="R224" t="s">
        <v>23</v>
      </c>
      <c r="S224">
        <v>4</v>
      </c>
    </row>
    <row r="225" spans="1:19">
      <c r="A225">
        <v>225</v>
      </c>
      <c r="B225" t="s">
        <v>144</v>
      </c>
      <c r="C225">
        <v>343.03089999999997</v>
      </c>
      <c r="D225">
        <v>167.7</v>
      </c>
      <c r="E225">
        <v>-0.64788819058054503</v>
      </c>
      <c r="F225" t="s">
        <v>18</v>
      </c>
      <c r="G225" t="s">
        <v>19</v>
      </c>
      <c r="H225">
        <v>1</v>
      </c>
      <c r="I225" t="s">
        <v>53</v>
      </c>
      <c r="J225" t="s">
        <v>19</v>
      </c>
      <c r="K225">
        <v>1</v>
      </c>
      <c r="L225" t="s">
        <v>54</v>
      </c>
      <c r="M225" t="s">
        <v>19</v>
      </c>
      <c r="N225">
        <v>0.83</v>
      </c>
      <c r="O225" t="s">
        <v>145</v>
      </c>
      <c r="P225" t="s">
        <v>19</v>
      </c>
      <c r="Q225">
        <v>0.90400000000000003</v>
      </c>
      <c r="R225" t="s">
        <v>23</v>
      </c>
      <c r="S225">
        <v>4</v>
      </c>
    </row>
    <row r="226" spans="1:19">
      <c r="A226">
        <v>226</v>
      </c>
      <c r="B226" t="s">
        <v>307</v>
      </c>
      <c r="C226">
        <v>241.21729999999999</v>
      </c>
      <c r="D226">
        <v>165.1</v>
      </c>
      <c r="E226">
        <v>-0.94796836096608705</v>
      </c>
      <c r="F226" t="s">
        <v>18</v>
      </c>
      <c r="G226" t="s">
        <v>19</v>
      </c>
      <c r="H226">
        <v>1</v>
      </c>
      <c r="I226" t="s">
        <v>20</v>
      </c>
      <c r="J226" t="s">
        <v>19</v>
      </c>
      <c r="K226">
        <v>0.97</v>
      </c>
      <c r="L226" t="s">
        <v>45</v>
      </c>
      <c r="M226" t="s">
        <v>19</v>
      </c>
      <c r="N226">
        <v>1</v>
      </c>
      <c r="O226" t="s">
        <v>51</v>
      </c>
      <c r="P226" t="s">
        <v>19</v>
      </c>
      <c r="Q226">
        <v>1</v>
      </c>
      <c r="R226" t="s">
        <v>23</v>
      </c>
      <c r="S226">
        <v>4</v>
      </c>
    </row>
    <row r="227" spans="1:19">
      <c r="A227">
        <v>227</v>
      </c>
      <c r="B227" t="s">
        <v>308</v>
      </c>
      <c r="C227">
        <v>1859.9087</v>
      </c>
      <c r="D227">
        <v>345.7</v>
      </c>
      <c r="E227">
        <v>-0.832015373215654</v>
      </c>
      <c r="F227" t="s">
        <v>18</v>
      </c>
      <c r="G227" t="s">
        <v>19</v>
      </c>
      <c r="H227">
        <v>1</v>
      </c>
      <c r="I227" t="s">
        <v>127</v>
      </c>
      <c r="J227" t="s">
        <v>19</v>
      </c>
      <c r="K227">
        <v>0.99</v>
      </c>
      <c r="L227" t="s">
        <v>128</v>
      </c>
      <c r="M227" t="s">
        <v>19</v>
      </c>
      <c r="N227">
        <v>1</v>
      </c>
      <c r="O227" t="s">
        <v>129</v>
      </c>
      <c r="P227" t="s">
        <v>19</v>
      </c>
      <c r="Q227">
        <v>1</v>
      </c>
      <c r="R227" t="s">
        <v>23</v>
      </c>
      <c r="S227">
        <v>4</v>
      </c>
    </row>
    <row r="228" spans="1:19">
      <c r="A228">
        <v>228</v>
      </c>
      <c r="B228" t="s">
        <v>126</v>
      </c>
      <c r="C228">
        <v>2421.9144999999999</v>
      </c>
      <c r="D228">
        <v>411.2</v>
      </c>
      <c r="E228">
        <v>-0.21030671914922999</v>
      </c>
      <c r="F228" t="s">
        <v>18</v>
      </c>
      <c r="G228" t="s">
        <v>19</v>
      </c>
      <c r="H228">
        <v>0.996</v>
      </c>
      <c r="I228" t="s">
        <v>127</v>
      </c>
      <c r="J228" t="s">
        <v>19</v>
      </c>
      <c r="K228">
        <v>0.97</v>
      </c>
      <c r="L228" t="s">
        <v>128</v>
      </c>
      <c r="M228" t="s">
        <v>19</v>
      </c>
      <c r="N228">
        <v>1</v>
      </c>
      <c r="O228" t="s">
        <v>129</v>
      </c>
      <c r="P228" t="s">
        <v>19</v>
      </c>
      <c r="Q228">
        <v>1</v>
      </c>
      <c r="R228" t="s">
        <v>23</v>
      </c>
      <c r="S228">
        <v>4</v>
      </c>
    </row>
    <row r="229" spans="1:19">
      <c r="A229">
        <v>229</v>
      </c>
      <c r="B229" t="s">
        <v>309</v>
      </c>
      <c r="C229">
        <v>601.0086</v>
      </c>
      <c r="D229">
        <v>204.3</v>
      </c>
      <c r="E229">
        <v>-0.33754269477572102</v>
      </c>
      <c r="F229" t="s">
        <v>18</v>
      </c>
      <c r="G229" t="s">
        <v>19</v>
      </c>
      <c r="H229">
        <v>1</v>
      </c>
      <c r="I229" t="s">
        <v>53</v>
      </c>
      <c r="J229" t="s">
        <v>19</v>
      </c>
      <c r="K229">
        <v>0.71</v>
      </c>
      <c r="L229" t="s">
        <v>54</v>
      </c>
      <c r="M229" t="s">
        <v>19</v>
      </c>
      <c r="N229">
        <v>0.66</v>
      </c>
      <c r="O229" t="s">
        <v>55</v>
      </c>
      <c r="P229" t="s">
        <v>19</v>
      </c>
      <c r="Q229">
        <v>0.97499999999999998</v>
      </c>
      <c r="R229" t="s">
        <v>23</v>
      </c>
      <c r="S229">
        <v>4</v>
      </c>
    </row>
    <row r="230" spans="1:19">
      <c r="A230">
        <v>230</v>
      </c>
      <c r="B230" t="s">
        <v>310</v>
      </c>
      <c r="C230">
        <v>865.71379999999999</v>
      </c>
      <c r="D230">
        <v>309.10000000000002</v>
      </c>
      <c r="E230">
        <v>-0.74718559594077805</v>
      </c>
      <c r="F230" t="s">
        <v>18</v>
      </c>
      <c r="G230" t="s">
        <v>19</v>
      </c>
      <c r="H230">
        <v>1</v>
      </c>
      <c r="I230" t="s">
        <v>20</v>
      </c>
      <c r="J230" t="s">
        <v>19</v>
      </c>
      <c r="K230">
        <v>1</v>
      </c>
      <c r="L230" t="s">
        <v>67</v>
      </c>
      <c r="M230" t="s">
        <v>19</v>
      </c>
      <c r="N230">
        <v>1</v>
      </c>
      <c r="O230" t="s">
        <v>224</v>
      </c>
      <c r="P230" t="s">
        <v>19</v>
      </c>
      <c r="Q230">
        <v>0.753</v>
      </c>
      <c r="R230" t="s">
        <v>23</v>
      </c>
      <c r="S230">
        <v>4</v>
      </c>
    </row>
    <row r="231" spans="1:19">
      <c r="A231">
        <v>231</v>
      </c>
      <c r="B231" t="s">
        <v>311</v>
      </c>
      <c r="C231">
        <v>366.25990000000002</v>
      </c>
      <c r="D231">
        <v>209.7</v>
      </c>
      <c r="E231">
        <v>-0.85095180607118004</v>
      </c>
      <c r="F231" t="s">
        <v>18</v>
      </c>
      <c r="G231" t="s">
        <v>19</v>
      </c>
      <c r="H231">
        <v>1</v>
      </c>
      <c r="I231" t="s">
        <v>20</v>
      </c>
      <c r="J231" t="s">
        <v>19</v>
      </c>
      <c r="K231">
        <v>1</v>
      </c>
      <c r="L231" t="s">
        <v>45</v>
      </c>
      <c r="M231" t="s">
        <v>19</v>
      </c>
      <c r="N231">
        <v>0.75</v>
      </c>
      <c r="O231" t="s">
        <v>312</v>
      </c>
      <c r="P231" t="s">
        <v>19</v>
      </c>
      <c r="Q231">
        <v>0.68600000000000005</v>
      </c>
      <c r="R231" t="s">
        <v>23</v>
      </c>
      <c r="S231">
        <v>4</v>
      </c>
    </row>
    <row r="232" spans="1:19">
      <c r="A232">
        <v>232</v>
      </c>
      <c r="B232" t="s">
        <v>313</v>
      </c>
      <c r="C232">
        <v>114.06619999999999</v>
      </c>
      <c r="D232">
        <v>123.4</v>
      </c>
      <c r="E232">
        <v>-0.93883916558070302</v>
      </c>
      <c r="F232" t="s">
        <v>18</v>
      </c>
      <c r="G232" t="s">
        <v>19</v>
      </c>
      <c r="H232">
        <v>1</v>
      </c>
      <c r="I232" t="s">
        <v>25</v>
      </c>
      <c r="J232" t="s">
        <v>19</v>
      </c>
      <c r="K232">
        <v>1</v>
      </c>
      <c r="L232" t="s">
        <v>26</v>
      </c>
      <c r="M232" t="s">
        <v>19</v>
      </c>
      <c r="N232">
        <v>1</v>
      </c>
      <c r="O232" t="s">
        <v>27</v>
      </c>
      <c r="P232" t="s">
        <v>19</v>
      </c>
      <c r="Q232">
        <v>1</v>
      </c>
      <c r="R232" t="s">
        <v>23</v>
      </c>
      <c r="S232">
        <v>4</v>
      </c>
    </row>
    <row r="233" spans="1:19">
      <c r="A233">
        <v>233</v>
      </c>
      <c r="B233" t="s">
        <v>283</v>
      </c>
      <c r="C233">
        <v>218.10380000000001</v>
      </c>
      <c r="D233">
        <v>146.6</v>
      </c>
      <c r="E233">
        <v>-0.86027578372895197</v>
      </c>
      <c r="F233" t="s">
        <v>18</v>
      </c>
      <c r="G233" t="s">
        <v>19</v>
      </c>
      <c r="H233">
        <v>1</v>
      </c>
      <c r="I233" t="s">
        <v>32</v>
      </c>
      <c r="J233" t="s">
        <v>19</v>
      </c>
      <c r="K233">
        <v>0.7</v>
      </c>
      <c r="L233" t="s">
        <v>33</v>
      </c>
      <c r="M233" t="s">
        <v>19</v>
      </c>
      <c r="N233">
        <v>1</v>
      </c>
      <c r="O233" t="s">
        <v>110</v>
      </c>
      <c r="P233" t="s">
        <v>19</v>
      </c>
      <c r="Q233">
        <v>0.73299999999999998</v>
      </c>
      <c r="R233" t="s">
        <v>23</v>
      </c>
      <c r="S233">
        <v>4</v>
      </c>
    </row>
    <row r="234" spans="1:19">
      <c r="A234">
        <v>234</v>
      </c>
      <c r="B234" t="s">
        <v>314</v>
      </c>
      <c r="C234">
        <v>454.25700000000001</v>
      </c>
      <c r="D234">
        <v>215.4</v>
      </c>
      <c r="E234">
        <v>-0.74979847526435595</v>
      </c>
      <c r="F234" t="s">
        <v>18</v>
      </c>
      <c r="G234" t="s">
        <v>19</v>
      </c>
      <c r="H234">
        <v>1</v>
      </c>
      <c r="I234" t="s">
        <v>20</v>
      </c>
      <c r="J234" t="s">
        <v>19</v>
      </c>
      <c r="K234">
        <v>0.83</v>
      </c>
      <c r="L234" t="s">
        <v>21</v>
      </c>
      <c r="M234" t="s">
        <v>19</v>
      </c>
      <c r="N234">
        <v>0.78</v>
      </c>
      <c r="O234" t="s">
        <v>65</v>
      </c>
      <c r="P234" t="s">
        <v>19</v>
      </c>
      <c r="Q234">
        <v>0.67800000000000005</v>
      </c>
      <c r="R234" t="s">
        <v>23</v>
      </c>
      <c r="S234">
        <v>4</v>
      </c>
    </row>
    <row r="235" spans="1:19">
      <c r="A235">
        <v>235</v>
      </c>
      <c r="B235" t="s">
        <v>114</v>
      </c>
      <c r="C235">
        <v>181.04769999999999</v>
      </c>
      <c r="D235">
        <v>138.6</v>
      </c>
      <c r="E235">
        <v>-0.84555084326737495</v>
      </c>
      <c r="F235" t="s">
        <v>18</v>
      </c>
      <c r="G235" t="s">
        <v>19</v>
      </c>
      <c r="H235">
        <v>1</v>
      </c>
      <c r="I235" t="s">
        <v>115</v>
      </c>
      <c r="J235" t="s">
        <v>19</v>
      </c>
      <c r="K235">
        <v>0.72</v>
      </c>
      <c r="L235" t="s">
        <v>116</v>
      </c>
      <c r="M235" t="s">
        <v>19</v>
      </c>
      <c r="N235">
        <v>0.92</v>
      </c>
      <c r="O235" t="s">
        <v>117</v>
      </c>
      <c r="P235" t="s">
        <v>19</v>
      </c>
      <c r="Q235">
        <v>0.96299999999999997</v>
      </c>
      <c r="R235" t="s">
        <v>23</v>
      </c>
      <c r="S235">
        <v>4</v>
      </c>
    </row>
    <row r="236" spans="1:19">
      <c r="A236">
        <v>236</v>
      </c>
      <c r="B236" t="s">
        <v>315</v>
      </c>
      <c r="C236">
        <v>959.96619999999996</v>
      </c>
      <c r="D236">
        <v>247.2</v>
      </c>
      <c r="E236">
        <v>-0.89434789791960201</v>
      </c>
      <c r="F236" t="s">
        <v>18</v>
      </c>
      <c r="G236" t="s">
        <v>19</v>
      </c>
      <c r="H236">
        <v>0.99399999999999999</v>
      </c>
      <c r="I236" t="s">
        <v>127</v>
      </c>
      <c r="J236" t="s">
        <v>19</v>
      </c>
      <c r="K236">
        <v>0.98</v>
      </c>
      <c r="L236" t="s">
        <v>128</v>
      </c>
      <c r="M236" t="s">
        <v>19</v>
      </c>
      <c r="N236">
        <v>0.99</v>
      </c>
      <c r="O236" t="s">
        <v>129</v>
      </c>
      <c r="P236" t="s">
        <v>19</v>
      </c>
      <c r="Q236">
        <v>0.998</v>
      </c>
      <c r="R236" t="s">
        <v>23</v>
      </c>
      <c r="S236">
        <v>4</v>
      </c>
    </row>
    <row r="237" spans="1:19">
      <c r="A237">
        <v>237</v>
      </c>
      <c r="B237" t="s">
        <v>316</v>
      </c>
      <c r="C237">
        <v>487.1</v>
      </c>
      <c r="D237">
        <v>205.9</v>
      </c>
      <c r="E237">
        <v>-0.55612756061276503</v>
      </c>
      <c r="F237" t="s">
        <v>18</v>
      </c>
      <c r="G237" t="s">
        <v>19</v>
      </c>
      <c r="H237">
        <v>1</v>
      </c>
      <c r="I237" t="s">
        <v>53</v>
      </c>
      <c r="J237" t="s">
        <v>19</v>
      </c>
      <c r="K237">
        <v>0.96</v>
      </c>
      <c r="L237" t="s">
        <v>54</v>
      </c>
      <c r="M237" t="s">
        <v>19</v>
      </c>
      <c r="N237">
        <v>0.93</v>
      </c>
      <c r="O237" t="s">
        <v>253</v>
      </c>
      <c r="P237" t="s">
        <v>19</v>
      </c>
      <c r="Q237">
        <v>0.99199999999999999</v>
      </c>
      <c r="R237" t="s">
        <v>23</v>
      </c>
      <c r="S237">
        <v>4</v>
      </c>
    </row>
    <row r="238" spans="1:19">
      <c r="A238">
        <v>238</v>
      </c>
      <c r="B238" t="s">
        <v>165</v>
      </c>
      <c r="C238">
        <v>239.01660000000001</v>
      </c>
      <c r="D238">
        <v>144</v>
      </c>
      <c r="E238">
        <v>-0.74972555677263097</v>
      </c>
      <c r="F238" t="s">
        <v>18</v>
      </c>
      <c r="G238" t="s">
        <v>19</v>
      </c>
      <c r="H238">
        <v>1</v>
      </c>
      <c r="I238" t="s">
        <v>25</v>
      </c>
      <c r="J238" t="s">
        <v>19</v>
      </c>
      <c r="K238">
        <v>0.87</v>
      </c>
      <c r="L238" t="s">
        <v>26</v>
      </c>
      <c r="M238" t="s">
        <v>19</v>
      </c>
      <c r="N238">
        <v>1</v>
      </c>
      <c r="O238" t="s">
        <v>27</v>
      </c>
      <c r="P238" t="s">
        <v>19</v>
      </c>
      <c r="Q238">
        <v>0.998</v>
      </c>
      <c r="R238" t="s">
        <v>23</v>
      </c>
      <c r="S238">
        <v>4</v>
      </c>
    </row>
    <row r="239" spans="1:19">
      <c r="A239">
        <v>239</v>
      </c>
      <c r="B239" t="s">
        <v>317</v>
      </c>
      <c r="C239">
        <v>777.69169999999997</v>
      </c>
      <c r="D239">
        <v>216.6</v>
      </c>
      <c r="E239">
        <v>-0.823366840545532</v>
      </c>
      <c r="F239" t="s">
        <v>18</v>
      </c>
      <c r="G239" t="s">
        <v>19</v>
      </c>
      <c r="H239">
        <v>0.998</v>
      </c>
      <c r="I239" t="s">
        <v>25</v>
      </c>
      <c r="J239" t="s">
        <v>19</v>
      </c>
      <c r="K239">
        <v>0.88</v>
      </c>
      <c r="L239" t="s">
        <v>26</v>
      </c>
      <c r="M239" t="s">
        <v>19</v>
      </c>
      <c r="N239">
        <v>0.97</v>
      </c>
      <c r="O239" t="s">
        <v>27</v>
      </c>
      <c r="P239" t="s">
        <v>19</v>
      </c>
      <c r="Q239">
        <v>1</v>
      </c>
      <c r="R239" t="s">
        <v>23</v>
      </c>
      <c r="S239">
        <v>4</v>
      </c>
    </row>
    <row r="240" spans="1:19">
      <c r="A240">
        <v>240</v>
      </c>
      <c r="B240" t="s">
        <v>318</v>
      </c>
      <c r="C240">
        <v>173.04259999999999</v>
      </c>
      <c r="D240">
        <v>134.5</v>
      </c>
      <c r="E240">
        <v>-0.84938895302829598</v>
      </c>
      <c r="F240" t="s">
        <v>18</v>
      </c>
      <c r="G240" t="s">
        <v>19</v>
      </c>
      <c r="H240">
        <v>1</v>
      </c>
      <c r="I240" t="s">
        <v>32</v>
      </c>
      <c r="J240" t="s">
        <v>19</v>
      </c>
      <c r="K240">
        <v>0.93</v>
      </c>
      <c r="L240" t="s">
        <v>33</v>
      </c>
      <c r="M240" t="s">
        <v>19</v>
      </c>
      <c r="N240">
        <v>1</v>
      </c>
      <c r="O240" t="s">
        <v>34</v>
      </c>
      <c r="P240" t="s">
        <v>19</v>
      </c>
      <c r="Q240">
        <v>0.90400000000000003</v>
      </c>
      <c r="R240" t="s">
        <v>23</v>
      </c>
      <c r="S240">
        <v>4</v>
      </c>
    </row>
    <row r="241" spans="1:19">
      <c r="A241">
        <v>241</v>
      </c>
      <c r="B241" t="s">
        <v>250</v>
      </c>
      <c r="C241">
        <v>175.08709999999999</v>
      </c>
      <c r="D241">
        <v>147.1</v>
      </c>
      <c r="E241">
        <v>-0.89160616263140502</v>
      </c>
      <c r="F241" t="s">
        <v>18</v>
      </c>
      <c r="G241" t="s">
        <v>19</v>
      </c>
      <c r="H241">
        <v>1</v>
      </c>
      <c r="I241" t="s">
        <v>39</v>
      </c>
      <c r="J241" t="s">
        <v>19</v>
      </c>
      <c r="K241">
        <v>0.75</v>
      </c>
      <c r="L241" t="s">
        <v>40</v>
      </c>
      <c r="M241" t="s">
        <v>19</v>
      </c>
      <c r="N241">
        <v>0.93</v>
      </c>
      <c r="O241" t="s">
        <v>251</v>
      </c>
      <c r="P241" t="s">
        <v>19</v>
      </c>
      <c r="Q241">
        <v>0.81100000000000005</v>
      </c>
      <c r="R241" t="s">
        <v>23</v>
      </c>
      <c r="S241">
        <v>4</v>
      </c>
    </row>
    <row r="242" spans="1:19">
      <c r="A242">
        <v>242</v>
      </c>
      <c r="B242" t="s">
        <v>319</v>
      </c>
      <c r="C242">
        <v>275.017</v>
      </c>
      <c r="D242">
        <v>143.69999999999999</v>
      </c>
      <c r="E242">
        <v>-0.709929241094301</v>
      </c>
      <c r="F242" t="s">
        <v>18</v>
      </c>
      <c r="G242" t="s">
        <v>19</v>
      </c>
      <c r="H242">
        <v>1</v>
      </c>
      <c r="I242" t="s">
        <v>74</v>
      </c>
      <c r="J242" t="s">
        <v>19</v>
      </c>
      <c r="K242">
        <v>0.64</v>
      </c>
      <c r="L242" t="s">
        <v>75</v>
      </c>
      <c r="M242" t="s">
        <v>19</v>
      </c>
      <c r="N242">
        <v>0.96</v>
      </c>
      <c r="O242" t="s">
        <v>320</v>
      </c>
      <c r="P242" t="s">
        <v>19</v>
      </c>
      <c r="Q242">
        <v>0.79900000000000004</v>
      </c>
      <c r="R242" t="s">
        <v>23</v>
      </c>
      <c r="S242">
        <v>4</v>
      </c>
    </row>
    <row r="243" spans="1:19">
      <c r="A243">
        <v>243</v>
      </c>
      <c r="B243" t="s">
        <v>321</v>
      </c>
      <c r="C243">
        <v>203.0264</v>
      </c>
      <c r="D243">
        <v>147.80000000000001</v>
      </c>
      <c r="E243">
        <v>-0.79971048362139596</v>
      </c>
      <c r="F243" t="s">
        <v>18</v>
      </c>
      <c r="G243" t="s">
        <v>19</v>
      </c>
      <c r="H243">
        <v>1</v>
      </c>
      <c r="I243" t="s">
        <v>74</v>
      </c>
      <c r="J243" t="s">
        <v>19</v>
      </c>
      <c r="K243">
        <v>0.94</v>
      </c>
      <c r="L243" t="s">
        <v>75</v>
      </c>
      <c r="M243" t="s">
        <v>19</v>
      </c>
      <c r="N243">
        <v>1</v>
      </c>
      <c r="O243" t="s">
        <v>76</v>
      </c>
      <c r="P243" t="s">
        <v>19</v>
      </c>
      <c r="Q243">
        <v>0.92900000000000005</v>
      </c>
      <c r="R243" t="s">
        <v>23</v>
      </c>
      <c r="S243">
        <v>4</v>
      </c>
    </row>
    <row r="244" spans="1:19">
      <c r="A244">
        <v>244</v>
      </c>
      <c r="B244" t="s">
        <v>322</v>
      </c>
      <c r="C244">
        <v>203.05420000000001</v>
      </c>
      <c r="D244">
        <v>143</v>
      </c>
      <c r="E244">
        <v>-0.82747944347806901</v>
      </c>
      <c r="F244" t="s">
        <v>18</v>
      </c>
      <c r="G244" t="s">
        <v>19</v>
      </c>
      <c r="H244">
        <v>1</v>
      </c>
      <c r="I244" t="s">
        <v>32</v>
      </c>
      <c r="J244" t="s">
        <v>19</v>
      </c>
      <c r="K244">
        <v>0.91</v>
      </c>
      <c r="L244" t="s">
        <v>33</v>
      </c>
      <c r="M244" t="s">
        <v>19</v>
      </c>
      <c r="N244">
        <v>1</v>
      </c>
      <c r="O244" t="s">
        <v>34</v>
      </c>
      <c r="P244" t="s">
        <v>19</v>
      </c>
      <c r="Q244">
        <v>1</v>
      </c>
      <c r="R244" t="s">
        <v>23</v>
      </c>
      <c r="S244">
        <v>4</v>
      </c>
    </row>
    <row r="245" spans="1:19">
      <c r="A245">
        <v>245</v>
      </c>
      <c r="B245" t="s">
        <v>192</v>
      </c>
      <c r="C245">
        <v>752.52059999999994</v>
      </c>
      <c r="D245">
        <v>276.7</v>
      </c>
      <c r="E245">
        <v>-0.68037168053535901</v>
      </c>
      <c r="F245" t="s">
        <v>18</v>
      </c>
      <c r="G245" t="s">
        <v>19</v>
      </c>
      <c r="H245">
        <v>1</v>
      </c>
      <c r="I245" t="s">
        <v>20</v>
      </c>
      <c r="J245" t="s">
        <v>19</v>
      </c>
      <c r="K245">
        <v>1</v>
      </c>
      <c r="L245" t="s">
        <v>21</v>
      </c>
      <c r="M245" t="s">
        <v>19</v>
      </c>
      <c r="N245">
        <v>1</v>
      </c>
      <c r="O245" t="s">
        <v>29</v>
      </c>
      <c r="P245" t="s">
        <v>19</v>
      </c>
      <c r="Q245">
        <v>0.73599999999999999</v>
      </c>
      <c r="R245" t="s">
        <v>23</v>
      </c>
      <c r="S245">
        <v>4</v>
      </c>
    </row>
    <row r="246" spans="1:19">
      <c r="A246">
        <v>246</v>
      </c>
      <c r="B246" t="s">
        <v>323</v>
      </c>
      <c r="C246">
        <v>711.56550000000004</v>
      </c>
      <c r="D246">
        <v>273.5</v>
      </c>
      <c r="E246">
        <v>-0.77100017600321302</v>
      </c>
      <c r="F246" t="s">
        <v>18</v>
      </c>
      <c r="G246" t="s">
        <v>19</v>
      </c>
      <c r="H246">
        <v>1</v>
      </c>
      <c r="I246" t="s">
        <v>20</v>
      </c>
      <c r="J246" t="s">
        <v>19</v>
      </c>
      <c r="K246">
        <v>0.99</v>
      </c>
      <c r="L246" t="s">
        <v>21</v>
      </c>
      <c r="M246" t="s">
        <v>19</v>
      </c>
      <c r="N246">
        <v>0.98</v>
      </c>
      <c r="O246" t="s">
        <v>29</v>
      </c>
      <c r="P246" t="s">
        <v>19</v>
      </c>
      <c r="Q246">
        <v>0.97599999999999998</v>
      </c>
      <c r="R246" t="s">
        <v>23</v>
      </c>
      <c r="S246">
        <v>4</v>
      </c>
    </row>
    <row r="247" spans="1:19">
      <c r="A247">
        <v>247</v>
      </c>
      <c r="B247" t="s">
        <v>324</v>
      </c>
      <c r="C247">
        <v>120.06610000000001</v>
      </c>
      <c r="D247">
        <v>127.3</v>
      </c>
      <c r="E247">
        <v>-0.93203996572630399</v>
      </c>
      <c r="F247" t="s">
        <v>18</v>
      </c>
      <c r="G247" t="s">
        <v>19</v>
      </c>
      <c r="H247">
        <v>1</v>
      </c>
      <c r="I247" t="s">
        <v>25</v>
      </c>
      <c r="J247" t="s">
        <v>19</v>
      </c>
      <c r="K247">
        <v>1</v>
      </c>
      <c r="L247" t="s">
        <v>26</v>
      </c>
      <c r="M247" t="s">
        <v>19</v>
      </c>
      <c r="N247">
        <v>1</v>
      </c>
      <c r="O247" t="s">
        <v>27</v>
      </c>
      <c r="P247" t="s">
        <v>19</v>
      </c>
      <c r="Q247">
        <v>0.999</v>
      </c>
      <c r="R247" t="s">
        <v>23</v>
      </c>
      <c r="S247">
        <v>4</v>
      </c>
    </row>
    <row r="248" spans="1:19">
      <c r="A248">
        <v>248</v>
      </c>
      <c r="B248" t="s">
        <v>325</v>
      </c>
      <c r="C248">
        <v>431.86239999999998</v>
      </c>
      <c r="D248">
        <v>159.4</v>
      </c>
      <c r="E248">
        <v>-0.38020320885311798</v>
      </c>
      <c r="F248" t="s">
        <v>18</v>
      </c>
      <c r="G248" t="s">
        <v>19</v>
      </c>
      <c r="H248">
        <v>0.97599999999999998</v>
      </c>
      <c r="I248" t="s">
        <v>25</v>
      </c>
      <c r="J248" t="s">
        <v>19</v>
      </c>
      <c r="K248">
        <v>0.9</v>
      </c>
      <c r="L248" t="s">
        <v>26</v>
      </c>
      <c r="M248" t="s">
        <v>19</v>
      </c>
      <c r="N248">
        <v>1</v>
      </c>
      <c r="O248" t="s">
        <v>27</v>
      </c>
      <c r="P248" t="s">
        <v>19</v>
      </c>
      <c r="Q248">
        <v>1</v>
      </c>
      <c r="R248" t="s">
        <v>23</v>
      </c>
      <c r="S248">
        <v>4</v>
      </c>
    </row>
    <row r="249" spans="1:19">
      <c r="A249">
        <v>249</v>
      </c>
      <c r="B249" t="s">
        <v>298</v>
      </c>
      <c r="C249">
        <v>235.10579999999999</v>
      </c>
      <c r="D249">
        <v>148.9</v>
      </c>
      <c r="E249">
        <v>-0.84329216801455698</v>
      </c>
      <c r="F249" t="s">
        <v>18</v>
      </c>
      <c r="G249" t="s">
        <v>19</v>
      </c>
      <c r="H249">
        <v>1</v>
      </c>
      <c r="I249" t="s">
        <v>39</v>
      </c>
      <c r="J249" t="s">
        <v>19</v>
      </c>
      <c r="K249">
        <v>0.78</v>
      </c>
      <c r="L249" t="s">
        <v>270</v>
      </c>
      <c r="M249" t="s">
        <v>19</v>
      </c>
      <c r="N249">
        <v>0.52</v>
      </c>
      <c r="O249" t="s">
        <v>271</v>
      </c>
      <c r="P249" t="s">
        <v>19</v>
      </c>
      <c r="Q249">
        <v>0.995</v>
      </c>
      <c r="R249" t="s">
        <v>23</v>
      </c>
      <c r="S249">
        <v>4</v>
      </c>
    </row>
    <row r="250" spans="1:19">
      <c r="A250">
        <v>250</v>
      </c>
      <c r="B250" t="s">
        <v>326</v>
      </c>
      <c r="C250">
        <v>898.78390000000002</v>
      </c>
      <c r="D250">
        <v>320</v>
      </c>
      <c r="E250">
        <v>-0.78036111234860095</v>
      </c>
      <c r="F250" t="s">
        <v>18</v>
      </c>
      <c r="G250" t="s">
        <v>19</v>
      </c>
      <c r="H250">
        <v>1</v>
      </c>
      <c r="I250" t="s">
        <v>20</v>
      </c>
      <c r="J250" t="s">
        <v>19</v>
      </c>
      <c r="K250">
        <v>1</v>
      </c>
      <c r="L250" t="s">
        <v>67</v>
      </c>
      <c r="M250" t="s">
        <v>19</v>
      </c>
      <c r="N250">
        <v>0.96</v>
      </c>
      <c r="O250" t="s">
        <v>68</v>
      </c>
      <c r="P250" t="s">
        <v>19</v>
      </c>
      <c r="Q250">
        <v>0.997</v>
      </c>
      <c r="R250" t="s">
        <v>23</v>
      </c>
      <c r="S250">
        <v>4</v>
      </c>
    </row>
    <row r="251" spans="1:19">
      <c r="A251">
        <v>251</v>
      </c>
      <c r="B251" t="s">
        <v>327</v>
      </c>
      <c r="C251">
        <v>596.59810000000004</v>
      </c>
      <c r="D251">
        <v>269.48</v>
      </c>
      <c r="E251">
        <v>-0.93196724701135703</v>
      </c>
      <c r="F251" t="s">
        <v>18</v>
      </c>
      <c r="G251" t="s">
        <v>19</v>
      </c>
      <c r="H251">
        <v>1</v>
      </c>
      <c r="I251" t="s">
        <v>20</v>
      </c>
      <c r="J251" t="s">
        <v>19</v>
      </c>
      <c r="K251">
        <v>1</v>
      </c>
      <c r="L251" t="s">
        <v>67</v>
      </c>
      <c r="M251" t="s">
        <v>19</v>
      </c>
      <c r="N251">
        <v>1</v>
      </c>
      <c r="O251" t="s">
        <v>97</v>
      </c>
      <c r="P251" t="s">
        <v>19</v>
      </c>
      <c r="Q251">
        <v>1</v>
      </c>
      <c r="R251" t="s">
        <v>23</v>
      </c>
      <c r="S251">
        <v>4</v>
      </c>
    </row>
    <row r="252" spans="1:19">
      <c r="A252">
        <v>252</v>
      </c>
      <c r="B252" t="s">
        <v>328</v>
      </c>
      <c r="C252">
        <v>132.10239999999999</v>
      </c>
      <c r="D252">
        <v>133</v>
      </c>
      <c r="E252">
        <v>-0.954900811872477</v>
      </c>
      <c r="F252" t="s">
        <v>18</v>
      </c>
      <c r="G252" t="s">
        <v>19</v>
      </c>
      <c r="H252">
        <v>1</v>
      </c>
      <c r="I252" t="s">
        <v>25</v>
      </c>
      <c r="J252" t="s">
        <v>19</v>
      </c>
      <c r="K252">
        <v>1</v>
      </c>
      <c r="L252" t="s">
        <v>26</v>
      </c>
      <c r="M252" t="s">
        <v>19</v>
      </c>
      <c r="N252">
        <v>1</v>
      </c>
      <c r="O252" t="s">
        <v>27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253</v>
      </c>
      <c r="B253" t="s">
        <v>329</v>
      </c>
      <c r="C253">
        <v>166.08629999999999</v>
      </c>
      <c r="D253">
        <v>140.80000000000001</v>
      </c>
      <c r="E253">
        <v>-0.90085602313732205</v>
      </c>
      <c r="F253" t="s">
        <v>18</v>
      </c>
      <c r="G253" t="s">
        <v>19</v>
      </c>
      <c r="H253">
        <v>1</v>
      </c>
      <c r="I253" t="s">
        <v>25</v>
      </c>
      <c r="J253" t="s">
        <v>19</v>
      </c>
      <c r="K253">
        <v>0.96</v>
      </c>
      <c r="L253" t="s">
        <v>26</v>
      </c>
      <c r="M253" t="s">
        <v>19</v>
      </c>
      <c r="N253">
        <v>1</v>
      </c>
      <c r="O253" t="s">
        <v>27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254</v>
      </c>
      <c r="B254" t="s">
        <v>330</v>
      </c>
      <c r="C254">
        <v>175.05770000000001</v>
      </c>
      <c r="D254">
        <v>136</v>
      </c>
      <c r="E254">
        <v>-0.86223898925780396</v>
      </c>
      <c r="F254" t="s">
        <v>18</v>
      </c>
      <c r="G254" t="s">
        <v>19</v>
      </c>
      <c r="H254">
        <v>1</v>
      </c>
      <c r="I254" t="s">
        <v>32</v>
      </c>
      <c r="J254" t="s">
        <v>19</v>
      </c>
      <c r="K254">
        <v>0.93</v>
      </c>
      <c r="L254" t="s">
        <v>33</v>
      </c>
      <c r="M254" t="s">
        <v>19</v>
      </c>
      <c r="N254">
        <v>1</v>
      </c>
      <c r="O254" t="s">
        <v>34</v>
      </c>
      <c r="P254" t="s">
        <v>19</v>
      </c>
      <c r="Q254">
        <v>0.97699999999999998</v>
      </c>
      <c r="R254" t="s">
        <v>23</v>
      </c>
      <c r="S254">
        <v>4</v>
      </c>
    </row>
    <row r="255" spans="1:19">
      <c r="A255">
        <v>255</v>
      </c>
      <c r="B255" t="s">
        <v>331</v>
      </c>
      <c r="C255">
        <v>415.28149999999999</v>
      </c>
      <c r="D255">
        <v>199.2</v>
      </c>
      <c r="E255">
        <v>-0.81781664455468195</v>
      </c>
      <c r="F255" t="s">
        <v>18</v>
      </c>
      <c r="G255" t="s">
        <v>19</v>
      </c>
      <c r="H255">
        <v>1</v>
      </c>
      <c r="I255" t="s">
        <v>39</v>
      </c>
      <c r="J255" t="s">
        <v>19</v>
      </c>
      <c r="K255">
        <v>0.66</v>
      </c>
      <c r="L255" t="s">
        <v>270</v>
      </c>
      <c r="M255" t="s">
        <v>19</v>
      </c>
      <c r="N255">
        <v>0.7</v>
      </c>
      <c r="O255" t="s">
        <v>271</v>
      </c>
      <c r="P255" t="s">
        <v>19</v>
      </c>
      <c r="Q255">
        <v>0.88200000000000001</v>
      </c>
      <c r="R255" t="s">
        <v>23</v>
      </c>
      <c r="S255">
        <v>4</v>
      </c>
    </row>
    <row r="256" spans="1:19">
      <c r="A256">
        <v>256</v>
      </c>
      <c r="B256" t="s">
        <v>279</v>
      </c>
      <c r="C256">
        <v>146.04730000000001</v>
      </c>
      <c r="D256">
        <v>125.2</v>
      </c>
      <c r="E256">
        <v>-0.88423060702746203</v>
      </c>
      <c r="F256" t="s">
        <v>18</v>
      </c>
      <c r="G256" t="s">
        <v>19</v>
      </c>
      <c r="H256">
        <v>1</v>
      </c>
      <c r="I256" t="s">
        <v>25</v>
      </c>
      <c r="J256" t="s">
        <v>19</v>
      </c>
      <c r="K256">
        <v>0.88</v>
      </c>
      <c r="L256" t="s">
        <v>26</v>
      </c>
      <c r="M256" t="s">
        <v>19</v>
      </c>
      <c r="N256">
        <v>1</v>
      </c>
      <c r="O256" t="s">
        <v>27</v>
      </c>
      <c r="P256" t="s">
        <v>19</v>
      </c>
      <c r="Q256">
        <v>1</v>
      </c>
      <c r="R256" t="s">
        <v>23</v>
      </c>
      <c r="S256">
        <v>4</v>
      </c>
    </row>
    <row r="257" spans="1:19">
      <c r="A257">
        <v>257</v>
      </c>
      <c r="B257" t="s">
        <v>332</v>
      </c>
      <c r="C257">
        <v>381.07850000000002</v>
      </c>
      <c r="D257">
        <v>175.5</v>
      </c>
      <c r="E257">
        <v>-0.65300606981514897</v>
      </c>
      <c r="F257" t="s">
        <v>18</v>
      </c>
      <c r="G257" t="s">
        <v>19</v>
      </c>
      <c r="H257">
        <v>1</v>
      </c>
      <c r="I257" t="s">
        <v>32</v>
      </c>
      <c r="J257" t="s">
        <v>19</v>
      </c>
      <c r="K257">
        <v>0.67</v>
      </c>
      <c r="L257" t="s">
        <v>33</v>
      </c>
      <c r="M257" t="s">
        <v>19</v>
      </c>
      <c r="N257">
        <v>1</v>
      </c>
      <c r="O257" t="s">
        <v>34</v>
      </c>
      <c r="P257" t="s">
        <v>19</v>
      </c>
      <c r="Q257">
        <v>1</v>
      </c>
      <c r="R257" t="s">
        <v>23</v>
      </c>
      <c r="S257">
        <v>4</v>
      </c>
    </row>
    <row r="258" spans="1:19">
      <c r="A258">
        <v>258</v>
      </c>
      <c r="B258" t="s">
        <v>333</v>
      </c>
      <c r="C258">
        <v>798.65060000000005</v>
      </c>
      <c r="D258">
        <v>291.60000000000002</v>
      </c>
      <c r="E258">
        <v>-0.75886514054593601</v>
      </c>
      <c r="F258" t="s">
        <v>18</v>
      </c>
      <c r="G258" t="s">
        <v>19</v>
      </c>
      <c r="H258">
        <v>1</v>
      </c>
      <c r="I258" t="s">
        <v>20</v>
      </c>
      <c r="J258" t="s">
        <v>19</v>
      </c>
      <c r="K258">
        <v>1</v>
      </c>
      <c r="L258" t="s">
        <v>67</v>
      </c>
      <c r="M258" t="s">
        <v>19</v>
      </c>
      <c r="N258">
        <v>1</v>
      </c>
      <c r="O258" t="s">
        <v>68</v>
      </c>
      <c r="P258" t="s">
        <v>19</v>
      </c>
      <c r="Q258">
        <v>0.99</v>
      </c>
      <c r="R258" t="s">
        <v>23</v>
      </c>
      <c r="S258">
        <v>4</v>
      </c>
    </row>
    <row r="259" spans="1:19">
      <c r="A259">
        <v>259</v>
      </c>
      <c r="B259" t="s">
        <v>334</v>
      </c>
      <c r="C259">
        <v>206.08260000000001</v>
      </c>
      <c r="D259">
        <v>147.1</v>
      </c>
      <c r="E259">
        <v>-0.85249807764881802</v>
      </c>
      <c r="F259" t="s">
        <v>18</v>
      </c>
      <c r="G259" t="s">
        <v>19</v>
      </c>
      <c r="H259">
        <v>1</v>
      </c>
      <c r="I259" t="s">
        <v>25</v>
      </c>
      <c r="J259" t="s">
        <v>19</v>
      </c>
      <c r="K259">
        <v>0.73</v>
      </c>
      <c r="L259" t="s">
        <v>26</v>
      </c>
      <c r="M259" t="s">
        <v>19</v>
      </c>
      <c r="N259">
        <v>1</v>
      </c>
      <c r="O259" t="s">
        <v>27</v>
      </c>
      <c r="P259" t="s">
        <v>19</v>
      </c>
      <c r="Q259">
        <v>1</v>
      </c>
      <c r="R259" t="s">
        <v>23</v>
      </c>
      <c r="S259">
        <v>4</v>
      </c>
    </row>
    <row r="260" spans="1:19">
      <c r="A260">
        <v>260</v>
      </c>
      <c r="B260" t="s">
        <v>335</v>
      </c>
      <c r="C260">
        <v>139.04929999999999</v>
      </c>
      <c r="D260">
        <v>134.80000000000001</v>
      </c>
      <c r="E260">
        <v>-0.89404423735146599</v>
      </c>
      <c r="F260" t="s">
        <v>18</v>
      </c>
      <c r="G260" t="s">
        <v>19</v>
      </c>
      <c r="H260">
        <v>1</v>
      </c>
      <c r="I260" t="s">
        <v>39</v>
      </c>
      <c r="J260" t="s">
        <v>19</v>
      </c>
      <c r="K260">
        <v>0.68</v>
      </c>
      <c r="L260" t="s">
        <v>270</v>
      </c>
      <c r="M260" t="s">
        <v>19</v>
      </c>
      <c r="N260">
        <v>0.48</v>
      </c>
      <c r="O260" t="s">
        <v>271</v>
      </c>
      <c r="P260" t="s">
        <v>19</v>
      </c>
      <c r="Q260">
        <v>0.98599999999999999</v>
      </c>
      <c r="R260" t="s">
        <v>23</v>
      </c>
      <c r="S260">
        <v>4</v>
      </c>
    </row>
    <row r="261" spans="1:19">
      <c r="A261">
        <v>261</v>
      </c>
      <c r="B261" t="s">
        <v>336</v>
      </c>
      <c r="C261">
        <v>858.67989999999998</v>
      </c>
      <c r="D261">
        <v>305.10000000000002</v>
      </c>
      <c r="E261">
        <v>-0.721139310478634</v>
      </c>
      <c r="F261" t="s">
        <v>18</v>
      </c>
      <c r="G261" t="s">
        <v>19</v>
      </c>
      <c r="H261">
        <v>1</v>
      </c>
      <c r="I261" t="s">
        <v>20</v>
      </c>
      <c r="J261" t="s">
        <v>19</v>
      </c>
      <c r="K261">
        <v>1</v>
      </c>
      <c r="L261" t="s">
        <v>67</v>
      </c>
      <c r="M261" t="s">
        <v>19</v>
      </c>
      <c r="N261">
        <v>1</v>
      </c>
      <c r="O261" t="s">
        <v>68</v>
      </c>
      <c r="P261" t="s">
        <v>19</v>
      </c>
      <c r="Q261">
        <v>0.70699999999999996</v>
      </c>
      <c r="R261" t="s">
        <v>23</v>
      </c>
      <c r="S261">
        <v>4</v>
      </c>
    </row>
    <row r="262" spans="1:19">
      <c r="A262">
        <v>262</v>
      </c>
      <c r="B262" t="s">
        <v>337</v>
      </c>
      <c r="C262">
        <v>744.74360000000001</v>
      </c>
      <c r="D262">
        <v>379.2</v>
      </c>
      <c r="E262">
        <v>-0.91205510480381202</v>
      </c>
      <c r="F262" t="s">
        <v>18</v>
      </c>
      <c r="G262" t="s">
        <v>19</v>
      </c>
      <c r="H262">
        <v>1</v>
      </c>
      <c r="I262" t="s">
        <v>25</v>
      </c>
      <c r="J262" t="s">
        <v>19</v>
      </c>
      <c r="K262">
        <v>1</v>
      </c>
      <c r="L262" t="s">
        <v>36</v>
      </c>
      <c r="M262" t="s">
        <v>19</v>
      </c>
      <c r="N262">
        <v>0.8</v>
      </c>
      <c r="O262" t="s">
        <v>338</v>
      </c>
      <c r="P262" t="s">
        <v>19</v>
      </c>
      <c r="Q262">
        <v>0.61599999999999999</v>
      </c>
      <c r="R262" t="s">
        <v>23</v>
      </c>
      <c r="S262">
        <v>4</v>
      </c>
    </row>
    <row r="263" spans="1:19">
      <c r="A263">
        <v>263</v>
      </c>
      <c r="B263" t="s">
        <v>339</v>
      </c>
      <c r="C263">
        <v>442.1447</v>
      </c>
      <c r="D263">
        <v>195.8</v>
      </c>
      <c r="E263">
        <v>-0.65102248706392596</v>
      </c>
      <c r="F263" t="s">
        <v>18</v>
      </c>
      <c r="G263" t="s">
        <v>19</v>
      </c>
      <c r="H263">
        <v>1</v>
      </c>
      <c r="I263" t="s">
        <v>25</v>
      </c>
      <c r="J263" t="s">
        <v>19</v>
      </c>
      <c r="K263">
        <v>0.9</v>
      </c>
      <c r="L263" t="s">
        <v>26</v>
      </c>
      <c r="M263" t="s">
        <v>19</v>
      </c>
      <c r="N263">
        <v>1</v>
      </c>
      <c r="O263" t="s">
        <v>27</v>
      </c>
      <c r="P263" t="s">
        <v>19</v>
      </c>
      <c r="Q263">
        <v>1</v>
      </c>
      <c r="R263" t="s">
        <v>23</v>
      </c>
      <c r="S263">
        <v>4</v>
      </c>
    </row>
    <row r="264" spans="1:19">
      <c r="A264">
        <v>264</v>
      </c>
      <c r="B264" t="s">
        <v>340</v>
      </c>
      <c r="C264">
        <v>299.01440000000002</v>
      </c>
      <c r="D264">
        <v>166.1</v>
      </c>
      <c r="E264">
        <v>-0.68053489809091205</v>
      </c>
      <c r="F264" t="s">
        <v>18</v>
      </c>
      <c r="G264" t="s">
        <v>19</v>
      </c>
      <c r="H264">
        <v>1</v>
      </c>
      <c r="I264" t="s">
        <v>32</v>
      </c>
      <c r="J264" t="s">
        <v>19</v>
      </c>
      <c r="K264">
        <v>0.6</v>
      </c>
      <c r="L264" t="s">
        <v>33</v>
      </c>
      <c r="M264" t="s">
        <v>19</v>
      </c>
      <c r="N264">
        <v>1</v>
      </c>
      <c r="O264" t="s">
        <v>34</v>
      </c>
      <c r="P264" t="s">
        <v>19</v>
      </c>
      <c r="Q264">
        <v>1</v>
      </c>
      <c r="R264" t="s">
        <v>23</v>
      </c>
      <c r="S264">
        <v>4</v>
      </c>
    </row>
    <row r="265" spans="1:19">
      <c r="A265">
        <v>265</v>
      </c>
      <c r="B265" t="s">
        <v>341</v>
      </c>
      <c r="C265">
        <v>215.01609999999999</v>
      </c>
      <c r="D265">
        <v>143</v>
      </c>
      <c r="E265">
        <v>-0.77602336108697001</v>
      </c>
      <c r="F265" t="s">
        <v>18</v>
      </c>
      <c r="G265" t="s">
        <v>19</v>
      </c>
      <c r="H265">
        <v>1</v>
      </c>
      <c r="I265" t="s">
        <v>25</v>
      </c>
      <c r="J265" t="s">
        <v>19</v>
      </c>
      <c r="K265">
        <v>0.96</v>
      </c>
      <c r="L265" t="s">
        <v>26</v>
      </c>
      <c r="M265" t="s">
        <v>19</v>
      </c>
      <c r="N265">
        <v>1</v>
      </c>
      <c r="O265" t="s">
        <v>342</v>
      </c>
      <c r="P265" t="s">
        <v>19</v>
      </c>
      <c r="Q265">
        <v>0.83</v>
      </c>
      <c r="R265" t="s">
        <v>23</v>
      </c>
      <c r="S265">
        <v>4</v>
      </c>
    </row>
    <row r="266" spans="1:19">
      <c r="A266">
        <v>266</v>
      </c>
      <c r="B266" t="s">
        <v>304</v>
      </c>
      <c r="C266">
        <v>158.04339999999999</v>
      </c>
      <c r="D266">
        <v>137</v>
      </c>
      <c r="E266">
        <v>-0.86693633856074803</v>
      </c>
      <c r="F266" t="s">
        <v>18</v>
      </c>
      <c r="G266" t="s">
        <v>19</v>
      </c>
      <c r="H266">
        <v>1</v>
      </c>
      <c r="I266" t="s">
        <v>39</v>
      </c>
      <c r="J266" t="s">
        <v>19</v>
      </c>
      <c r="K266">
        <v>0.83</v>
      </c>
      <c r="L266" t="s">
        <v>188</v>
      </c>
      <c r="M266" t="s">
        <v>19</v>
      </c>
      <c r="N266">
        <v>0.83</v>
      </c>
      <c r="O266" t="s">
        <v>189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267</v>
      </c>
      <c r="B267" t="s">
        <v>343</v>
      </c>
      <c r="C267">
        <v>262.9708</v>
      </c>
      <c r="D267">
        <v>152.4</v>
      </c>
      <c r="E267">
        <v>-0.67717944881212599</v>
      </c>
      <c r="F267" t="s">
        <v>18</v>
      </c>
      <c r="G267" t="s">
        <v>19</v>
      </c>
      <c r="H267">
        <v>1</v>
      </c>
      <c r="I267" t="s">
        <v>74</v>
      </c>
      <c r="J267" t="s">
        <v>19</v>
      </c>
      <c r="K267">
        <v>0.74</v>
      </c>
      <c r="L267" t="s">
        <v>75</v>
      </c>
      <c r="M267" t="s">
        <v>19</v>
      </c>
      <c r="N267">
        <v>0.99</v>
      </c>
      <c r="O267" t="s">
        <v>134</v>
      </c>
      <c r="P267" t="s">
        <v>19</v>
      </c>
      <c r="Q267">
        <v>0.44</v>
      </c>
      <c r="R267" t="s">
        <v>23</v>
      </c>
      <c r="S267">
        <v>4</v>
      </c>
    </row>
    <row r="268" spans="1:19">
      <c r="A268">
        <v>268</v>
      </c>
      <c r="B268" t="s">
        <v>262</v>
      </c>
      <c r="C268">
        <v>246.01740000000001</v>
      </c>
      <c r="D268">
        <v>149.4</v>
      </c>
      <c r="E268">
        <v>-0.74270880010323004</v>
      </c>
      <c r="F268" t="s">
        <v>18</v>
      </c>
      <c r="G268" t="s">
        <v>19</v>
      </c>
      <c r="H268">
        <v>1</v>
      </c>
      <c r="I268" t="s">
        <v>39</v>
      </c>
      <c r="J268" t="s">
        <v>19</v>
      </c>
      <c r="K268">
        <v>0.91</v>
      </c>
      <c r="L268" t="s">
        <v>196</v>
      </c>
      <c r="M268" t="s">
        <v>19</v>
      </c>
      <c r="N268">
        <v>0.99</v>
      </c>
      <c r="O268" t="s">
        <v>263</v>
      </c>
      <c r="P268" t="s">
        <v>19</v>
      </c>
      <c r="Q268">
        <v>0.91700000000000004</v>
      </c>
      <c r="R268" t="s">
        <v>23</v>
      </c>
      <c r="S268">
        <v>4</v>
      </c>
    </row>
    <row r="269" spans="1:19">
      <c r="A269">
        <v>269</v>
      </c>
      <c r="B269" t="s">
        <v>344</v>
      </c>
      <c r="C269">
        <v>828.57740000000001</v>
      </c>
      <c r="D269">
        <v>293.60000000000002</v>
      </c>
      <c r="E269">
        <v>-0.65225031459829097</v>
      </c>
      <c r="F269" t="s">
        <v>18</v>
      </c>
      <c r="G269" t="s">
        <v>19</v>
      </c>
      <c r="H269">
        <v>1</v>
      </c>
      <c r="I269" t="s">
        <v>20</v>
      </c>
      <c r="J269" t="s">
        <v>19</v>
      </c>
      <c r="K269">
        <v>1</v>
      </c>
      <c r="L269" t="s">
        <v>21</v>
      </c>
      <c r="M269" t="s">
        <v>19</v>
      </c>
      <c r="N269">
        <v>1</v>
      </c>
      <c r="O269" t="s">
        <v>65</v>
      </c>
      <c r="P269" t="s">
        <v>19</v>
      </c>
      <c r="Q269">
        <v>0.93799999999999994</v>
      </c>
      <c r="R269" t="s">
        <v>23</v>
      </c>
      <c r="S269">
        <v>4</v>
      </c>
    </row>
    <row r="270" spans="1:19">
      <c r="A270">
        <v>270</v>
      </c>
      <c r="B270" t="s">
        <v>345</v>
      </c>
      <c r="C270">
        <v>450.01420000000002</v>
      </c>
      <c r="D270">
        <v>194.2</v>
      </c>
      <c r="E270">
        <v>-0.51173578174314105</v>
      </c>
      <c r="F270" t="s">
        <v>18</v>
      </c>
      <c r="G270" t="s">
        <v>19</v>
      </c>
      <c r="H270">
        <v>0.998</v>
      </c>
      <c r="I270" t="s">
        <v>53</v>
      </c>
      <c r="J270" t="s">
        <v>19</v>
      </c>
      <c r="K270">
        <v>0.96</v>
      </c>
      <c r="L270" t="s">
        <v>80</v>
      </c>
      <c r="M270" t="s">
        <v>19</v>
      </c>
      <c r="N270">
        <v>0.94</v>
      </c>
      <c r="O270" t="s">
        <v>113</v>
      </c>
      <c r="P270" t="s">
        <v>19</v>
      </c>
      <c r="Q270">
        <v>0.82</v>
      </c>
      <c r="R270" t="s">
        <v>23</v>
      </c>
      <c r="S270">
        <v>4</v>
      </c>
    </row>
    <row r="271" spans="1:19">
      <c r="A271">
        <v>271</v>
      </c>
      <c r="B271" t="s">
        <v>346</v>
      </c>
      <c r="C271">
        <v>658.21759999999995</v>
      </c>
      <c r="D271">
        <v>381</v>
      </c>
      <c r="E271">
        <v>-0.482665876083615</v>
      </c>
      <c r="F271" t="s">
        <v>18</v>
      </c>
      <c r="G271" t="s">
        <v>19</v>
      </c>
      <c r="H271">
        <v>0.998</v>
      </c>
      <c r="I271" t="s">
        <v>25</v>
      </c>
      <c r="J271" t="s">
        <v>19</v>
      </c>
      <c r="K271">
        <v>1</v>
      </c>
      <c r="L271" t="s">
        <v>36</v>
      </c>
      <c r="M271" t="s">
        <v>19</v>
      </c>
      <c r="N271">
        <v>0.98</v>
      </c>
      <c r="O271" t="s">
        <v>37</v>
      </c>
      <c r="P271" t="s">
        <v>19</v>
      </c>
      <c r="Q271">
        <v>0.995</v>
      </c>
      <c r="R271" t="s">
        <v>23</v>
      </c>
      <c r="S271">
        <v>4</v>
      </c>
    </row>
    <row r="272" spans="1:19">
      <c r="A272">
        <v>272</v>
      </c>
      <c r="B272" t="s">
        <v>347</v>
      </c>
      <c r="C272">
        <v>361.1472</v>
      </c>
      <c r="D272">
        <v>171.04</v>
      </c>
      <c r="E272">
        <v>-0.74396040106364603</v>
      </c>
      <c r="F272" t="s">
        <v>18</v>
      </c>
      <c r="G272" t="s">
        <v>19</v>
      </c>
      <c r="H272">
        <v>1</v>
      </c>
      <c r="I272" t="s">
        <v>25</v>
      </c>
      <c r="J272" t="s">
        <v>19</v>
      </c>
      <c r="K272">
        <v>0.72</v>
      </c>
      <c r="L272" t="s">
        <v>26</v>
      </c>
      <c r="M272" t="s">
        <v>19</v>
      </c>
      <c r="N272">
        <v>1</v>
      </c>
      <c r="O272" t="s">
        <v>27</v>
      </c>
      <c r="P272" t="s">
        <v>19</v>
      </c>
      <c r="Q272">
        <v>1</v>
      </c>
      <c r="R272" t="s">
        <v>23</v>
      </c>
      <c r="S272">
        <v>4</v>
      </c>
    </row>
    <row r="273" spans="1:19">
      <c r="A273">
        <v>273</v>
      </c>
      <c r="B273" t="s">
        <v>348</v>
      </c>
      <c r="C273">
        <v>283.06060000000002</v>
      </c>
      <c r="D273">
        <v>172.3</v>
      </c>
      <c r="E273">
        <v>-0.74454814408454695</v>
      </c>
      <c r="F273" t="s">
        <v>18</v>
      </c>
      <c r="G273" t="s">
        <v>19</v>
      </c>
      <c r="H273">
        <v>1</v>
      </c>
      <c r="I273" t="s">
        <v>115</v>
      </c>
      <c r="J273" t="s">
        <v>19</v>
      </c>
      <c r="K273">
        <v>0.64</v>
      </c>
      <c r="L273" t="s">
        <v>116</v>
      </c>
      <c r="M273" t="s">
        <v>19</v>
      </c>
      <c r="N273">
        <v>0.98</v>
      </c>
      <c r="O273" t="s">
        <v>117</v>
      </c>
      <c r="P273" t="s">
        <v>19</v>
      </c>
      <c r="Q273">
        <v>0.999</v>
      </c>
      <c r="R273" t="s">
        <v>23</v>
      </c>
      <c r="S273">
        <v>4</v>
      </c>
    </row>
    <row r="274" spans="1:19">
      <c r="A274">
        <v>274</v>
      </c>
      <c r="B274" t="s">
        <v>349</v>
      </c>
      <c r="C274">
        <v>464.30599999999998</v>
      </c>
      <c r="D274">
        <v>202.2</v>
      </c>
      <c r="E274">
        <v>-0.78757824503765095</v>
      </c>
      <c r="F274" t="s">
        <v>18</v>
      </c>
      <c r="G274" t="s">
        <v>19</v>
      </c>
      <c r="H274">
        <v>1</v>
      </c>
      <c r="I274" t="s">
        <v>20</v>
      </c>
      <c r="J274" t="s">
        <v>19</v>
      </c>
      <c r="K274">
        <v>0.92</v>
      </c>
      <c r="L274" t="s">
        <v>85</v>
      </c>
      <c r="M274" t="s">
        <v>19</v>
      </c>
      <c r="N274">
        <v>0.91</v>
      </c>
      <c r="O274" t="s">
        <v>171</v>
      </c>
      <c r="P274" t="s">
        <v>19</v>
      </c>
      <c r="Q274">
        <v>0.99399999999999999</v>
      </c>
      <c r="R274" t="s">
        <v>23</v>
      </c>
      <c r="S274">
        <v>4</v>
      </c>
    </row>
    <row r="275" spans="1:19">
      <c r="A275">
        <v>275</v>
      </c>
      <c r="B275" t="s">
        <v>350</v>
      </c>
      <c r="C275">
        <v>426.99090000000001</v>
      </c>
      <c r="D275">
        <v>181.7</v>
      </c>
      <c r="E275">
        <v>-0.51414249152298896</v>
      </c>
      <c r="F275" t="s">
        <v>18</v>
      </c>
      <c r="G275" t="s">
        <v>19</v>
      </c>
      <c r="H275">
        <v>1</v>
      </c>
      <c r="I275" t="s">
        <v>53</v>
      </c>
      <c r="J275" t="s">
        <v>19</v>
      </c>
      <c r="K275">
        <v>0.88</v>
      </c>
      <c r="L275" t="s">
        <v>54</v>
      </c>
      <c r="M275" t="s">
        <v>19</v>
      </c>
      <c r="N275">
        <v>0.61</v>
      </c>
      <c r="O275" t="s">
        <v>253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276</v>
      </c>
      <c r="B276" t="s">
        <v>351</v>
      </c>
      <c r="C276">
        <v>810.50490000000002</v>
      </c>
      <c r="D276">
        <v>285.7</v>
      </c>
      <c r="E276">
        <v>-0.599929199141229</v>
      </c>
      <c r="F276" t="s">
        <v>18</v>
      </c>
      <c r="G276" t="s">
        <v>19</v>
      </c>
      <c r="H276">
        <v>1</v>
      </c>
      <c r="I276" t="s">
        <v>20</v>
      </c>
      <c r="J276" t="s">
        <v>19</v>
      </c>
      <c r="K276">
        <v>1</v>
      </c>
      <c r="L276" t="s">
        <v>21</v>
      </c>
      <c r="M276" t="s">
        <v>19</v>
      </c>
      <c r="N276">
        <v>1</v>
      </c>
      <c r="O276" t="s">
        <v>29</v>
      </c>
      <c r="P276" t="s">
        <v>19</v>
      </c>
      <c r="Q276">
        <v>0.92400000000000004</v>
      </c>
      <c r="R276" t="s">
        <v>23</v>
      </c>
      <c r="S276">
        <v>4</v>
      </c>
    </row>
    <row r="277" spans="1:19">
      <c r="A277">
        <v>277</v>
      </c>
      <c r="B277" t="s">
        <v>352</v>
      </c>
      <c r="C277">
        <v>341.10840000000002</v>
      </c>
      <c r="D277">
        <v>180.2</v>
      </c>
      <c r="E277">
        <v>-0.72753476164342601</v>
      </c>
      <c r="F277" t="s">
        <v>18</v>
      </c>
      <c r="G277" t="s">
        <v>19</v>
      </c>
      <c r="H277">
        <v>1</v>
      </c>
      <c r="I277" t="s">
        <v>32</v>
      </c>
      <c r="J277" t="s">
        <v>19</v>
      </c>
      <c r="K277">
        <v>0.98</v>
      </c>
      <c r="L277" t="s">
        <v>33</v>
      </c>
      <c r="M277" t="s">
        <v>19</v>
      </c>
      <c r="N277">
        <v>1</v>
      </c>
      <c r="O277" t="s">
        <v>34</v>
      </c>
      <c r="P277" t="s">
        <v>19</v>
      </c>
      <c r="Q277">
        <v>1</v>
      </c>
      <c r="R277" t="s">
        <v>23</v>
      </c>
      <c r="S277">
        <v>4</v>
      </c>
    </row>
    <row r="278" spans="1:19">
      <c r="A278">
        <v>278</v>
      </c>
      <c r="B278" t="s">
        <v>353</v>
      </c>
      <c r="C278">
        <v>1551.8906999999999</v>
      </c>
      <c r="D278">
        <v>237.7</v>
      </c>
      <c r="E278">
        <v>-0.15793346197597199</v>
      </c>
      <c r="F278" t="s">
        <v>59</v>
      </c>
      <c r="G278" t="s">
        <v>19</v>
      </c>
      <c r="H278">
        <v>1</v>
      </c>
      <c r="I278" t="s">
        <v>60</v>
      </c>
      <c r="J278" t="s">
        <v>19</v>
      </c>
      <c r="K278">
        <v>1</v>
      </c>
      <c r="L278" t="s">
        <v>61</v>
      </c>
      <c r="M278" t="s">
        <v>19</v>
      </c>
      <c r="N278">
        <v>1</v>
      </c>
      <c r="O278" t="s">
        <v>62</v>
      </c>
      <c r="P278" t="s">
        <v>19</v>
      </c>
      <c r="Q278">
        <v>1</v>
      </c>
      <c r="R278" t="s">
        <v>23</v>
      </c>
      <c r="S278">
        <v>4</v>
      </c>
    </row>
    <row r="279" spans="1:19">
      <c r="A279">
        <v>279</v>
      </c>
      <c r="B279" t="s">
        <v>354</v>
      </c>
      <c r="C279">
        <v>197.1</v>
      </c>
      <c r="D279">
        <v>147.9</v>
      </c>
      <c r="E279">
        <v>-0.87992761690981103</v>
      </c>
      <c r="F279" t="s">
        <v>18</v>
      </c>
      <c r="G279" t="s">
        <v>19</v>
      </c>
      <c r="H279">
        <v>1</v>
      </c>
      <c r="I279" t="s">
        <v>25</v>
      </c>
      <c r="J279" t="s">
        <v>19</v>
      </c>
      <c r="K279">
        <v>0.88</v>
      </c>
      <c r="L279" t="s">
        <v>26</v>
      </c>
      <c r="M279" t="s">
        <v>19</v>
      </c>
      <c r="N279">
        <v>1</v>
      </c>
      <c r="O279" t="s">
        <v>27</v>
      </c>
      <c r="P279" t="s">
        <v>19</v>
      </c>
      <c r="Q279">
        <v>0.997</v>
      </c>
      <c r="R279" t="s">
        <v>23</v>
      </c>
      <c r="S279">
        <v>4</v>
      </c>
    </row>
    <row r="280" spans="1:19">
      <c r="A280">
        <v>280</v>
      </c>
      <c r="B280" t="s">
        <v>355</v>
      </c>
      <c r="C280">
        <v>375.21710000000002</v>
      </c>
      <c r="D280">
        <v>194.2</v>
      </c>
      <c r="E280">
        <v>-0.79815062722889296</v>
      </c>
      <c r="F280" t="s">
        <v>18</v>
      </c>
      <c r="G280" t="s">
        <v>19</v>
      </c>
      <c r="H280">
        <v>1</v>
      </c>
      <c r="I280" t="s">
        <v>20</v>
      </c>
      <c r="J280" t="s">
        <v>19</v>
      </c>
      <c r="K280">
        <v>0.98</v>
      </c>
      <c r="L280" t="s">
        <v>45</v>
      </c>
      <c r="M280" t="s">
        <v>19</v>
      </c>
      <c r="N280">
        <v>0.97</v>
      </c>
      <c r="O280" t="s">
        <v>51</v>
      </c>
      <c r="P280" t="s">
        <v>19</v>
      </c>
      <c r="Q280">
        <v>0.81499999999999995</v>
      </c>
      <c r="R280" t="s">
        <v>23</v>
      </c>
      <c r="S280">
        <v>4</v>
      </c>
    </row>
    <row r="281" spans="1:19">
      <c r="A281">
        <v>281</v>
      </c>
      <c r="B281" t="s">
        <v>220</v>
      </c>
      <c r="C281">
        <v>425.04340000000002</v>
      </c>
      <c r="D281">
        <v>182</v>
      </c>
      <c r="E281">
        <v>-0.56881697638380002</v>
      </c>
      <c r="F281" t="s">
        <v>18</v>
      </c>
      <c r="G281" t="s">
        <v>19</v>
      </c>
      <c r="H281">
        <v>1</v>
      </c>
      <c r="I281" t="s">
        <v>39</v>
      </c>
      <c r="J281" t="s">
        <v>19</v>
      </c>
      <c r="K281">
        <v>0.54</v>
      </c>
      <c r="L281" t="s">
        <v>221</v>
      </c>
      <c r="M281" t="s">
        <v>19</v>
      </c>
      <c r="N281">
        <v>0.95</v>
      </c>
      <c r="O281" t="s">
        <v>222</v>
      </c>
      <c r="P281" t="s">
        <v>19</v>
      </c>
      <c r="Q281">
        <v>0.98899999999999999</v>
      </c>
      <c r="R281" t="s">
        <v>23</v>
      </c>
      <c r="S281">
        <v>4</v>
      </c>
    </row>
    <row r="282" spans="1:19">
      <c r="A282">
        <v>282</v>
      </c>
      <c r="B282" t="s">
        <v>354</v>
      </c>
      <c r="C282">
        <v>175.119</v>
      </c>
      <c r="D282">
        <v>136.6</v>
      </c>
      <c r="E282">
        <v>-0.92347054462521805</v>
      </c>
      <c r="F282" t="s">
        <v>18</v>
      </c>
      <c r="G282" t="s">
        <v>19</v>
      </c>
      <c r="H282">
        <v>1</v>
      </c>
      <c r="I282" t="s">
        <v>25</v>
      </c>
      <c r="J282" t="s">
        <v>19</v>
      </c>
      <c r="K282">
        <v>0.97</v>
      </c>
      <c r="L282" t="s">
        <v>26</v>
      </c>
      <c r="M282" t="s">
        <v>19</v>
      </c>
      <c r="N282">
        <v>1</v>
      </c>
      <c r="O282" t="s">
        <v>27</v>
      </c>
      <c r="P282" t="s">
        <v>19</v>
      </c>
      <c r="Q282">
        <v>1</v>
      </c>
      <c r="R282" t="s">
        <v>23</v>
      </c>
      <c r="S282">
        <v>4</v>
      </c>
    </row>
    <row r="283" spans="1:19">
      <c r="A283">
        <v>283</v>
      </c>
      <c r="B283" t="s">
        <v>356</v>
      </c>
      <c r="C283">
        <v>484.97550000000001</v>
      </c>
      <c r="D283">
        <v>186.9</v>
      </c>
      <c r="E283">
        <v>-0.43399967516307902</v>
      </c>
      <c r="F283" t="s">
        <v>18</v>
      </c>
      <c r="G283" t="s">
        <v>19</v>
      </c>
      <c r="H283">
        <v>1</v>
      </c>
      <c r="I283" t="s">
        <v>53</v>
      </c>
      <c r="J283" t="s">
        <v>19</v>
      </c>
      <c r="K283">
        <v>0.86</v>
      </c>
      <c r="L283" t="s">
        <v>54</v>
      </c>
      <c r="M283" t="s">
        <v>19</v>
      </c>
      <c r="N283">
        <v>0.76</v>
      </c>
      <c r="O283" t="s">
        <v>253</v>
      </c>
      <c r="P283" t="s">
        <v>19</v>
      </c>
      <c r="Q283">
        <v>0.755</v>
      </c>
      <c r="R283" t="s">
        <v>23</v>
      </c>
      <c r="S283">
        <v>4</v>
      </c>
    </row>
    <row r="284" spans="1:19">
      <c r="A284">
        <v>284</v>
      </c>
      <c r="B284" t="s">
        <v>357</v>
      </c>
      <c r="C284">
        <v>477.17610000000002</v>
      </c>
      <c r="D284">
        <v>203</v>
      </c>
      <c r="E284">
        <v>-0.64330811019442502</v>
      </c>
      <c r="F284" t="s">
        <v>18</v>
      </c>
      <c r="G284" t="s">
        <v>19</v>
      </c>
      <c r="H284">
        <v>1</v>
      </c>
      <c r="I284" t="s">
        <v>25</v>
      </c>
      <c r="J284" t="s">
        <v>19</v>
      </c>
      <c r="K284">
        <v>0.98</v>
      </c>
      <c r="L284" t="s">
        <v>26</v>
      </c>
      <c r="M284" t="s">
        <v>19</v>
      </c>
      <c r="N284">
        <v>1</v>
      </c>
      <c r="O284" t="s">
        <v>27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285</v>
      </c>
      <c r="B285" t="s">
        <v>358</v>
      </c>
      <c r="C285">
        <v>222.01499999999999</v>
      </c>
      <c r="D285">
        <v>147.6</v>
      </c>
      <c r="E285">
        <v>-0.76710872586619405</v>
      </c>
      <c r="F285" t="s">
        <v>18</v>
      </c>
      <c r="G285" t="s">
        <v>19</v>
      </c>
      <c r="H285">
        <v>1</v>
      </c>
      <c r="I285" t="s">
        <v>39</v>
      </c>
      <c r="J285" t="s">
        <v>19</v>
      </c>
      <c r="K285">
        <v>0.66</v>
      </c>
      <c r="L285" t="s">
        <v>196</v>
      </c>
      <c r="M285" t="s">
        <v>19</v>
      </c>
      <c r="N285">
        <v>0.61</v>
      </c>
      <c r="O285" t="s">
        <v>197</v>
      </c>
      <c r="P285" t="s">
        <v>19</v>
      </c>
      <c r="Q285">
        <v>0.76700000000000002</v>
      </c>
      <c r="R285" t="s">
        <v>23</v>
      </c>
      <c r="S285">
        <v>4</v>
      </c>
    </row>
    <row r="286" spans="1:19">
      <c r="A286">
        <v>286</v>
      </c>
      <c r="B286" t="s">
        <v>359</v>
      </c>
      <c r="C286">
        <v>1251.67</v>
      </c>
      <c r="D286">
        <v>342.9</v>
      </c>
      <c r="E286">
        <v>-0.27244546046426898</v>
      </c>
      <c r="F286" t="s">
        <v>18</v>
      </c>
      <c r="G286" t="s">
        <v>19</v>
      </c>
      <c r="H286">
        <v>1</v>
      </c>
      <c r="I286" t="s">
        <v>25</v>
      </c>
      <c r="J286" t="s">
        <v>19</v>
      </c>
      <c r="K286">
        <v>1</v>
      </c>
      <c r="L286" t="s">
        <v>26</v>
      </c>
      <c r="M286" t="s">
        <v>19</v>
      </c>
      <c r="N286">
        <v>0.87</v>
      </c>
      <c r="O286" t="s">
        <v>27</v>
      </c>
      <c r="P286" t="s">
        <v>19</v>
      </c>
      <c r="Q286">
        <v>1</v>
      </c>
      <c r="R286" t="s">
        <v>23</v>
      </c>
      <c r="S286">
        <v>4</v>
      </c>
    </row>
    <row r="287" spans="1:19">
      <c r="A287">
        <v>287</v>
      </c>
      <c r="B287" t="s">
        <v>360</v>
      </c>
      <c r="C287">
        <v>221.0598</v>
      </c>
      <c r="D287">
        <v>142.1</v>
      </c>
      <c r="E287">
        <v>-0.81297525625853995</v>
      </c>
      <c r="F287" t="s">
        <v>18</v>
      </c>
      <c r="G287" t="s">
        <v>19</v>
      </c>
      <c r="H287">
        <v>1</v>
      </c>
      <c r="I287" t="s">
        <v>25</v>
      </c>
      <c r="J287" t="s">
        <v>19</v>
      </c>
      <c r="K287">
        <v>0.97</v>
      </c>
      <c r="L287" t="s">
        <v>26</v>
      </c>
      <c r="M287" t="s">
        <v>19</v>
      </c>
      <c r="N287">
        <v>1</v>
      </c>
      <c r="O287" t="s">
        <v>27</v>
      </c>
      <c r="P287" t="s">
        <v>19</v>
      </c>
      <c r="Q287">
        <v>0.996</v>
      </c>
      <c r="R287" t="s">
        <v>23</v>
      </c>
      <c r="S287">
        <v>4</v>
      </c>
    </row>
    <row r="288" spans="1:19">
      <c r="A288">
        <v>288</v>
      </c>
      <c r="B288" t="s">
        <v>361</v>
      </c>
      <c r="C288">
        <v>126.1028</v>
      </c>
      <c r="D288">
        <v>123.8</v>
      </c>
      <c r="E288">
        <v>-0.96199967676130904</v>
      </c>
      <c r="F288" t="s">
        <v>18</v>
      </c>
      <c r="G288" t="s">
        <v>19</v>
      </c>
      <c r="H288">
        <v>1</v>
      </c>
      <c r="I288" t="s">
        <v>106</v>
      </c>
      <c r="J288" t="s">
        <v>19</v>
      </c>
      <c r="K288">
        <v>0.98</v>
      </c>
      <c r="L288" t="s">
        <v>107</v>
      </c>
      <c r="M288" t="s">
        <v>19</v>
      </c>
      <c r="N288">
        <v>1</v>
      </c>
      <c r="O288" t="s">
        <v>167</v>
      </c>
      <c r="P288" t="s">
        <v>19</v>
      </c>
      <c r="Q288">
        <v>0.99199999999999999</v>
      </c>
      <c r="R288" t="s">
        <v>23</v>
      </c>
      <c r="S288">
        <v>4</v>
      </c>
    </row>
    <row r="289" spans="1:19">
      <c r="A289">
        <v>289</v>
      </c>
      <c r="B289" t="s">
        <v>362</v>
      </c>
      <c r="C289">
        <v>448.00360000000001</v>
      </c>
      <c r="D289">
        <v>177.4</v>
      </c>
      <c r="E289">
        <v>-0.50338072102999798</v>
      </c>
      <c r="F289" t="s">
        <v>18</v>
      </c>
      <c r="G289" t="s">
        <v>19</v>
      </c>
      <c r="H289">
        <v>1</v>
      </c>
      <c r="I289" t="s">
        <v>53</v>
      </c>
      <c r="J289" t="s">
        <v>19</v>
      </c>
      <c r="K289">
        <v>0.88</v>
      </c>
      <c r="L289" t="s">
        <v>80</v>
      </c>
      <c r="M289" t="s">
        <v>19</v>
      </c>
      <c r="N289">
        <v>0.61</v>
      </c>
      <c r="O289" t="s">
        <v>81</v>
      </c>
      <c r="P289" t="s">
        <v>19</v>
      </c>
      <c r="Q289">
        <v>0.71499999999999997</v>
      </c>
      <c r="R289" t="s">
        <v>23</v>
      </c>
      <c r="S289">
        <v>4</v>
      </c>
    </row>
    <row r="290" spans="1:19">
      <c r="A290">
        <v>290</v>
      </c>
      <c r="B290" t="s">
        <v>363</v>
      </c>
      <c r="C290">
        <v>715.40089999999998</v>
      </c>
      <c r="D290">
        <v>254.4</v>
      </c>
      <c r="E290">
        <v>-0.60211775277593904</v>
      </c>
      <c r="F290" t="s">
        <v>18</v>
      </c>
      <c r="G290" t="s">
        <v>19</v>
      </c>
      <c r="H290">
        <v>1</v>
      </c>
      <c r="I290" t="s">
        <v>20</v>
      </c>
      <c r="J290" t="s">
        <v>19</v>
      </c>
      <c r="K290">
        <v>0.67</v>
      </c>
      <c r="L290" t="s">
        <v>45</v>
      </c>
      <c r="M290" t="s">
        <v>19</v>
      </c>
      <c r="N290">
        <v>0.94</v>
      </c>
      <c r="O290" t="s">
        <v>51</v>
      </c>
      <c r="P290" t="s">
        <v>19</v>
      </c>
      <c r="Q290">
        <v>0.99099999999999999</v>
      </c>
      <c r="R290" t="s">
        <v>23</v>
      </c>
      <c r="S290">
        <v>4</v>
      </c>
    </row>
    <row r="291" spans="1:19">
      <c r="A291">
        <v>291</v>
      </c>
      <c r="B291" t="s">
        <v>364</v>
      </c>
      <c r="C291">
        <v>766.58090000000004</v>
      </c>
      <c r="D291">
        <v>288.7</v>
      </c>
      <c r="E291">
        <v>-0.72497262559909403</v>
      </c>
      <c r="F291" t="s">
        <v>18</v>
      </c>
      <c r="G291" t="s">
        <v>19</v>
      </c>
      <c r="H291">
        <v>1</v>
      </c>
      <c r="I291" t="s">
        <v>20</v>
      </c>
      <c r="J291" t="s">
        <v>19</v>
      </c>
      <c r="K291">
        <v>1</v>
      </c>
      <c r="L291" t="s">
        <v>67</v>
      </c>
      <c r="M291" t="s">
        <v>19</v>
      </c>
      <c r="N291">
        <v>0.96</v>
      </c>
      <c r="O291" t="s">
        <v>68</v>
      </c>
      <c r="P291" t="s">
        <v>19</v>
      </c>
      <c r="Q291">
        <v>0.74399999999999999</v>
      </c>
      <c r="R291" t="s">
        <v>23</v>
      </c>
      <c r="S291">
        <v>4</v>
      </c>
    </row>
    <row r="292" spans="1:19">
      <c r="A292">
        <v>292</v>
      </c>
      <c r="B292" t="s">
        <v>365</v>
      </c>
      <c r="C292">
        <v>304.90949999999998</v>
      </c>
      <c r="D292">
        <v>163.1</v>
      </c>
      <c r="E292">
        <v>-0.56905271287752202</v>
      </c>
      <c r="F292" t="s">
        <v>18</v>
      </c>
      <c r="G292" t="s">
        <v>19</v>
      </c>
      <c r="H292">
        <v>1</v>
      </c>
      <c r="I292" t="s">
        <v>74</v>
      </c>
      <c r="J292" t="s">
        <v>19</v>
      </c>
      <c r="K292">
        <v>1</v>
      </c>
      <c r="L292" t="s">
        <v>75</v>
      </c>
      <c r="M292" t="s">
        <v>19</v>
      </c>
      <c r="N292">
        <v>1</v>
      </c>
      <c r="O292" t="s">
        <v>76</v>
      </c>
      <c r="P292" t="s">
        <v>19</v>
      </c>
      <c r="Q292">
        <v>0.998</v>
      </c>
      <c r="R292" t="s">
        <v>23</v>
      </c>
      <c r="S292">
        <v>4</v>
      </c>
    </row>
    <row r="293" spans="1:19">
      <c r="A293">
        <v>293</v>
      </c>
      <c r="B293" t="s">
        <v>166</v>
      </c>
      <c r="C293">
        <v>225.2045</v>
      </c>
      <c r="D293">
        <v>151.4</v>
      </c>
      <c r="E293">
        <v>-0.95304748352290902</v>
      </c>
      <c r="F293" t="s">
        <v>18</v>
      </c>
      <c r="G293" t="s">
        <v>19</v>
      </c>
      <c r="H293">
        <v>1</v>
      </c>
      <c r="I293" t="s">
        <v>106</v>
      </c>
      <c r="J293" t="s">
        <v>19</v>
      </c>
      <c r="K293">
        <v>0.62</v>
      </c>
      <c r="L293" t="s">
        <v>107</v>
      </c>
      <c r="M293" t="s">
        <v>19</v>
      </c>
      <c r="N293">
        <v>0.99</v>
      </c>
      <c r="O293" t="s">
        <v>167</v>
      </c>
      <c r="P293" t="s">
        <v>19</v>
      </c>
      <c r="Q293">
        <v>0.92500000000000004</v>
      </c>
      <c r="R293" t="s">
        <v>23</v>
      </c>
      <c r="S293">
        <v>4</v>
      </c>
    </row>
    <row r="294" spans="1:19">
      <c r="A294">
        <v>294</v>
      </c>
      <c r="B294" t="s">
        <v>366</v>
      </c>
      <c r="C294">
        <v>440.75360000000001</v>
      </c>
      <c r="D294">
        <v>181.1</v>
      </c>
      <c r="E294">
        <v>-0.26147572243746697</v>
      </c>
      <c r="F294" t="s">
        <v>18</v>
      </c>
      <c r="G294" t="s">
        <v>19</v>
      </c>
      <c r="H294">
        <v>1</v>
      </c>
      <c r="I294" t="s">
        <v>74</v>
      </c>
      <c r="J294" t="s">
        <v>19</v>
      </c>
      <c r="K294">
        <v>0.86</v>
      </c>
      <c r="L294" t="s">
        <v>75</v>
      </c>
      <c r="M294" t="s">
        <v>19</v>
      </c>
      <c r="N294">
        <v>1</v>
      </c>
      <c r="O294" t="s">
        <v>76</v>
      </c>
      <c r="P294" t="s">
        <v>19</v>
      </c>
      <c r="Q294">
        <v>0.95599999999999996</v>
      </c>
      <c r="R294" t="s">
        <v>23</v>
      </c>
      <c r="S294">
        <v>4</v>
      </c>
    </row>
    <row r="295" spans="1:19">
      <c r="A295">
        <v>295</v>
      </c>
      <c r="B295" t="s">
        <v>367</v>
      </c>
      <c r="C295">
        <v>509.3329</v>
      </c>
      <c r="D295">
        <v>224.3</v>
      </c>
      <c r="E295">
        <v>-0.76420337346911504</v>
      </c>
      <c r="F295" t="s">
        <v>18</v>
      </c>
      <c r="G295" t="s">
        <v>19</v>
      </c>
      <c r="H295">
        <v>1</v>
      </c>
      <c r="I295" t="s">
        <v>20</v>
      </c>
      <c r="J295" t="s">
        <v>19</v>
      </c>
      <c r="K295">
        <v>0.93</v>
      </c>
      <c r="L295" t="s">
        <v>21</v>
      </c>
      <c r="M295" t="s">
        <v>19</v>
      </c>
      <c r="N295">
        <v>0.93</v>
      </c>
      <c r="O295" t="s">
        <v>29</v>
      </c>
      <c r="P295" t="s">
        <v>19</v>
      </c>
      <c r="Q295">
        <v>0.64700000000000002</v>
      </c>
      <c r="R295" t="s">
        <v>23</v>
      </c>
      <c r="S295">
        <v>4</v>
      </c>
    </row>
    <row r="296" spans="1:19">
      <c r="A296">
        <v>296</v>
      </c>
      <c r="B296" t="s">
        <v>368</v>
      </c>
      <c r="C296">
        <v>173.04169999999999</v>
      </c>
      <c r="D296">
        <v>135</v>
      </c>
      <c r="E296">
        <v>-0.84848995792501103</v>
      </c>
      <c r="F296" t="s">
        <v>18</v>
      </c>
      <c r="G296" t="s">
        <v>19</v>
      </c>
      <c r="H296">
        <v>1</v>
      </c>
      <c r="I296" t="s">
        <v>32</v>
      </c>
      <c r="J296" t="s">
        <v>19</v>
      </c>
      <c r="K296">
        <v>0.96</v>
      </c>
      <c r="L296" t="s">
        <v>33</v>
      </c>
      <c r="M296" t="s">
        <v>19</v>
      </c>
      <c r="N296">
        <v>1</v>
      </c>
      <c r="O296" t="s">
        <v>34</v>
      </c>
      <c r="P296" t="s">
        <v>19</v>
      </c>
      <c r="Q296">
        <v>0.92600000000000005</v>
      </c>
      <c r="R296" t="s">
        <v>23</v>
      </c>
      <c r="S296">
        <v>4</v>
      </c>
    </row>
    <row r="297" spans="1:19">
      <c r="A297">
        <v>297</v>
      </c>
      <c r="B297" t="s">
        <v>369</v>
      </c>
      <c r="C297">
        <v>530.7885</v>
      </c>
      <c r="D297">
        <v>344.2</v>
      </c>
      <c r="E297">
        <v>-0.19584708213153601</v>
      </c>
      <c r="F297" t="s">
        <v>18</v>
      </c>
      <c r="G297" t="s">
        <v>19</v>
      </c>
      <c r="H297">
        <v>1</v>
      </c>
      <c r="I297" t="s">
        <v>25</v>
      </c>
      <c r="J297" t="s">
        <v>19</v>
      </c>
      <c r="K297">
        <v>0.99</v>
      </c>
      <c r="L297" t="s">
        <v>26</v>
      </c>
      <c r="M297" t="s">
        <v>19</v>
      </c>
      <c r="N297">
        <v>0.96</v>
      </c>
      <c r="O297" t="s">
        <v>27</v>
      </c>
      <c r="P297" t="s">
        <v>19</v>
      </c>
      <c r="Q297">
        <v>1</v>
      </c>
      <c r="R297" t="s">
        <v>23</v>
      </c>
      <c r="S297">
        <v>4</v>
      </c>
    </row>
    <row r="298" spans="1:19">
      <c r="A298">
        <v>298</v>
      </c>
      <c r="B298" t="s">
        <v>168</v>
      </c>
      <c r="C298">
        <v>806.59429999999998</v>
      </c>
      <c r="D298">
        <v>290.60000000000002</v>
      </c>
      <c r="E298">
        <v>-0.69369558707273904</v>
      </c>
      <c r="F298" t="s">
        <v>18</v>
      </c>
      <c r="G298" t="s">
        <v>19</v>
      </c>
      <c r="H298">
        <v>1</v>
      </c>
      <c r="I298" t="s">
        <v>20</v>
      </c>
      <c r="J298" t="s">
        <v>19</v>
      </c>
      <c r="K298">
        <v>1</v>
      </c>
      <c r="L298" t="s">
        <v>67</v>
      </c>
      <c r="M298" t="s">
        <v>19</v>
      </c>
      <c r="N298">
        <v>0.55000000000000004</v>
      </c>
      <c r="O298" t="s">
        <v>68</v>
      </c>
      <c r="P298" t="s">
        <v>19</v>
      </c>
      <c r="Q298">
        <v>0.86799999999999999</v>
      </c>
      <c r="R298" t="s">
        <v>23</v>
      </c>
      <c r="S298">
        <v>4</v>
      </c>
    </row>
    <row r="299" spans="1:19">
      <c r="A299">
        <v>299</v>
      </c>
      <c r="B299" t="s">
        <v>252</v>
      </c>
      <c r="C299">
        <v>344.02659999999997</v>
      </c>
      <c r="D299">
        <v>163.30000000000001</v>
      </c>
      <c r="E299">
        <v>-0.64247643983549096</v>
      </c>
      <c r="F299" t="s">
        <v>18</v>
      </c>
      <c r="G299" t="s">
        <v>19</v>
      </c>
      <c r="H299">
        <v>1</v>
      </c>
      <c r="I299" t="s">
        <v>53</v>
      </c>
      <c r="J299" t="s">
        <v>19</v>
      </c>
      <c r="K299">
        <v>0.99</v>
      </c>
      <c r="L299" t="s">
        <v>54</v>
      </c>
      <c r="M299" t="s">
        <v>19</v>
      </c>
      <c r="N299">
        <v>0.9</v>
      </c>
      <c r="O299" t="s">
        <v>253</v>
      </c>
      <c r="P299" t="s">
        <v>19</v>
      </c>
      <c r="Q299">
        <v>0.82899999999999996</v>
      </c>
      <c r="R299" t="s">
        <v>23</v>
      </c>
      <c r="S299">
        <v>4</v>
      </c>
    </row>
    <row r="300" spans="1:19">
      <c r="A300">
        <v>300</v>
      </c>
      <c r="B300" t="s">
        <v>370</v>
      </c>
      <c r="C300">
        <v>304.90949999999998</v>
      </c>
      <c r="D300">
        <v>161.6</v>
      </c>
      <c r="E300">
        <v>-0.56905271287752202</v>
      </c>
      <c r="F300" t="s">
        <v>18</v>
      </c>
      <c r="G300" t="s">
        <v>19</v>
      </c>
      <c r="H300">
        <v>1</v>
      </c>
      <c r="I300" t="s">
        <v>74</v>
      </c>
      <c r="J300" t="s">
        <v>19</v>
      </c>
      <c r="K300">
        <v>0.98</v>
      </c>
      <c r="L300" t="s">
        <v>75</v>
      </c>
      <c r="M300" t="s">
        <v>19</v>
      </c>
      <c r="N300">
        <v>1</v>
      </c>
      <c r="O300" t="s">
        <v>76</v>
      </c>
      <c r="P300" t="s">
        <v>19</v>
      </c>
      <c r="Q300">
        <v>1</v>
      </c>
      <c r="R300" t="s">
        <v>23</v>
      </c>
      <c r="S300">
        <v>4</v>
      </c>
    </row>
    <row r="301" spans="1:19">
      <c r="A301">
        <v>301</v>
      </c>
      <c r="B301" t="s">
        <v>371</v>
      </c>
      <c r="C301">
        <v>444.28199999999998</v>
      </c>
      <c r="D301">
        <v>203.8</v>
      </c>
      <c r="E301">
        <v>-0.78593608064898002</v>
      </c>
      <c r="F301" t="s">
        <v>18</v>
      </c>
      <c r="G301" t="s">
        <v>19</v>
      </c>
      <c r="H301">
        <v>1</v>
      </c>
      <c r="I301" t="s">
        <v>25</v>
      </c>
      <c r="J301" t="s">
        <v>19</v>
      </c>
      <c r="K301">
        <v>0.56000000000000005</v>
      </c>
      <c r="L301" t="s">
        <v>26</v>
      </c>
      <c r="M301" t="s">
        <v>19</v>
      </c>
      <c r="N301">
        <v>1</v>
      </c>
      <c r="O301" t="s">
        <v>27</v>
      </c>
      <c r="P301" t="s">
        <v>19</v>
      </c>
      <c r="Q301">
        <v>1</v>
      </c>
      <c r="R301" t="s">
        <v>23</v>
      </c>
      <c r="S301">
        <v>4</v>
      </c>
    </row>
    <row r="302" spans="1:19">
      <c r="A302">
        <v>302</v>
      </c>
      <c r="B302" t="s">
        <v>372</v>
      </c>
      <c r="C302">
        <v>508.25200000000001</v>
      </c>
      <c r="D302">
        <v>217.7</v>
      </c>
      <c r="E302">
        <v>-0.68451025443755498</v>
      </c>
      <c r="F302" t="s">
        <v>18</v>
      </c>
      <c r="G302" t="s">
        <v>19</v>
      </c>
      <c r="H302">
        <v>1</v>
      </c>
      <c r="I302" t="s">
        <v>25</v>
      </c>
      <c r="J302" t="s">
        <v>19</v>
      </c>
      <c r="K302">
        <v>0.63</v>
      </c>
      <c r="L302" t="s">
        <v>26</v>
      </c>
      <c r="M302" t="s">
        <v>19</v>
      </c>
      <c r="N302">
        <v>1</v>
      </c>
      <c r="O302" t="s">
        <v>27</v>
      </c>
      <c r="P302" t="s">
        <v>19</v>
      </c>
      <c r="Q302">
        <v>1</v>
      </c>
      <c r="R302" t="s">
        <v>23</v>
      </c>
      <c r="S302">
        <v>4</v>
      </c>
    </row>
    <row r="303" spans="1:19">
      <c r="A303">
        <v>303</v>
      </c>
      <c r="B303" t="s">
        <v>373</v>
      </c>
      <c r="C303">
        <v>714.50739999999996</v>
      </c>
      <c r="D303">
        <v>267</v>
      </c>
      <c r="E303">
        <v>-0.70961539191489498</v>
      </c>
      <c r="F303" t="s">
        <v>18</v>
      </c>
      <c r="G303" t="s">
        <v>19</v>
      </c>
      <c r="H303">
        <v>1</v>
      </c>
      <c r="I303" t="s">
        <v>20</v>
      </c>
      <c r="J303" t="s">
        <v>19</v>
      </c>
      <c r="K303">
        <v>1</v>
      </c>
      <c r="L303" t="s">
        <v>21</v>
      </c>
      <c r="M303" t="s">
        <v>19</v>
      </c>
      <c r="N303">
        <v>0.99</v>
      </c>
      <c r="O303" t="s">
        <v>29</v>
      </c>
      <c r="P303" t="s">
        <v>19</v>
      </c>
      <c r="Q303">
        <v>0.97</v>
      </c>
      <c r="R303" t="s">
        <v>23</v>
      </c>
      <c r="S303">
        <v>4</v>
      </c>
    </row>
    <row r="304" spans="1:19">
      <c r="A304">
        <v>304</v>
      </c>
      <c r="B304" t="s">
        <v>374</v>
      </c>
      <c r="C304">
        <v>578.66030000000001</v>
      </c>
      <c r="D304">
        <v>290.5</v>
      </c>
      <c r="E304">
        <v>-1.4195732010762199E-2</v>
      </c>
      <c r="F304" t="s">
        <v>18</v>
      </c>
      <c r="G304" t="s">
        <v>19</v>
      </c>
      <c r="H304">
        <v>1</v>
      </c>
      <c r="I304" t="s">
        <v>106</v>
      </c>
      <c r="J304" t="s">
        <v>19</v>
      </c>
      <c r="K304">
        <v>0.87</v>
      </c>
      <c r="L304" t="s">
        <v>107</v>
      </c>
      <c r="M304" t="s">
        <v>19</v>
      </c>
      <c r="N304">
        <v>0.96</v>
      </c>
      <c r="O304" t="s">
        <v>108</v>
      </c>
      <c r="P304" t="s">
        <v>19</v>
      </c>
      <c r="Q304">
        <v>0.95399999999999996</v>
      </c>
      <c r="R304" t="s">
        <v>23</v>
      </c>
      <c r="S304">
        <v>4</v>
      </c>
    </row>
    <row r="305" spans="1:19">
      <c r="A305">
        <v>305</v>
      </c>
      <c r="B305" t="s">
        <v>375</v>
      </c>
      <c r="C305">
        <v>1143.2906</v>
      </c>
      <c r="D305">
        <v>319.7</v>
      </c>
      <c r="E305">
        <v>-1.40566874347314E-2</v>
      </c>
      <c r="F305" t="s">
        <v>18</v>
      </c>
      <c r="G305" t="s">
        <v>19</v>
      </c>
      <c r="H305">
        <v>0.98399999999999999</v>
      </c>
      <c r="I305" t="s">
        <v>25</v>
      </c>
      <c r="J305" t="s">
        <v>19</v>
      </c>
      <c r="K305">
        <v>0.71</v>
      </c>
      <c r="L305" t="s">
        <v>26</v>
      </c>
      <c r="M305" t="s">
        <v>19</v>
      </c>
      <c r="N305">
        <v>0.98</v>
      </c>
      <c r="O305" t="s">
        <v>27</v>
      </c>
      <c r="P305" t="s">
        <v>19</v>
      </c>
      <c r="Q305">
        <v>1</v>
      </c>
      <c r="R305" t="s">
        <v>23</v>
      </c>
      <c r="S305">
        <v>4</v>
      </c>
    </row>
    <row r="306" spans="1:19">
      <c r="A306">
        <v>306</v>
      </c>
      <c r="B306" t="s">
        <v>376</v>
      </c>
      <c r="C306">
        <v>846.52369999999996</v>
      </c>
      <c r="D306">
        <v>291.60000000000002</v>
      </c>
      <c r="E306">
        <v>-0.57851233890744402</v>
      </c>
      <c r="F306" t="s">
        <v>18</v>
      </c>
      <c r="G306" t="s">
        <v>19</v>
      </c>
      <c r="H306">
        <v>1</v>
      </c>
      <c r="I306" t="s">
        <v>20</v>
      </c>
      <c r="J306" t="s">
        <v>19</v>
      </c>
      <c r="K306">
        <v>0.98</v>
      </c>
      <c r="L306" t="s">
        <v>21</v>
      </c>
      <c r="M306" t="s">
        <v>19</v>
      </c>
      <c r="N306">
        <v>1</v>
      </c>
      <c r="O306" t="s">
        <v>22</v>
      </c>
      <c r="P306" t="s">
        <v>19</v>
      </c>
      <c r="Q306">
        <v>0.88900000000000001</v>
      </c>
      <c r="R306" t="s">
        <v>23</v>
      </c>
      <c r="S306">
        <v>4</v>
      </c>
    </row>
    <row r="307" spans="1:19">
      <c r="A307">
        <v>307</v>
      </c>
      <c r="B307" t="s">
        <v>377</v>
      </c>
      <c r="C307">
        <v>552.53290000000004</v>
      </c>
      <c r="D307">
        <v>260.5</v>
      </c>
      <c r="E307">
        <v>-0.91596833060009397</v>
      </c>
      <c r="F307" t="s">
        <v>18</v>
      </c>
      <c r="G307" t="s">
        <v>19</v>
      </c>
      <c r="H307">
        <v>1</v>
      </c>
      <c r="I307" t="s">
        <v>20</v>
      </c>
      <c r="J307" t="s">
        <v>19</v>
      </c>
      <c r="K307">
        <v>1</v>
      </c>
      <c r="L307" t="s">
        <v>67</v>
      </c>
      <c r="M307" t="s">
        <v>19</v>
      </c>
      <c r="N307">
        <v>1</v>
      </c>
      <c r="O307" t="s">
        <v>97</v>
      </c>
      <c r="P307" t="s">
        <v>19</v>
      </c>
      <c r="Q307">
        <v>1</v>
      </c>
      <c r="R307" t="s">
        <v>23</v>
      </c>
      <c r="S307">
        <v>4</v>
      </c>
    </row>
    <row r="308" spans="1:19">
      <c r="A308">
        <v>308</v>
      </c>
      <c r="B308" t="s">
        <v>309</v>
      </c>
      <c r="C308">
        <v>618.98519999999996</v>
      </c>
      <c r="D308">
        <v>218.4</v>
      </c>
      <c r="E308">
        <v>-0.29407088756181599</v>
      </c>
      <c r="F308" t="s">
        <v>18</v>
      </c>
      <c r="G308" t="s">
        <v>19</v>
      </c>
      <c r="H308">
        <v>0.998</v>
      </c>
      <c r="I308" t="s">
        <v>53</v>
      </c>
      <c r="J308" t="s">
        <v>19</v>
      </c>
      <c r="K308">
        <v>0.84</v>
      </c>
      <c r="L308" t="s">
        <v>54</v>
      </c>
      <c r="M308" t="s">
        <v>19</v>
      </c>
      <c r="N308">
        <v>0.62</v>
      </c>
      <c r="O308" t="s">
        <v>55</v>
      </c>
      <c r="P308" t="s">
        <v>19</v>
      </c>
      <c r="Q308">
        <v>1</v>
      </c>
      <c r="R308" t="s">
        <v>23</v>
      </c>
      <c r="S308">
        <v>4</v>
      </c>
    </row>
    <row r="309" spans="1:19">
      <c r="A309">
        <v>309</v>
      </c>
      <c r="B309" t="s">
        <v>378</v>
      </c>
      <c r="C309">
        <v>726.54129999999998</v>
      </c>
      <c r="D309">
        <v>276.89999999999998</v>
      </c>
      <c r="E309">
        <v>-0.73007891778558998</v>
      </c>
      <c r="F309" t="s">
        <v>18</v>
      </c>
      <c r="G309" t="s">
        <v>19</v>
      </c>
      <c r="H309">
        <v>1</v>
      </c>
      <c r="I309" t="s">
        <v>20</v>
      </c>
      <c r="J309" t="s">
        <v>19</v>
      </c>
      <c r="K309">
        <v>1</v>
      </c>
      <c r="L309" t="s">
        <v>21</v>
      </c>
      <c r="M309" t="s">
        <v>19</v>
      </c>
      <c r="N309">
        <v>0.98</v>
      </c>
      <c r="O309" t="s">
        <v>29</v>
      </c>
      <c r="P309" t="s">
        <v>19</v>
      </c>
      <c r="Q309">
        <v>0.96199999999999997</v>
      </c>
      <c r="R309" t="s">
        <v>23</v>
      </c>
      <c r="S309">
        <v>4</v>
      </c>
    </row>
    <row r="310" spans="1:19">
      <c r="A310">
        <v>310</v>
      </c>
      <c r="B310" t="s">
        <v>379</v>
      </c>
      <c r="C310">
        <v>182.0831</v>
      </c>
      <c r="D310">
        <v>140.30000000000001</v>
      </c>
      <c r="E310">
        <v>-0.87979476541121904</v>
      </c>
      <c r="F310" t="s">
        <v>18</v>
      </c>
      <c r="G310" t="s">
        <v>19</v>
      </c>
      <c r="H310">
        <v>1</v>
      </c>
      <c r="I310" t="s">
        <v>74</v>
      </c>
      <c r="J310" t="s">
        <v>19</v>
      </c>
      <c r="K310">
        <v>0.63</v>
      </c>
      <c r="L310" t="s">
        <v>119</v>
      </c>
      <c r="M310" t="s">
        <v>19</v>
      </c>
      <c r="N310">
        <v>0.85</v>
      </c>
      <c r="O310" t="s">
        <v>120</v>
      </c>
      <c r="P310" t="s">
        <v>19</v>
      </c>
      <c r="Q310">
        <v>0.997</v>
      </c>
      <c r="R310" t="s">
        <v>23</v>
      </c>
      <c r="S310">
        <v>4</v>
      </c>
    </row>
    <row r="311" spans="1:19">
      <c r="A311">
        <v>311</v>
      </c>
      <c r="B311" t="s">
        <v>380</v>
      </c>
      <c r="C311">
        <v>193.0351</v>
      </c>
      <c r="D311">
        <v>131.80000000000001</v>
      </c>
      <c r="E311">
        <v>-0.81956628880237803</v>
      </c>
      <c r="F311" t="s">
        <v>18</v>
      </c>
      <c r="G311" t="s">
        <v>19</v>
      </c>
      <c r="H311">
        <v>1</v>
      </c>
      <c r="I311" t="s">
        <v>32</v>
      </c>
      <c r="J311" t="s">
        <v>19</v>
      </c>
      <c r="K311">
        <v>0.94</v>
      </c>
      <c r="L311" t="s">
        <v>33</v>
      </c>
      <c r="M311" t="s">
        <v>19</v>
      </c>
      <c r="N311">
        <v>1</v>
      </c>
      <c r="O311" t="s">
        <v>34</v>
      </c>
      <c r="P311" t="s">
        <v>19</v>
      </c>
      <c r="Q311">
        <v>0.95899999999999996</v>
      </c>
      <c r="R311" t="s">
        <v>23</v>
      </c>
      <c r="S311">
        <v>4</v>
      </c>
    </row>
    <row r="312" spans="1:19">
      <c r="A312">
        <v>312</v>
      </c>
      <c r="B312" t="s">
        <v>180</v>
      </c>
      <c r="C312">
        <v>505.97399999999999</v>
      </c>
      <c r="D312">
        <v>197.2</v>
      </c>
      <c r="E312">
        <v>-0.40905375970737601</v>
      </c>
      <c r="F312" t="s">
        <v>18</v>
      </c>
      <c r="G312" t="s">
        <v>19</v>
      </c>
      <c r="H312">
        <v>1</v>
      </c>
      <c r="I312" t="s">
        <v>32</v>
      </c>
      <c r="J312" t="s">
        <v>19</v>
      </c>
      <c r="K312">
        <v>0.76</v>
      </c>
      <c r="L312" t="s">
        <v>33</v>
      </c>
      <c r="M312" t="s">
        <v>19</v>
      </c>
      <c r="N312">
        <v>1</v>
      </c>
      <c r="O312" t="s">
        <v>34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313</v>
      </c>
      <c r="B313" t="s">
        <v>381</v>
      </c>
      <c r="C313">
        <v>814.50639999999999</v>
      </c>
      <c r="D313">
        <v>289.2</v>
      </c>
      <c r="E313">
        <v>-0.59696131664020402</v>
      </c>
      <c r="F313" t="s">
        <v>18</v>
      </c>
      <c r="G313" t="s">
        <v>19</v>
      </c>
      <c r="H313">
        <v>1</v>
      </c>
      <c r="I313" t="s">
        <v>25</v>
      </c>
      <c r="J313" t="s">
        <v>19</v>
      </c>
      <c r="K313">
        <v>0.55000000000000004</v>
      </c>
      <c r="L313" t="s">
        <v>26</v>
      </c>
      <c r="M313" t="s">
        <v>19</v>
      </c>
      <c r="N313">
        <v>0.99</v>
      </c>
      <c r="O313" t="s">
        <v>27</v>
      </c>
      <c r="P313" t="s">
        <v>19</v>
      </c>
      <c r="Q313">
        <v>1</v>
      </c>
      <c r="R313" t="s">
        <v>23</v>
      </c>
      <c r="S313">
        <v>4</v>
      </c>
    </row>
    <row r="314" spans="1:19">
      <c r="A314">
        <v>314</v>
      </c>
      <c r="B314" t="s">
        <v>382</v>
      </c>
      <c r="C314">
        <v>760.5856</v>
      </c>
      <c r="D314">
        <v>287.89999999999998</v>
      </c>
      <c r="E314">
        <v>-0.73636668931464999</v>
      </c>
      <c r="F314" t="s">
        <v>18</v>
      </c>
      <c r="G314" t="s">
        <v>19</v>
      </c>
      <c r="H314">
        <v>1</v>
      </c>
      <c r="I314" t="s">
        <v>20</v>
      </c>
      <c r="J314" t="s">
        <v>19</v>
      </c>
      <c r="K314">
        <v>1</v>
      </c>
      <c r="L314" t="s">
        <v>21</v>
      </c>
      <c r="M314" t="s">
        <v>19</v>
      </c>
      <c r="N314">
        <v>0.65</v>
      </c>
      <c r="O314" t="s">
        <v>65</v>
      </c>
      <c r="P314" t="s">
        <v>19</v>
      </c>
      <c r="Q314">
        <v>0.86799999999999999</v>
      </c>
      <c r="R314" t="s">
        <v>23</v>
      </c>
      <c r="S314">
        <v>4</v>
      </c>
    </row>
    <row r="315" spans="1:19">
      <c r="A315">
        <v>315</v>
      </c>
      <c r="B315" t="s">
        <v>383</v>
      </c>
      <c r="C315">
        <v>484.3227</v>
      </c>
      <c r="D315">
        <v>226.2</v>
      </c>
      <c r="E315">
        <v>-0.78192856025532398</v>
      </c>
      <c r="F315" t="s">
        <v>18</v>
      </c>
      <c r="G315" t="s">
        <v>19</v>
      </c>
      <c r="H315">
        <v>1</v>
      </c>
      <c r="I315" t="s">
        <v>20</v>
      </c>
      <c r="J315" t="s">
        <v>19</v>
      </c>
      <c r="K315">
        <v>0.98</v>
      </c>
      <c r="L315" t="s">
        <v>67</v>
      </c>
      <c r="M315" t="s">
        <v>19</v>
      </c>
      <c r="N315">
        <v>0.53</v>
      </c>
      <c r="O315" t="s">
        <v>68</v>
      </c>
      <c r="P315" t="s">
        <v>19</v>
      </c>
      <c r="Q315">
        <v>0.91900000000000004</v>
      </c>
      <c r="R315" t="s">
        <v>23</v>
      </c>
      <c r="S315">
        <v>4</v>
      </c>
    </row>
    <row r="316" spans="1:19">
      <c r="A316">
        <v>316</v>
      </c>
      <c r="B316" t="s">
        <v>384</v>
      </c>
      <c r="C316">
        <v>834.52369999999996</v>
      </c>
      <c r="D316">
        <v>290.2</v>
      </c>
      <c r="E316">
        <v>-0.591910961926715</v>
      </c>
      <c r="F316" t="s">
        <v>18</v>
      </c>
      <c r="G316" t="s">
        <v>19</v>
      </c>
      <c r="H316">
        <v>1</v>
      </c>
      <c r="I316" t="s">
        <v>20</v>
      </c>
      <c r="J316" t="s">
        <v>19</v>
      </c>
      <c r="K316">
        <v>0.98</v>
      </c>
      <c r="L316" t="s">
        <v>21</v>
      </c>
      <c r="M316" t="s">
        <v>19</v>
      </c>
      <c r="N316">
        <v>1</v>
      </c>
      <c r="O316" t="s">
        <v>22</v>
      </c>
      <c r="P316" t="s">
        <v>19</v>
      </c>
      <c r="Q316">
        <v>0.82399999999999995</v>
      </c>
      <c r="R316" t="s">
        <v>23</v>
      </c>
      <c r="S316">
        <v>4</v>
      </c>
    </row>
    <row r="317" spans="1:19">
      <c r="A317">
        <v>317</v>
      </c>
      <c r="B317" t="s">
        <v>284</v>
      </c>
      <c r="C317">
        <v>862.55740000000003</v>
      </c>
      <c r="D317">
        <v>297.60000000000002</v>
      </c>
      <c r="E317">
        <v>-0.59430988041560795</v>
      </c>
      <c r="F317" t="s">
        <v>18</v>
      </c>
      <c r="G317" t="s">
        <v>19</v>
      </c>
      <c r="H317">
        <v>1</v>
      </c>
      <c r="I317" t="s">
        <v>20</v>
      </c>
      <c r="J317" t="s">
        <v>19</v>
      </c>
      <c r="K317">
        <v>0.95</v>
      </c>
      <c r="L317" t="s">
        <v>21</v>
      </c>
      <c r="M317" t="s">
        <v>19</v>
      </c>
      <c r="N317">
        <v>1</v>
      </c>
      <c r="O317" t="s">
        <v>22</v>
      </c>
      <c r="P317" t="s">
        <v>19</v>
      </c>
      <c r="Q317">
        <v>0.94599999999999995</v>
      </c>
      <c r="R317" t="s">
        <v>23</v>
      </c>
      <c r="S317">
        <v>4</v>
      </c>
    </row>
    <row r="318" spans="1:19">
      <c r="A318">
        <v>318</v>
      </c>
      <c r="B318" t="s">
        <v>385</v>
      </c>
      <c r="C318">
        <v>377.23039999999997</v>
      </c>
      <c r="D318">
        <v>204.4</v>
      </c>
      <c r="E318">
        <v>-0.80920267325177497</v>
      </c>
      <c r="F318" t="s">
        <v>18</v>
      </c>
      <c r="G318" t="s">
        <v>19</v>
      </c>
      <c r="H318">
        <v>1</v>
      </c>
      <c r="I318" t="s">
        <v>20</v>
      </c>
      <c r="J318" t="s">
        <v>19</v>
      </c>
      <c r="K318">
        <v>1</v>
      </c>
      <c r="L318" t="s">
        <v>45</v>
      </c>
      <c r="M318" t="s">
        <v>19</v>
      </c>
      <c r="N318">
        <v>0.92</v>
      </c>
      <c r="O318" t="s">
        <v>46</v>
      </c>
      <c r="P318" t="s">
        <v>19</v>
      </c>
      <c r="Q318">
        <v>0.996</v>
      </c>
      <c r="R318" t="s">
        <v>23</v>
      </c>
      <c r="S318">
        <v>4</v>
      </c>
    </row>
    <row r="319" spans="1:19">
      <c r="A319">
        <v>319</v>
      </c>
      <c r="B319" t="s">
        <v>386</v>
      </c>
      <c r="C319">
        <v>850.56690000000003</v>
      </c>
      <c r="D319">
        <v>296</v>
      </c>
      <c r="E319">
        <v>-0.61719789619166898</v>
      </c>
      <c r="F319" t="s">
        <v>18</v>
      </c>
      <c r="G319" t="s">
        <v>19</v>
      </c>
      <c r="H319">
        <v>1</v>
      </c>
      <c r="I319" t="s">
        <v>20</v>
      </c>
      <c r="J319" t="s">
        <v>19</v>
      </c>
      <c r="K319">
        <v>1</v>
      </c>
      <c r="L319" t="s">
        <v>21</v>
      </c>
      <c r="M319" t="s">
        <v>19</v>
      </c>
      <c r="N319">
        <v>1</v>
      </c>
      <c r="O319" t="s">
        <v>65</v>
      </c>
      <c r="P319" t="s">
        <v>19</v>
      </c>
      <c r="Q319">
        <v>0.88200000000000001</v>
      </c>
      <c r="R319" t="s">
        <v>23</v>
      </c>
      <c r="S319">
        <v>4</v>
      </c>
    </row>
    <row r="320" spans="1:19">
      <c r="A320">
        <v>320</v>
      </c>
      <c r="B320" t="s">
        <v>346</v>
      </c>
      <c r="C320">
        <v>1255.6362999999999</v>
      </c>
      <c r="D320">
        <v>344.4</v>
      </c>
      <c r="E320">
        <v>-0.234316880590768</v>
      </c>
      <c r="F320" t="s">
        <v>18</v>
      </c>
      <c r="G320" t="s">
        <v>19</v>
      </c>
      <c r="H320">
        <v>1</v>
      </c>
      <c r="I320" t="s">
        <v>25</v>
      </c>
      <c r="J320" t="s">
        <v>19</v>
      </c>
      <c r="K320">
        <v>1</v>
      </c>
      <c r="L320" t="s">
        <v>36</v>
      </c>
      <c r="M320" t="s">
        <v>19</v>
      </c>
      <c r="N320">
        <v>0.6</v>
      </c>
      <c r="O320" t="s">
        <v>37</v>
      </c>
      <c r="P320" t="s">
        <v>19</v>
      </c>
      <c r="Q320">
        <v>0.97099999999999997</v>
      </c>
      <c r="R320" t="s">
        <v>23</v>
      </c>
      <c r="S320">
        <v>4</v>
      </c>
    </row>
    <row r="321" spans="1:19">
      <c r="A321">
        <v>321</v>
      </c>
      <c r="B321" t="s">
        <v>387</v>
      </c>
      <c r="C321">
        <v>105.02249999999999</v>
      </c>
      <c r="D321">
        <v>112.8</v>
      </c>
      <c r="E321">
        <v>-0.90523692616392304</v>
      </c>
      <c r="F321" t="s">
        <v>18</v>
      </c>
      <c r="G321" t="s">
        <v>19</v>
      </c>
      <c r="H321">
        <v>1</v>
      </c>
      <c r="I321" t="s">
        <v>32</v>
      </c>
      <c r="J321" t="s">
        <v>19</v>
      </c>
      <c r="K321">
        <v>0.64</v>
      </c>
      <c r="L321" t="s">
        <v>33</v>
      </c>
      <c r="M321" t="s">
        <v>19</v>
      </c>
      <c r="N321">
        <v>1</v>
      </c>
      <c r="O321" t="s">
        <v>34</v>
      </c>
      <c r="P321" t="s">
        <v>19</v>
      </c>
      <c r="Q321">
        <v>0.55600000000000005</v>
      </c>
      <c r="R321" t="s">
        <v>23</v>
      </c>
      <c r="S321">
        <v>4</v>
      </c>
    </row>
    <row r="322" spans="1:19">
      <c r="A322">
        <v>322</v>
      </c>
      <c r="B322" t="s">
        <v>388</v>
      </c>
      <c r="C322">
        <v>330.0446</v>
      </c>
      <c r="D322">
        <v>164.9</v>
      </c>
      <c r="E322">
        <v>-0.67608806875671201</v>
      </c>
      <c r="F322" t="s">
        <v>18</v>
      </c>
      <c r="G322" t="s">
        <v>19</v>
      </c>
      <c r="H322">
        <v>1</v>
      </c>
      <c r="I322" t="s">
        <v>53</v>
      </c>
      <c r="J322" t="s">
        <v>19</v>
      </c>
      <c r="K322">
        <v>1</v>
      </c>
      <c r="L322" t="s">
        <v>54</v>
      </c>
      <c r="M322" t="s">
        <v>19</v>
      </c>
      <c r="N322">
        <v>0.84</v>
      </c>
      <c r="O322" t="s">
        <v>145</v>
      </c>
      <c r="P322" t="s">
        <v>19</v>
      </c>
      <c r="Q322">
        <v>0.84199999999999997</v>
      </c>
      <c r="R322" t="s">
        <v>23</v>
      </c>
      <c r="S322">
        <v>4</v>
      </c>
    </row>
    <row r="323" spans="1:19">
      <c r="A323">
        <v>323</v>
      </c>
      <c r="B323" t="s">
        <v>389</v>
      </c>
      <c r="C323">
        <v>422.32459999999998</v>
      </c>
      <c r="D323">
        <v>228.9</v>
      </c>
      <c r="E323">
        <v>-0.85305265773911298</v>
      </c>
      <c r="F323" t="s">
        <v>18</v>
      </c>
      <c r="G323" t="s">
        <v>19</v>
      </c>
      <c r="H323">
        <v>1</v>
      </c>
      <c r="I323" t="s">
        <v>20</v>
      </c>
      <c r="J323" t="s">
        <v>19</v>
      </c>
      <c r="K323">
        <v>0.97</v>
      </c>
      <c r="L323" t="s">
        <v>45</v>
      </c>
      <c r="M323" t="s">
        <v>19</v>
      </c>
      <c r="N323">
        <v>0.85</v>
      </c>
      <c r="O323" t="s">
        <v>312</v>
      </c>
      <c r="P323" t="s">
        <v>19</v>
      </c>
      <c r="Q323">
        <v>0.96399999999999997</v>
      </c>
      <c r="R323" t="s">
        <v>23</v>
      </c>
      <c r="S323">
        <v>4</v>
      </c>
    </row>
    <row r="324" spans="1:19">
      <c r="A324">
        <v>324</v>
      </c>
      <c r="B324" t="s">
        <v>390</v>
      </c>
      <c r="C324">
        <v>858.52610000000004</v>
      </c>
      <c r="D324">
        <v>294</v>
      </c>
      <c r="E324">
        <v>-0.56751103616375098</v>
      </c>
      <c r="F324" t="s">
        <v>18</v>
      </c>
      <c r="G324" t="s">
        <v>19</v>
      </c>
      <c r="H324">
        <v>1</v>
      </c>
      <c r="I324" t="s">
        <v>20</v>
      </c>
      <c r="J324" t="s">
        <v>19</v>
      </c>
      <c r="K324">
        <v>1</v>
      </c>
      <c r="L324" t="s">
        <v>21</v>
      </c>
      <c r="M324" t="s">
        <v>19</v>
      </c>
      <c r="N324">
        <v>1</v>
      </c>
      <c r="O324" t="s">
        <v>22</v>
      </c>
      <c r="P324" t="s">
        <v>19</v>
      </c>
      <c r="Q324">
        <v>0.96599999999999997</v>
      </c>
      <c r="R324" t="s">
        <v>23</v>
      </c>
      <c r="S324">
        <v>4</v>
      </c>
    </row>
    <row r="325" spans="1:19">
      <c r="A325">
        <v>325</v>
      </c>
      <c r="B325" t="s">
        <v>391</v>
      </c>
      <c r="C325">
        <v>365.10520000000002</v>
      </c>
      <c r="D325">
        <v>176.2</v>
      </c>
      <c r="E325">
        <v>-0.69754108857119901</v>
      </c>
      <c r="F325" t="s">
        <v>18</v>
      </c>
      <c r="G325" t="s">
        <v>19</v>
      </c>
      <c r="H325">
        <v>1</v>
      </c>
      <c r="I325" t="s">
        <v>32</v>
      </c>
      <c r="J325" t="s">
        <v>19</v>
      </c>
      <c r="K325">
        <v>0.96</v>
      </c>
      <c r="L325" t="s">
        <v>33</v>
      </c>
      <c r="M325" t="s">
        <v>19</v>
      </c>
      <c r="N325">
        <v>1</v>
      </c>
      <c r="O325" t="s">
        <v>34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326</v>
      </c>
      <c r="B326" t="s">
        <v>182</v>
      </c>
      <c r="C326">
        <v>850.5</v>
      </c>
      <c r="D326">
        <v>291.7</v>
      </c>
      <c r="E326">
        <v>-0.55037259351490797</v>
      </c>
      <c r="F326" t="s">
        <v>18</v>
      </c>
      <c r="G326" t="s">
        <v>19</v>
      </c>
      <c r="H326">
        <v>1</v>
      </c>
      <c r="I326" t="s">
        <v>20</v>
      </c>
      <c r="J326" t="s">
        <v>19</v>
      </c>
      <c r="K326">
        <v>0.95</v>
      </c>
      <c r="L326" t="s">
        <v>21</v>
      </c>
      <c r="M326" t="s">
        <v>19</v>
      </c>
      <c r="N326">
        <v>1</v>
      </c>
      <c r="O326" t="s">
        <v>22</v>
      </c>
      <c r="P326" t="s">
        <v>19</v>
      </c>
      <c r="Q326">
        <v>0.97299999999999998</v>
      </c>
      <c r="R326" t="s">
        <v>23</v>
      </c>
      <c r="S326">
        <v>4</v>
      </c>
    </row>
    <row r="327" spans="1:19">
      <c r="A327">
        <v>327</v>
      </c>
      <c r="B327" t="s">
        <v>392</v>
      </c>
      <c r="C327">
        <v>2721.8953999999999</v>
      </c>
      <c r="D327">
        <v>439.8</v>
      </c>
      <c r="E327">
        <v>-0.85626246981109899</v>
      </c>
      <c r="F327" t="s">
        <v>18</v>
      </c>
      <c r="G327" t="s">
        <v>19</v>
      </c>
      <c r="H327">
        <v>0.99</v>
      </c>
      <c r="I327" t="s">
        <v>127</v>
      </c>
      <c r="J327" t="s">
        <v>19</v>
      </c>
      <c r="K327">
        <v>1</v>
      </c>
      <c r="L327" t="s">
        <v>128</v>
      </c>
      <c r="M327" t="s">
        <v>19</v>
      </c>
      <c r="N327">
        <v>1</v>
      </c>
      <c r="O327" t="s">
        <v>129</v>
      </c>
      <c r="P327" t="s">
        <v>19</v>
      </c>
      <c r="Q327">
        <v>1</v>
      </c>
      <c r="R327" t="s">
        <v>23</v>
      </c>
      <c r="S327">
        <v>4</v>
      </c>
    </row>
    <row r="328" spans="1:19">
      <c r="A328">
        <v>328</v>
      </c>
      <c r="B328" t="s">
        <v>363</v>
      </c>
      <c r="C328">
        <v>675.40840000000003</v>
      </c>
      <c r="D328">
        <v>243.8</v>
      </c>
      <c r="E328">
        <v>-0.65427145536716602</v>
      </c>
      <c r="F328" t="s">
        <v>18</v>
      </c>
      <c r="G328" t="s">
        <v>19</v>
      </c>
      <c r="H328">
        <v>1</v>
      </c>
      <c r="I328" t="s">
        <v>20</v>
      </c>
      <c r="J328" t="s">
        <v>19</v>
      </c>
      <c r="K328">
        <v>0.93</v>
      </c>
      <c r="L328" t="s">
        <v>45</v>
      </c>
      <c r="M328" t="s">
        <v>19</v>
      </c>
      <c r="N328">
        <v>1</v>
      </c>
      <c r="O328" t="s">
        <v>51</v>
      </c>
      <c r="P328" t="s">
        <v>19</v>
      </c>
      <c r="Q328">
        <v>0.996</v>
      </c>
      <c r="R328" t="s">
        <v>23</v>
      </c>
      <c r="S328">
        <v>4</v>
      </c>
    </row>
    <row r="329" spans="1:19">
      <c r="A329">
        <v>329</v>
      </c>
      <c r="B329" t="s">
        <v>205</v>
      </c>
      <c r="C329">
        <v>628.03359999999998</v>
      </c>
      <c r="D329">
        <v>225.9</v>
      </c>
      <c r="E329">
        <v>-0.33236787918463101</v>
      </c>
      <c r="F329" t="s">
        <v>18</v>
      </c>
      <c r="G329" t="s">
        <v>19</v>
      </c>
      <c r="H329">
        <v>1</v>
      </c>
      <c r="I329" t="s">
        <v>53</v>
      </c>
      <c r="J329" t="s">
        <v>19</v>
      </c>
      <c r="K329">
        <v>0.94</v>
      </c>
      <c r="L329" t="s">
        <v>80</v>
      </c>
      <c r="M329" t="s">
        <v>19</v>
      </c>
      <c r="N329">
        <v>0.68</v>
      </c>
      <c r="O329" t="s">
        <v>206</v>
      </c>
      <c r="P329" t="s">
        <v>19</v>
      </c>
      <c r="Q329">
        <v>0.99</v>
      </c>
      <c r="R329" t="s">
        <v>23</v>
      </c>
      <c r="S329">
        <v>4</v>
      </c>
    </row>
    <row r="330" spans="1:19">
      <c r="A330">
        <v>330</v>
      </c>
      <c r="B330" t="s">
        <v>393</v>
      </c>
      <c r="C330">
        <v>772.46100000000001</v>
      </c>
      <c r="D330">
        <v>192</v>
      </c>
      <c r="E330">
        <v>-0.59850718866448505</v>
      </c>
      <c r="F330" t="s">
        <v>59</v>
      </c>
      <c r="G330" t="s">
        <v>19</v>
      </c>
      <c r="H330">
        <v>0.65800000000000003</v>
      </c>
      <c r="I330" t="s">
        <v>60</v>
      </c>
      <c r="J330" t="s">
        <v>19</v>
      </c>
      <c r="K330">
        <v>0.75</v>
      </c>
      <c r="L330" t="s">
        <v>61</v>
      </c>
      <c r="M330" t="s">
        <v>19</v>
      </c>
      <c r="N330">
        <v>1</v>
      </c>
      <c r="O330" t="s">
        <v>62</v>
      </c>
      <c r="P330" t="s">
        <v>19</v>
      </c>
      <c r="Q330">
        <v>1</v>
      </c>
      <c r="R330" t="s">
        <v>23</v>
      </c>
      <c r="S330">
        <v>4</v>
      </c>
    </row>
    <row r="331" spans="1:19">
      <c r="A331">
        <v>331</v>
      </c>
      <c r="B331" t="s">
        <v>31</v>
      </c>
      <c r="C331">
        <v>962.45150000000001</v>
      </c>
      <c r="D331">
        <v>299.39999999999998</v>
      </c>
      <c r="E331">
        <v>-0.37687293143721901</v>
      </c>
      <c r="F331" t="s">
        <v>18</v>
      </c>
      <c r="G331" t="s">
        <v>19</v>
      </c>
      <c r="H331">
        <v>1</v>
      </c>
      <c r="I331" t="s">
        <v>32</v>
      </c>
      <c r="J331" t="s">
        <v>19</v>
      </c>
      <c r="K331">
        <v>0.88</v>
      </c>
      <c r="L331" t="s">
        <v>33</v>
      </c>
      <c r="M331" t="s">
        <v>19</v>
      </c>
      <c r="N331">
        <v>1</v>
      </c>
      <c r="O331" t="s">
        <v>34</v>
      </c>
      <c r="P331" t="s">
        <v>19</v>
      </c>
      <c r="Q331">
        <v>1</v>
      </c>
      <c r="R331" t="s">
        <v>23</v>
      </c>
      <c r="S331">
        <v>4</v>
      </c>
    </row>
    <row r="332" spans="1:19">
      <c r="A332">
        <v>332</v>
      </c>
      <c r="B332" t="s">
        <v>394</v>
      </c>
      <c r="C332">
        <v>749.50969999999995</v>
      </c>
      <c r="D332">
        <v>278.5</v>
      </c>
      <c r="E332">
        <v>-0.67283350670607001</v>
      </c>
      <c r="F332" t="s">
        <v>18</v>
      </c>
      <c r="G332" t="s">
        <v>19</v>
      </c>
      <c r="H332">
        <v>1</v>
      </c>
      <c r="I332" t="s">
        <v>20</v>
      </c>
      <c r="J332" t="s">
        <v>19</v>
      </c>
      <c r="K332">
        <v>1</v>
      </c>
      <c r="L332" t="s">
        <v>21</v>
      </c>
      <c r="M332" t="s">
        <v>19</v>
      </c>
      <c r="N332">
        <v>1</v>
      </c>
      <c r="O332" t="s">
        <v>89</v>
      </c>
      <c r="P332" t="s">
        <v>19</v>
      </c>
      <c r="Q332">
        <v>0.74</v>
      </c>
      <c r="R332" t="s">
        <v>23</v>
      </c>
      <c r="S332">
        <v>4</v>
      </c>
    </row>
    <row r="333" spans="1:19">
      <c r="A333">
        <v>333</v>
      </c>
      <c r="B333" t="s">
        <v>141</v>
      </c>
      <c r="C333">
        <v>556.32029999999997</v>
      </c>
      <c r="D333">
        <v>351.4</v>
      </c>
      <c r="E333">
        <v>-0.699139501864806</v>
      </c>
      <c r="F333" t="s">
        <v>18</v>
      </c>
      <c r="G333" t="s">
        <v>19</v>
      </c>
      <c r="H333">
        <v>1</v>
      </c>
      <c r="I333" t="s">
        <v>25</v>
      </c>
      <c r="J333" t="s">
        <v>19</v>
      </c>
      <c r="K333">
        <v>1</v>
      </c>
      <c r="L333" t="s">
        <v>36</v>
      </c>
      <c r="M333" t="s">
        <v>19</v>
      </c>
      <c r="N333">
        <v>0.63</v>
      </c>
      <c r="O333" t="s">
        <v>37</v>
      </c>
      <c r="P333" t="s">
        <v>19</v>
      </c>
      <c r="Q333">
        <v>0.998</v>
      </c>
      <c r="R333" t="s">
        <v>23</v>
      </c>
      <c r="S333">
        <v>4</v>
      </c>
    </row>
    <row r="334" spans="1:19">
      <c r="A334">
        <v>334</v>
      </c>
      <c r="B334" t="s">
        <v>395</v>
      </c>
      <c r="C334">
        <v>739.42909999999995</v>
      </c>
      <c r="D334">
        <v>270.39999999999998</v>
      </c>
      <c r="E334">
        <v>-0.603489019973381</v>
      </c>
      <c r="F334" t="s">
        <v>18</v>
      </c>
      <c r="G334" t="s">
        <v>19</v>
      </c>
      <c r="H334">
        <v>1</v>
      </c>
      <c r="I334" t="s">
        <v>20</v>
      </c>
      <c r="J334" t="s">
        <v>19</v>
      </c>
      <c r="K334">
        <v>0.79</v>
      </c>
      <c r="L334" t="s">
        <v>21</v>
      </c>
      <c r="M334" t="s">
        <v>19</v>
      </c>
      <c r="N334">
        <v>0.99</v>
      </c>
      <c r="O334" t="s">
        <v>89</v>
      </c>
      <c r="P334" t="s">
        <v>19</v>
      </c>
      <c r="Q334">
        <v>0.88400000000000001</v>
      </c>
      <c r="R334" t="s">
        <v>23</v>
      </c>
      <c r="S334">
        <v>4</v>
      </c>
    </row>
    <row r="335" spans="1:19">
      <c r="A335">
        <v>335</v>
      </c>
      <c r="B335" t="s">
        <v>396</v>
      </c>
      <c r="C335">
        <v>673.77670000000001</v>
      </c>
      <c r="D335">
        <v>194.5</v>
      </c>
      <c r="E335">
        <v>-2.4393333132138699E-2</v>
      </c>
      <c r="F335" t="s">
        <v>18</v>
      </c>
      <c r="G335" t="s">
        <v>19</v>
      </c>
      <c r="H335">
        <v>0.99</v>
      </c>
      <c r="I335" t="s">
        <v>25</v>
      </c>
      <c r="J335" t="s">
        <v>19</v>
      </c>
      <c r="K335">
        <v>0.65</v>
      </c>
      <c r="L335" t="s">
        <v>26</v>
      </c>
      <c r="M335" t="s">
        <v>19</v>
      </c>
      <c r="N335">
        <v>0.93</v>
      </c>
      <c r="O335" t="s">
        <v>27</v>
      </c>
      <c r="P335" t="s">
        <v>19</v>
      </c>
      <c r="Q335">
        <v>1</v>
      </c>
      <c r="R335" t="s">
        <v>23</v>
      </c>
      <c r="S335">
        <v>4</v>
      </c>
    </row>
    <row r="336" spans="1:19">
      <c r="A336">
        <v>336</v>
      </c>
      <c r="B336" t="s">
        <v>397</v>
      </c>
      <c r="C336">
        <v>255.11019999999999</v>
      </c>
      <c r="D336">
        <v>157.5</v>
      </c>
      <c r="E336">
        <v>-0.82535621682080795</v>
      </c>
      <c r="F336" t="s">
        <v>18</v>
      </c>
      <c r="G336" t="s">
        <v>19</v>
      </c>
      <c r="H336">
        <v>1</v>
      </c>
      <c r="I336" t="s">
        <v>39</v>
      </c>
      <c r="J336" t="s">
        <v>19</v>
      </c>
      <c r="K336">
        <v>0.65</v>
      </c>
      <c r="L336" t="s">
        <v>40</v>
      </c>
      <c r="M336" t="s">
        <v>19</v>
      </c>
      <c r="N336">
        <v>0.59</v>
      </c>
      <c r="O336" t="s">
        <v>159</v>
      </c>
      <c r="P336" t="s">
        <v>19</v>
      </c>
      <c r="Q336">
        <v>0.81200000000000006</v>
      </c>
      <c r="R336" t="s">
        <v>23</v>
      </c>
      <c r="S336">
        <v>4</v>
      </c>
    </row>
    <row r="337" spans="1:19">
      <c r="A337">
        <v>337</v>
      </c>
      <c r="B337" t="s">
        <v>398</v>
      </c>
      <c r="C337">
        <v>282.03550000000001</v>
      </c>
      <c r="D337">
        <v>160.30000000000001</v>
      </c>
      <c r="E337">
        <v>-0.720592721455944</v>
      </c>
      <c r="F337" t="s">
        <v>18</v>
      </c>
      <c r="G337" t="s">
        <v>19</v>
      </c>
      <c r="H337">
        <v>1</v>
      </c>
      <c r="I337" t="s">
        <v>32</v>
      </c>
      <c r="J337" t="s">
        <v>19</v>
      </c>
      <c r="K337">
        <v>0.74</v>
      </c>
      <c r="L337" t="s">
        <v>33</v>
      </c>
      <c r="M337" t="s">
        <v>19</v>
      </c>
      <c r="N337">
        <v>1</v>
      </c>
      <c r="O337" t="s">
        <v>34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338</v>
      </c>
      <c r="B338" t="s">
        <v>399</v>
      </c>
      <c r="C338">
        <v>367.22489999999999</v>
      </c>
      <c r="D338">
        <v>190.3</v>
      </c>
      <c r="E338">
        <v>-0.81487433347001603</v>
      </c>
      <c r="F338" t="s">
        <v>18</v>
      </c>
      <c r="G338" t="s">
        <v>19</v>
      </c>
      <c r="H338">
        <v>1</v>
      </c>
      <c r="I338" t="s">
        <v>20</v>
      </c>
      <c r="J338" t="s">
        <v>19</v>
      </c>
      <c r="K338">
        <v>0.98</v>
      </c>
      <c r="L338" t="s">
        <v>45</v>
      </c>
      <c r="M338" t="s">
        <v>19</v>
      </c>
      <c r="N338">
        <v>0.98</v>
      </c>
      <c r="O338" t="s">
        <v>51</v>
      </c>
      <c r="P338" t="s">
        <v>19</v>
      </c>
      <c r="Q338">
        <v>0.82899999999999996</v>
      </c>
      <c r="R338" t="s">
        <v>23</v>
      </c>
      <c r="S338">
        <v>4</v>
      </c>
    </row>
    <row r="339" spans="1:19">
      <c r="A339">
        <v>339</v>
      </c>
      <c r="B339" t="s">
        <v>400</v>
      </c>
      <c r="C339">
        <v>1022.6753</v>
      </c>
      <c r="D339">
        <v>330.6</v>
      </c>
      <c r="E339">
        <v>-0.53342993202193201</v>
      </c>
      <c r="F339" t="s">
        <v>18</v>
      </c>
      <c r="G339" t="s">
        <v>19</v>
      </c>
      <c r="H339">
        <v>1</v>
      </c>
      <c r="I339" t="s">
        <v>25</v>
      </c>
      <c r="J339" t="s">
        <v>19</v>
      </c>
      <c r="K339">
        <v>1</v>
      </c>
      <c r="L339" t="s">
        <v>36</v>
      </c>
      <c r="M339" t="s">
        <v>19</v>
      </c>
      <c r="N339">
        <v>1</v>
      </c>
      <c r="O339" t="s">
        <v>37</v>
      </c>
      <c r="P339" t="s">
        <v>19</v>
      </c>
      <c r="Q339">
        <v>0.98499999999999999</v>
      </c>
      <c r="R339" t="s">
        <v>23</v>
      </c>
      <c r="S339">
        <v>4</v>
      </c>
    </row>
    <row r="340" spans="1:19">
      <c r="A340">
        <v>340</v>
      </c>
      <c r="B340" t="s">
        <v>150</v>
      </c>
      <c r="C340">
        <v>804.55190000000005</v>
      </c>
      <c r="D340">
        <v>286.2</v>
      </c>
      <c r="E340">
        <v>-0.65357603271058895</v>
      </c>
      <c r="F340" t="s">
        <v>18</v>
      </c>
      <c r="G340" t="s">
        <v>19</v>
      </c>
      <c r="H340">
        <v>1</v>
      </c>
      <c r="I340" t="s">
        <v>20</v>
      </c>
      <c r="J340" t="s">
        <v>19</v>
      </c>
      <c r="K340">
        <v>1</v>
      </c>
      <c r="L340" t="s">
        <v>21</v>
      </c>
      <c r="M340" t="s">
        <v>19</v>
      </c>
      <c r="N340">
        <v>1</v>
      </c>
      <c r="O340" t="s">
        <v>65</v>
      </c>
      <c r="P340" t="s">
        <v>19</v>
      </c>
      <c r="Q340">
        <v>0.78700000000000003</v>
      </c>
      <c r="R340" t="s">
        <v>23</v>
      </c>
      <c r="S340">
        <v>4</v>
      </c>
    </row>
    <row r="341" spans="1:19">
      <c r="A341">
        <v>341</v>
      </c>
      <c r="B341" t="s">
        <v>401</v>
      </c>
      <c r="C341">
        <v>1172.1451</v>
      </c>
      <c r="D341">
        <v>199.3</v>
      </c>
      <c r="E341">
        <v>-0.83633914010897603</v>
      </c>
      <c r="F341" t="s">
        <v>59</v>
      </c>
      <c r="G341" t="s">
        <v>19</v>
      </c>
      <c r="H341">
        <v>0.91400000000000003</v>
      </c>
      <c r="I341" t="s">
        <v>60</v>
      </c>
      <c r="J341" t="s">
        <v>19</v>
      </c>
      <c r="K341">
        <v>0.98</v>
      </c>
      <c r="L341" t="s">
        <v>61</v>
      </c>
      <c r="M341" t="s">
        <v>19</v>
      </c>
      <c r="N341">
        <v>1</v>
      </c>
      <c r="O341" t="s">
        <v>62</v>
      </c>
      <c r="P341" t="s">
        <v>19</v>
      </c>
      <c r="Q341">
        <v>1</v>
      </c>
      <c r="R341" t="s">
        <v>23</v>
      </c>
      <c r="S341">
        <v>4</v>
      </c>
    </row>
    <row r="342" spans="1:19">
      <c r="A342">
        <v>342</v>
      </c>
      <c r="B342" t="s">
        <v>402</v>
      </c>
      <c r="C342">
        <v>550.27380000000005</v>
      </c>
      <c r="D342">
        <v>224</v>
      </c>
      <c r="E342">
        <v>-0.65939073303866302</v>
      </c>
      <c r="F342" t="s">
        <v>18</v>
      </c>
      <c r="G342" t="s">
        <v>19</v>
      </c>
      <c r="H342">
        <v>1</v>
      </c>
      <c r="I342" t="s">
        <v>25</v>
      </c>
      <c r="J342" t="s">
        <v>19</v>
      </c>
      <c r="K342">
        <v>0.83</v>
      </c>
      <c r="L342" t="s">
        <v>26</v>
      </c>
      <c r="M342" t="s">
        <v>19</v>
      </c>
      <c r="N342">
        <v>1</v>
      </c>
      <c r="O342" t="s">
        <v>27</v>
      </c>
      <c r="P342" t="s">
        <v>19</v>
      </c>
      <c r="Q342">
        <v>1</v>
      </c>
      <c r="R342" t="s">
        <v>23</v>
      </c>
      <c r="S342">
        <v>4</v>
      </c>
    </row>
    <row r="343" spans="1:19">
      <c r="A343">
        <v>343</v>
      </c>
      <c r="B343" t="s">
        <v>403</v>
      </c>
      <c r="C343">
        <v>192.00389999999999</v>
      </c>
      <c r="D343">
        <v>140.30000000000001</v>
      </c>
      <c r="E343">
        <v>-0.78951767714048104</v>
      </c>
      <c r="F343" t="s">
        <v>18</v>
      </c>
      <c r="G343" t="s">
        <v>19</v>
      </c>
      <c r="H343">
        <v>1</v>
      </c>
      <c r="I343" t="s">
        <v>25</v>
      </c>
      <c r="J343" t="s">
        <v>19</v>
      </c>
      <c r="K343">
        <v>0.64</v>
      </c>
      <c r="L343" t="s">
        <v>26</v>
      </c>
      <c r="M343" t="s">
        <v>19</v>
      </c>
      <c r="N343">
        <v>1</v>
      </c>
      <c r="O343" t="s">
        <v>27</v>
      </c>
      <c r="P343" t="s">
        <v>19</v>
      </c>
      <c r="Q343">
        <v>0.83399999999999996</v>
      </c>
      <c r="R343" t="s">
        <v>23</v>
      </c>
      <c r="S343">
        <v>4</v>
      </c>
    </row>
    <row r="344" spans="1:19">
      <c r="A344">
        <v>344</v>
      </c>
      <c r="B344" t="s">
        <v>340</v>
      </c>
      <c r="C344">
        <v>275.01679999999999</v>
      </c>
      <c r="D344">
        <v>145.19999999999999</v>
      </c>
      <c r="E344">
        <v>-0.70972946440468798</v>
      </c>
      <c r="F344" t="s">
        <v>18</v>
      </c>
      <c r="G344" t="s">
        <v>19</v>
      </c>
      <c r="H344">
        <v>1</v>
      </c>
      <c r="I344" t="s">
        <v>32</v>
      </c>
      <c r="J344" t="s">
        <v>19</v>
      </c>
      <c r="K344">
        <v>0.68</v>
      </c>
      <c r="L344" t="s">
        <v>33</v>
      </c>
      <c r="M344" t="s">
        <v>19</v>
      </c>
      <c r="N344">
        <v>1</v>
      </c>
      <c r="O344" t="s">
        <v>34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345</v>
      </c>
      <c r="B345" t="s">
        <v>404</v>
      </c>
      <c r="C345">
        <v>140.0829</v>
      </c>
      <c r="D345">
        <v>127.9</v>
      </c>
      <c r="E345">
        <v>-0.92649016928876904</v>
      </c>
      <c r="F345" t="s">
        <v>18</v>
      </c>
      <c r="G345" t="s">
        <v>19</v>
      </c>
      <c r="H345">
        <v>1</v>
      </c>
      <c r="I345" t="s">
        <v>106</v>
      </c>
      <c r="J345" t="s">
        <v>19</v>
      </c>
      <c r="K345">
        <v>0.64</v>
      </c>
      <c r="L345" t="s">
        <v>107</v>
      </c>
      <c r="M345" t="s">
        <v>19</v>
      </c>
      <c r="N345">
        <v>0.96</v>
      </c>
      <c r="O345" t="s">
        <v>167</v>
      </c>
      <c r="P345" t="s">
        <v>19</v>
      </c>
      <c r="Q345">
        <v>0.89</v>
      </c>
      <c r="R345" t="s">
        <v>23</v>
      </c>
      <c r="S345">
        <v>4</v>
      </c>
    </row>
    <row r="346" spans="1:19">
      <c r="A346">
        <v>346</v>
      </c>
      <c r="B346" t="s">
        <v>131</v>
      </c>
      <c r="C346">
        <v>830.67660000000001</v>
      </c>
      <c r="D346">
        <v>298.10000000000002</v>
      </c>
      <c r="E346">
        <v>-0.749106448811517</v>
      </c>
      <c r="F346" t="s">
        <v>18</v>
      </c>
      <c r="G346" t="s">
        <v>19</v>
      </c>
      <c r="H346">
        <v>1</v>
      </c>
      <c r="I346" t="s">
        <v>20</v>
      </c>
      <c r="J346" t="s">
        <v>19</v>
      </c>
      <c r="K346">
        <v>1</v>
      </c>
      <c r="L346" t="s">
        <v>67</v>
      </c>
      <c r="M346" t="s">
        <v>19</v>
      </c>
      <c r="N346">
        <v>0.98</v>
      </c>
      <c r="O346" t="s">
        <v>68</v>
      </c>
      <c r="P346" t="s">
        <v>19</v>
      </c>
      <c r="Q346">
        <v>0.95799999999999996</v>
      </c>
      <c r="R346" t="s">
        <v>23</v>
      </c>
      <c r="S346">
        <v>4</v>
      </c>
    </row>
    <row r="347" spans="1:19">
      <c r="A347">
        <v>347</v>
      </c>
      <c r="B347" t="s">
        <v>405</v>
      </c>
      <c r="C347">
        <v>521.24990000000003</v>
      </c>
      <c r="D347">
        <v>197.8</v>
      </c>
      <c r="E347">
        <v>-0.66789742425919496</v>
      </c>
      <c r="F347" t="s">
        <v>18</v>
      </c>
      <c r="G347" t="s">
        <v>19</v>
      </c>
      <c r="H347">
        <v>1</v>
      </c>
      <c r="I347" t="s">
        <v>74</v>
      </c>
      <c r="J347" t="s">
        <v>19</v>
      </c>
      <c r="K347">
        <v>0.86</v>
      </c>
      <c r="L347" t="s">
        <v>75</v>
      </c>
      <c r="M347" t="s">
        <v>19</v>
      </c>
      <c r="N347">
        <v>1</v>
      </c>
      <c r="O347" t="s">
        <v>123</v>
      </c>
      <c r="P347" t="s">
        <v>19</v>
      </c>
      <c r="Q347">
        <v>0.879</v>
      </c>
      <c r="R347" t="s">
        <v>23</v>
      </c>
      <c r="S347">
        <v>4</v>
      </c>
    </row>
    <row r="348" spans="1:19">
      <c r="A348">
        <v>348</v>
      </c>
      <c r="B348" t="s">
        <v>406</v>
      </c>
      <c r="C348">
        <v>184.9845</v>
      </c>
      <c r="D348">
        <v>127</v>
      </c>
      <c r="E348">
        <v>-0.77795520167555299</v>
      </c>
      <c r="F348" t="s">
        <v>18</v>
      </c>
      <c r="G348" t="s">
        <v>19</v>
      </c>
      <c r="H348">
        <v>1</v>
      </c>
      <c r="I348" t="s">
        <v>32</v>
      </c>
      <c r="J348" t="s">
        <v>19</v>
      </c>
      <c r="K348">
        <v>0.92</v>
      </c>
      <c r="L348" t="s">
        <v>33</v>
      </c>
      <c r="M348" t="s">
        <v>19</v>
      </c>
      <c r="N348">
        <v>1</v>
      </c>
      <c r="O348" t="s">
        <v>34</v>
      </c>
      <c r="P348" t="s">
        <v>19</v>
      </c>
      <c r="Q348">
        <v>1</v>
      </c>
      <c r="R348" t="s">
        <v>23</v>
      </c>
      <c r="S348">
        <v>4</v>
      </c>
    </row>
    <row r="349" spans="1:19">
      <c r="A349">
        <v>349</v>
      </c>
      <c r="B349" t="s">
        <v>407</v>
      </c>
      <c r="C349">
        <v>104.0705</v>
      </c>
      <c r="D349">
        <v>124.2</v>
      </c>
      <c r="E349">
        <v>-0.95429988359010998</v>
      </c>
      <c r="F349" t="s">
        <v>18</v>
      </c>
      <c r="G349" t="s">
        <v>19</v>
      </c>
      <c r="H349">
        <v>1</v>
      </c>
      <c r="I349" t="s">
        <v>25</v>
      </c>
      <c r="J349" t="s">
        <v>19</v>
      </c>
      <c r="K349">
        <v>0.99</v>
      </c>
      <c r="L349" t="s">
        <v>26</v>
      </c>
      <c r="M349" t="s">
        <v>19</v>
      </c>
      <c r="N349">
        <v>1</v>
      </c>
      <c r="O349" t="s">
        <v>27</v>
      </c>
      <c r="P349" t="s">
        <v>19</v>
      </c>
      <c r="Q349">
        <v>1</v>
      </c>
      <c r="R349" t="s">
        <v>23</v>
      </c>
      <c r="S349">
        <v>4</v>
      </c>
    </row>
    <row r="350" spans="1:19">
      <c r="A350">
        <v>350</v>
      </c>
      <c r="B350" t="s">
        <v>408</v>
      </c>
      <c r="C350">
        <v>546.31719999999996</v>
      </c>
      <c r="D350">
        <v>242.9</v>
      </c>
      <c r="E350">
        <v>-0.70720848235839595</v>
      </c>
      <c r="F350" t="s">
        <v>18</v>
      </c>
      <c r="G350" t="s">
        <v>19</v>
      </c>
      <c r="H350">
        <v>1</v>
      </c>
      <c r="I350" t="s">
        <v>20</v>
      </c>
      <c r="J350" t="s">
        <v>19</v>
      </c>
      <c r="K350">
        <v>0.98</v>
      </c>
      <c r="L350" t="s">
        <v>21</v>
      </c>
      <c r="M350" t="s">
        <v>19</v>
      </c>
      <c r="N350">
        <v>1</v>
      </c>
      <c r="O350" t="s">
        <v>29</v>
      </c>
      <c r="P350" t="s">
        <v>19</v>
      </c>
      <c r="Q350">
        <v>0.59499999999999997</v>
      </c>
      <c r="R350" t="s">
        <v>23</v>
      </c>
      <c r="S350">
        <v>4</v>
      </c>
    </row>
    <row r="351" spans="1:19">
      <c r="A351">
        <v>351</v>
      </c>
      <c r="B351" t="s">
        <v>409</v>
      </c>
      <c r="C351">
        <v>385.19900000000001</v>
      </c>
      <c r="D351">
        <v>211.6</v>
      </c>
      <c r="E351">
        <v>-0.76890531763592695</v>
      </c>
      <c r="F351" t="s">
        <v>18</v>
      </c>
      <c r="G351" t="s">
        <v>19</v>
      </c>
      <c r="H351">
        <v>1</v>
      </c>
      <c r="I351" t="s">
        <v>20</v>
      </c>
      <c r="J351" t="s">
        <v>19</v>
      </c>
      <c r="K351">
        <v>0.95</v>
      </c>
      <c r="L351" t="s">
        <v>85</v>
      </c>
      <c r="M351" t="s">
        <v>19</v>
      </c>
      <c r="N351">
        <v>0.95</v>
      </c>
      <c r="O351" t="s">
        <v>86</v>
      </c>
      <c r="P351" t="s">
        <v>19</v>
      </c>
      <c r="Q351">
        <v>0.97899999999999998</v>
      </c>
      <c r="R351" t="s">
        <v>23</v>
      </c>
      <c r="S351">
        <v>4</v>
      </c>
    </row>
    <row r="352" spans="1:19">
      <c r="A352">
        <v>352</v>
      </c>
      <c r="B352" t="s">
        <v>410</v>
      </c>
      <c r="C352">
        <v>843.65599999999995</v>
      </c>
      <c r="D352">
        <v>303.3</v>
      </c>
      <c r="E352">
        <v>-0.71401427484352098</v>
      </c>
      <c r="F352" t="s">
        <v>18</v>
      </c>
      <c r="G352" t="s">
        <v>19</v>
      </c>
      <c r="H352">
        <v>1</v>
      </c>
      <c r="I352" t="s">
        <v>20</v>
      </c>
      <c r="J352" t="s">
        <v>19</v>
      </c>
      <c r="K352">
        <v>1</v>
      </c>
      <c r="L352" t="s">
        <v>67</v>
      </c>
      <c r="M352" t="s">
        <v>19</v>
      </c>
      <c r="N352">
        <v>1</v>
      </c>
      <c r="O352" t="s">
        <v>224</v>
      </c>
      <c r="P352" t="s">
        <v>19</v>
      </c>
      <c r="Q352">
        <v>0.77100000000000002</v>
      </c>
      <c r="R352" t="s">
        <v>23</v>
      </c>
      <c r="S352">
        <v>4</v>
      </c>
    </row>
    <row r="353" spans="1:19">
      <c r="A353">
        <v>353</v>
      </c>
      <c r="B353" t="s">
        <v>411</v>
      </c>
      <c r="C353">
        <v>578.24580000000003</v>
      </c>
      <c r="D353">
        <v>221</v>
      </c>
      <c r="E353">
        <v>-0.60015854278083203</v>
      </c>
      <c r="F353" t="s">
        <v>18</v>
      </c>
      <c r="G353" t="s">
        <v>19</v>
      </c>
      <c r="H353">
        <v>1</v>
      </c>
      <c r="I353" t="s">
        <v>20</v>
      </c>
      <c r="J353" t="s">
        <v>19</v>
      </c>
      <c r="K353">
        <v>0.6</v>
      </c>
      <c r="L353" t="s">
        <v>85</v>
      </c>
      <c r="M353" t="s">
        <v>19</v>
      </c>
      <c r="N353">
        <v>0.92</v>
      </c>
      <c r="O353" t="s">
        <v>171</v>
      </c>
      <c r="P353" t="s">
        <v>19</v>
      </c>
      <c r="Q353">
        <v>0.90800000000000003</v>
      </c>
      <c r="R353" t="s">
        <v>23</v>
      </c>
      <c r="S353">
        <v>4</v>
      </c>
    </row>
    <row r="354" spans="1:19">
      <c r="A354">
        <v>354</v>
      </c>
      <c r="B354" t="s">
        <v>328</v>
      </c>
      <c r="C354">
        <v>130.08680000000001</v>
      </c>
      <c r="D354">
        <v>131.4</v>
      </c>
      <c r="E354">
        <v>-0.94155133391893697</v>
      </c>
      <c r="F354" t="s">
        <v>18</v>
      </c>
      <c r="G354" t="s">
        <v>19</v>
      </c>
      <c r="H354">
        <v>1</v>
      </c>
      <c r="I354" t="s">
        <v>25</v>
      </c>
      <c r="J354" t="s">
        <v>19</v>
      </c>
      <c r="K354">
        <v>1</v>
      </c>
      <c r="L354" t="s">
        <v>26</v>
      </c>
      <c r="M354" t="s">
        <v>19</v>
      </c>
      <c r="N354">
        <v>1</v>
      </c>
      <c r="O354" t="s">
        <v>27</v>
      </c>
      <c r="P354" t="s">
        <v>19</v>
      </c>
      <c r="Q354">
        <v>0.997</v>
      </c>
      <c r="R354" t="s">
        <v>23</v>
      </c>
      <c r="S354">
        <v>4</v>
      </c>
    </row>
    <row r="355" spans="1:19">
      <c r="A355">
        <v>113</v>
      </c>
      <c r="B355" t="s">
        <v>195</v>
      </c>
      <c r="C355">
        <v>190.04650000000001</v>
      </c>
      <c r="D355">
        <v>142.69999999999999</v>
      </c>
      <c r="E355">
        <v>-0.83430321586530498</v>
      </c>
      <c r="F355" t="s">
        <v>18</v>
      </c>
      <c r="G355" t="s">
        <v>19</v>
      </c>
      <c r="H355">
        <v>1</v>
      </c>
      <c r="I355" t="s">
        <v>39</v>
      </c>
      <c r="J355" t="s">
        <v>19</v>
      </c>
      <c r="K355">
        <v>0.74</v>
      </c>
      <c r="L355" t="s">
        <v>196</v>
      </c>
      <c r="M355" t="s">
        <v>19</v>
      </c>
      <c r="N355">
        <v>0.55000000000000004</v>
      </c>
      <c r="O355" t="s">
        <v>197</v>
      </c>
      <c r="P355" t="s">
        <v>198</v>
      </c>
      <c r="Q355">
        <v>0.52300000000000002</v>
      </c>
      <c r="R355" t="s">
        <v>23</v>
      </c>
      <c r="S355">
        <v>3</v>
      </c>
    </row>
  </sheetData>
  <autoFilter ref="A1:S1"/>
  <sortState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91"/>
  <sheetViews>
    <sheetView workbookViewId="0">
      <selection activeCell="J29" sqref="J29"/>
    </sheetView>
  </sheetViews>
  <sheetFormatPr baseColWidth="10" defaultRowHeight="16"/>
  <sheetData>
    <row r="1" spans="1:13">
      <c r="A1" s="5" t="s">
        <v>4</v>
      </c>
      <c r="B1" t="s">
        <v>59</v>
      </c>
      <c r="C1" t="s">
        <v>18</v>
      </c>
      <c r="D1" t="s">
        <v>415</v>
      </c>
    </row>
    <row r="2" spans="1:13">
      <c r="A2" t="s">
        <v>59</v>
      </c>
      <c r="B2">
        <v>35</v>
      </c>
      <c r="C2">
        <v>16</v>
      </c>
      <c r="D2">
        <v>0.31372549019607798</v>
      </c>
    </row>
    <row r="3" spans="1:13">
      <c r="A3" t="s">
        <v>18</v>
      </c>
      <c r="B3">
        <v>0</v>
      </c>
      <c r="C3">
        <v>2310</v>
      </c>
      <c r="D3">
        <v>0</v>
      </c>
    </row>
    <row r="5" spans="1:13">
      <c r="A5" s="5" t="s">
        <v>7</v>
      </c>
      <c r="B5" t="s">
        <v>74</v>
      </c>
      <c r="C5" t="s">
        <v>20</v>
      </c>
      <c r="D5" t="s">
        <v>60</v>
      </c>
      <c r="E5" t="s">
        <v>53</v>
      </c>
      <c r="F5" t="s">
        <v>25</v>
      </c>
      <c r="G5" t="s">
        <v>106</v>
      </c>
      <c r="H5" t="s">
        <v>32</v>
      </c>
      <c r="I5" t="s">
        <v>161</v>
      </c>
      <c r="J5" t="s">
        <v>127</v>
      </c>
      <c r="K5" t="s">
        <v>39</v>
      </c>
      <c r="L5" t="s">
        <v>115</v>
      </c>
      <c r="M5" t="s">
        <v>415</v>
      </c>
    </row>
    <row r="6" spans="1:13">
      <c r="A6" t="s">
        <v>74</v>
      </c>
      <c r="B6">
        <v>101</v>
      </c>
      <c r="C6">
        <v>8</v>
      </c>
      <c r="D6">
        <v>0</v>
      </c>
      <c r="E6">
        <v>1</v>
      </c>
      <c r="F6">
        <v>27</v>
      </c>
      <c r="G6">
        <v>0</v>
      </c>
      <c r="H6">
        <v>13</v>
      </c>
      <c r="I6">
        <v>0</v>
      </c>
      <c r="J6">
        <v>1</v>
      </c>
      <c r="K6">
        <v>16</v>
      </c>
      <c r="L6">
        <v>1</v>
      </c>
      <c r="M6">
        <v>0.398809523809524</v>
      </c>
    </row>
    <row r="7" spans="1:13">
      <c r="A7" t="s">
        <v>20</v>
      </c>
      <c r="B7">
        <v>2</v>
      </c>
      <c r="C7">
        <v>792</v>
      </c>
      <c r="D7">
        <v>0</v>
      </c>
      <c r="E7">
        <v>0</v>
      </c>
      <c r="F7">
        <v>39</v>
      </c>
      <c r="G7">
        <v>0</v>
      </c>
      <c r="H7">
        <v>11</v>
      </c>
      <c r="I7">
        <v>1</v>
      </c>
      <c r="J7">
        <v>0</v>
      </c>
      <c r="K7">
        <v>7</v>
      </c>
      <c r="L7">
        <v>1</v>
      </c>
      <c r="M7">
        <v>7.1512309495896806E-2</v>
      </c>
    </row>
    <row r="8" spans="1:13">
      <c r="A8" t="s">
        <v>60</v>
      </c>
      <c r="B8">
        <v>3</v>
      </c>
      <c r="C8">
        <v>1</v>
      </c>
      <c r="D8">
        <v>40</v>
      </c>
      <c r="E8">
        <v>2</v>
      </c>
      <c r="F8">
        <v>1</v>
      </c>
      <c r="G8">
        <v>0</v>
      </c>
      <c r="H8">
        <v>2</v>
      </c>
      <c r="I8">
        <v>0</v>
      </c>
      <c r="J8">
        <v>2</v>
      </c>
      <c r="K8">
        <v>0</v>
      </c>
      <c r="L8">
        <v>0</v>
      </c>
      <c r="M8">
        <v>0.21568627450980399</v>
      </c>
    </row>
    <row r="9" spans="1:13">
      <c r="A9" t="s">
        <v>53</v>
      </c>
      <c r="B9">
        <v>1</v>
      </c>
      <c r="C9">
        <v>1</v>
      </c>
      <c r="D9">
        <v>0</v>
      </c>
      <c r="E9">
        <v>146</v>
      </c>
      <c r="F9">
        <v>2</v>
      </c>
      <c r="G9">
        <v>0</v>
      </c>
      <c r="H9">
        <v>7</v>
      </c>
      <c r="I9">
        <v>0</v>
      </c>
      <c r="J9">
        <v>1</v>
      </c>
      <c r="K9">
        <v>1</v>
      </c>
      <c r="L9">
        <v>1</v>
      </c>
      <c r="M9">
        <v>8.7499999999999994E-2</v>
      </c>
    </row>
    <row r="10" spans="1:13">
      <c r="A10" t="s">
        <v>25</v>
      </c>
      <c r="B10">
        <v>15</v>
      </c>
      <c r="C10">
        <v>42</v>
      </c>
      <c r="D10">
        <v>0</v>
      </c>
      <c r="E10">
        <v>4</v>
      </c>
      <c r="F10">
        <v>413</v>
      </c>
      <c r="G10">
        <v>4</v>
      </c>
      <c r="H10">
        <v>52</v>
      </c>
      <c r="I10">
        <v>0</v>
      </c>
      <c r="J10">
        <v>2</v>
      </c>
      <c r="K10">
        <v>32</v>
      </c>
      <c r="L10">
        <v>1</v>
      </c>
      <c r="M10">
        <v>0.26902654867256598</v>
      </c>
    </row>
    <row r="11" spans="1:13">
      <c r="A11" t="s">
        <v>106</v>
      </c>
      <c r="B11">
        <v>2</v>
      </c>
      <c r="C11">
        <v>4</v>
      </c>
      <c r="D11">
        <v>0</v>
      </c>
      <c r="E11">
        <v>0</v>
      </c>
      <c r="F11">
        <v>7</v>
      </c>
      <c r="G11">
        <v>27</v>
      </c>
      <c r="H11">
        <v>0</v>
      </c>
      <c r="I11">
        <v>0</v>
      </c>
      <c r="J11">
        <v>0</v>
      </c>
      <c r="K11">
        <v>2</v>
      </c>
      <c r="L11">
        <v>0</v>
      </c>
      <c r="M11">
        <v>0.35714285714285698</v>
      </c>
    </row>
    <row r="12" spans="1:13">
      <c r="A12" t="s">
        <v>32</v>
      </c>
      <c r="B12">
        <v>13</v>
      </c>
      <c r="C12">
        <v>15</v>
      </c>
      <c r="D12">
        <v>0</v>
      </c>
      <c r="E12">
        <v>11</v>
      </c>
      <c r="F12">
        <v>44</v>
      </c>
      <c r="G12">
        <v>0</v>
      </c>
      <c r="H12">
        <v>176</v>
      </c>
      <c r="I12">
        <v>0</v>
      </c>
      <c r="J12">
        <v>0</v>
      </c>
      <c r="K12">
        <v>16</v>
      </c>
      <c r="L12">
        <v>1</v>
      </c>
      <c r="M12">
        <v>0.36231884057970998</v>
      </c>
    </row>
    <row r="13" spans="1:13">
      <c r="A13" t="s">
        <v>161</v>
      </c>
      <c r="B13">
        <v>0</v>
      </c>
      <c r="C13">
        <v>6</v>
      </c>
      <c r="D13">
        <v>0</v>
      </c>
      <c r="E13">
        <v>0</v>
      </c>
      <c r="F13">
        <v>6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</row>
    <row r="14" spans="1:13">
      <c r="A14" t="s">
        <v>127</v>
      </c>
      <c r="B14">
        <v>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60</v>
      </c>
      <c r="K14">
        <v>0</v>
      </c>
      <c r="L14">
        <v>0</v>
      </c>
      <c r="M14">
        <v>3.2258064516128997E-2</v>
      </c>
    </row>
    <row r="15" spans="1:13">
      <c r="A15" t="s">
        <v>39</v>
      </c>
      <c r="B15">
        <v>11</v>
      </c>
      <c r="C15">
        <v>6</v>
      </c>
      <c r="D15">
        <v>0</v>
      </c>
      <c r="E15">
        <v>7</v>
      </c>
      <c r="F15">
        <v>55</v>
      </c>
      <c r="G15">
        <v>1</v>
      </c>
      <c r="H15">
        <v>21</v>
      </c>
      <c r="I15">
        <v>0</v>
      </c>
      <c r="J15">
        <v>0</v>
      </c>
      <c r="K15">
        <v>56</v>
      </c>
      <c r="L15">
        <v>0</v>
      </c>
      <c r="M15">
        <v>0.64331210191082799</v>
      </c>
    </row>
    <row r="16" spans="1:13">
      <c r="A16" t="s">
        <v>115</v>
      </c>
      <c r="B16">
        <v>4</v>
      </c>
      <c r="C16">
        <v>1</v>
      </c>
      <c r="D16">
        <v>0</v>
      </c>
      <c r="E16">
        <v>0</v>
      </c>
      <c r="F16">
        <v>4</v>
      </c>
      <c r="G16">
        <v>0</v>
      </c>
      <c r="H16">
        <v>2</v>
      </c>
      <c r="I16">
        <v>0</v>
      </c>
      <c r="J16">
        <v>0</v>
      </c>
      <c r="K16">
        <v>1</v>
      </c>
      <c r="L16">
        <v>3</v>
      </c>
      <c r="M16">
        <v>0.8</v>
      </c>
    </row>
    <row r="18" spans="1:24">
      <c r="A18" s="5" t="s">
        <v>10</v>
      </c>
      <c r="B18" t="s">
        <v>61</v>
      </c>
      <c r="C18" t="s">
        <v>270</v>
      </c>
      <c r="D18" t="s">
        <v>75</v>
      </c>
      <c r="E18" t="s">
        <v>26</v>
      </c>
      <c r="F18" t="s">
        <v>221</v>
      </c>
      <c r="G18" t="s">
        <v>45</v>
      </c>
      <c r="H18" t="s">
        <v>116</v>
      </c>
      <c r="I18" t="s">
        <v>21</v>
      </c>
      <c r="J18" t="s">
        <v>188</v>
      </c>
      <c r="K18" t="s">
        <v>40</v>
      </c>
      <c r="L18" t="s">
        <v>128</v>
      </c>
      <c r="M18" t="s">
        <v>107</v>
      </c>
      <c r="N18" t="s">
        <v>33</v>
      </c>
      <c r="O18" t="s">
        <v>36</v>
      </c>
      <c r="P18" t="s">
        <v>119</v>
      </c>
      <c r="Q18" t="s">
        <v>80</v>
      </c>
      <c r="R18" t="s">
        <v>416</v>
      </c>
      <c r="S18" t="s">
        <v>196</v>
      </c>
      <c r="T18" t="s">
        <v>54</v>
      </c>
      <c r="U18" t="s">
        <v>417</v>
      </c>
      <c r="V18" t="s">
        <v>67</v>
      </c>
      <c r="W18" t="s">
        <v>85</v>
      </c>
      <c r="X18" t="s">
        <v>415</v>
      </c>
    </row>
    <row r="19" spans="1:24">
      <c r="A19" t="s">
        <v>61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">
        <v>270</v>
      </c>
      <c r="B20">
        <v>0</v>
      </c>
      <c r="C20">
        <v>1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4</v>
      </c>
      <c r="K20">
        <v>4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1</v>
      </c>
      <c r="V20">
        <v>0</v>
      </c>
      <c r="W20">
        <v>0</v>
      </c>
      <c r="X20">
        <v>0.91666666666666696</v>
      </c>
    </row>
    <row r="21" spans="1:24">
      <c r="A21" t="s">
        <v>75</v>
      </c>
      <c r="B21">
        <v>0</v>
      </c>
      <c r="C21">
        <v>0</v>
      </c>
      <c r="D21">
        <v>140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2</v>
      </c>
      <c r="Q21">
        <v>0</v>
      </c>
      <c r="R21">
        <v>3</v>
      </c>
      <c r="S21">
        <v>0</v>
      </c>
      <c r="T21">
        <v>0</v>
      </c>
      <c r="U21">
        <v>0</v>
      </c>
      <c r="V21">
        <v>0</v>
      </c>
      <c r="W21">
        <v>0</v>
      </c>
      <c r="X21">
        <v>3.4482758620689599E-2</v>
      </c>
    </row>
    <row r="22" spans="1:24">
      <c r="A22" t="s">
        <v>26</v>
      </c>
      <c r="B22">
        <v>0</v>
      </c>
      <c r="C22">
        <v>0</v>
      </c>
      <c r="D22">
        <v>0</v>
      </c>
      <c r="E22">
        <v>505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12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2.321083172147E-2</v>
      </c>
    </row>
    <row r="23" spans="1:24">
      <c r="A23" t="s">
        <v>221</v>
      </c>
      <c r="B23">
        <v>0</v>
      </c>
      <c r="C23">
        <v>2</v>
      </c>
      <c r="D23">
        <v>0</v>
      </c>
      <c r="E23">
        <v>0</v>
      </c>
      <c r="F23">
        <v>11</v>
      </c>
      <c r="G23">
        <v>0</v>
      </c>
      <c r="H23">
        <v>0</v>
      </c>
      <c r="I23">
        <v>0</v>
      </c>
      <c r="J23">
        <v>7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3</v>
      </c>
      <c r="T23">
        <v>0</v>
      </c>
      <c r="U23">
        <v>0</v>
      </c>
      <c r="V23">
        <v>0</v>
      </c>
      <c r="W23">
        <v>0</v>
      </c>
      <c r="X23">
        <v>0.54166666666666696</v>
      </c>
    </row>
    <row r="24" spans="1:24">
      <c r="A24" t="s">
        <v>45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0</v>
      </c>
      <c r="I24">
        <v>5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8</v>
      </c>
      <c r="X24">
        <v>7.1065989847715699E-2</v>
      </c>
    </row>
    <row r="25" spans="1:24">
      <c r="A25" t="s">
        <v>116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15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">
        <v>21</v>
      </c>
      <c r="B26">
        <v>0</v>
      </c>
      <c r="C26">
        <v>0</v>
      </c>
      <c r="D26">
        <v>0</v>
      </c>
      <c r="E26">
        <v>0</v>
      </c>
      <c r="F26">
        <v>0</v>
      </c>
      <c r="G26">
        <v>1</v>
      </c>
      <c r="H26">
        <v>0</v>
      </c>
      <c r="I26">
        <v>367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18</v>
      </c>
      <c r="W26">
        <v>6</v>
      </c>
      <c r="X26">
        <v>6.3775510204081703E-2</v>
      </c>
    </row>
    <row r="27" spans="1:24">
      <c r="A27" t="s">
        <v>188</v>
      </c>
      <c r="B27">
        <v>0</v>
      </c>
      <c r="C27">
        <v>3</v>
      </c>
      <c r="D27">
        <v>0</v>
      </c>
      <c r="E27">
        <v>0</v>
      </c>
      <c r="F27">
        <v>4</v>
      </c>
      <c r="G27">
        <v>0</v>
      </c>
      <c r="H27">
        <v>0</v>
      </c>
      <c r="I27">
        <v>0</v>
      </c>
      <c r="J27">
        <v>18</v>
      </c>
      <c r="K27">
        <v>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5</v>
      </c>
      <c r="T27">
        <v>0</v>
      </c>
      <c r="U27">
        <v>2</v>
      </c>
      <c r="V27">
        <v>0</v>
      </c>
      <c r="W27">
        <v>0</v>
      </c>
      <c r="X27">
        <v>0.55000000000000004</v>
      </c>
    </row>
    <row r="28" spans="1:24">
      <c r="A28" t="s">
        <v>40</v>
      </c>
      <c r="B28">
        <v>0</v>
      </c>
      <c r="C28">
        <v>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7</v>
      </c>
      <c r="K28">
        <v>31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U28">
        <v>1</v>
      </c>
      <c r="V28">
        <v>0</v>
      </c>
      <c r="W28">
        <v>0</v>
      </c>
      <c r="X28">
        <v>0.27906976744186102</v>
      </c>
    </row>
    <row r="29" spans="1:24">
      <c r="A29" t="s">
        <v>128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62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t="s">
        <v>107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">
        <v>33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276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 t="s">
        <v>36</v>
      </c>
      <c r="B32">
        <v>0</v>
      </c>
      <c r="C32">
        <v>0</v>
      </c>
      <c r="D32">
        <v>0</v>
      </c>
      <c r="E32">
        <v>23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37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0.38333333333333303</v>
      </c>
    </row>
    <row r="33" spans="1:51">
      <c r="A33" t="s">
        <v>119</v>
      </c>
      <c r="B33">
        <v>0</v>
      </c>
      <c r="C33">
        <v>0</v>
      </c>
      <c r="D33">
        <v>5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8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0.38461538461538503</v>
      </c>
    </row>
    <row r="34" spans="1:51">
      <c r="A34" t="s">
        <v>80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70</v>
      </c>
      <c r="R34">
        <v>0</v>
      </c>
      <c r="S34">
        <v>0</v>
      </c>
      <c r="T34">
        <v>20</v>
      </c>
      <c r="U34">
        <v>0</v>
      </c>
      <c r="V34">
        <v>0</v>
      </c>
      <c r="W34">
        <v>0</v>
      </c>
      <c r="X34">
        <v>0.22222222222222199</v>
      </c>
    </row>
    <row r="35" spans="1:51">
      <c r="A35" t="s">
        <v>416</v>
      </c>
      <c r="B35">
        <v>0</v>
      </c>
      <c r="C35">
        <v>0</v>
      </c>
      <c r="D35">
        <v>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5</v>
      </c>
      <c r="S35">
        <v>0</v>
      </c>
      <c r="T35">
        <v>0</v>
      </c>
      <c r="U35">
        <v>0</v>
      </c>
      <c r="V35">
        <v>0</v>
      </c>
      <c r="W35">
        <v>0</v>
      </c>
      <c r="X35">
        <v>0.5</v>
      </c>
    </row>
    <row r="36" spans="1:51">
      <c r="A36" t="s">
        <v>196</v>
      </c>
      <c r="B36">
        <v>0</v>
      </c>
      <c r="C36">
        <v>1</v>
      </c>
      <c r="D36">
        <v>0</v>
      </c>
      <c r="E36">
        <v>0</v>
      </c>
      <c r="F36">
        <v>2</v>
      </c>
      <c r="G36">
        <v>0</v>
      </c>
      <c r="H36">
        <v>0</v>
      </c>
      <c r="I36">
        <v>0</v>
      </c>
      <c r="J36">
        <v>8</v>
      </c>
      <c r="K36">
        <v>3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10</v>
      </c>
      <c r="T36">
        <v>0</v>
      </c>
      <c r="U36">
        <v>1</v>
      </c>
      <c r="V36">
        <v>0</v>
      </c>
      <c r="W36">
        <v>0</v>
      </c>
      <c r="X36">
        <v>0.6</v>
      </c>
    </row>
    <row r="37" spans="1:51">
      <c r="A37" t="s">
        <v>54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15</v>
      </c>
      <c r="R37">
        <v>0</v>
      </c>
      <c r="S37">
        <v>0</v>
      </c>
      <c r="T37">
        <v>55</v>
      </c>
      <c r="U37">
        <v>0</v>
      </c>
      <c r="V37">
        <v>0</v>
      </c>
      <c r="W37">
        <v>0</v>
      </c>
      <c r="X37">
        <v>0.214285714285714</v>
      </c>
    </row>
    <row r="38" spans="1:51">
      <c r="A38" t="s">
        <v>417</v>
      </c>
      <c r="B38">
        <v>0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0</v>
      </c>
      <c r="J38">
        <v>2</v>
      </c>
      <c r="K38">
        <v>4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U38">
        <v>5</v>
      </c>
      <c r="V38">
        <v>0</v>
      </c>
      <c r="W38">
        <v>0</v>
      </c>
      <c r="X38">
        <v>0.61538461538461497</v>
      </c>
    </row>
    <row r="39" spans="1:51">
      <c r="A39" t="s">
        <v>67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17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188</v>
      </c>
      <c r="W39">
        <v>2</v>
      </c>
      <c r="X39">
        <v>9.1787439613526506E-2</v>
      </c>
    </row>
    <row r="40" spans="1:51">
      <c r="A40" t="s">
        <v>85</v>
      </c>
      <c r="B40">
        <v>0</v>
      </c>
      <c r="C40">
        <v>0</v>
      </c>
      <c r="D40">
        <v>0</v>
      </c>
      <c r="E40">
        <v>0</v>
      </c>
      <c r="F40">
        <v>0</v>
      </c>
      <c r="G40">
        <v>14</v>
      </c>
      <c r="H40">
        <v>0</v>
      </c>
      <c r="I40">
        <v>3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</v>
      </c>
      <c r="W40">
        <v>39</v>
      </c>
      <c r="X40">
        <v>0.31578947368421101</v>
      </c>
    </row>
    <row r="42" spans="1:51">
      <c r="A42" s="5" t="s">
        <v>13</v>
      </c>
      <c r="B42" t="s">
        <v>110</v>
      </c>
      <c r="C42" t="s">
        <v>62</v>
      </c>
      <c r="D42" t="s">
        <v>167</v>
      </c>
      <c r="E42" t="s">
        <v>27</v>
      </c>
      <c r="F42" t="s">
        <v>320</v>
      </c>
      <c r="G42" t="s">
        <v>120</v>
      </c>
      <c r="H42" t="s">
        <v>95</v>
      </c>
      <c r="I42" t="s">
        <v>123</v>
      </c>
      <c r="J42" t="s">
        <v>418</v>
      </c>
      <c r="K42" t="s">
        <v>171</v>
      </c>
      <c r="L42" t="s">
        <v>76</v>
      </c>
      <c r="M42" t="s">
        <v>34</v>
      </c>
      <c r="N42" t="s">
        <v>43</v>
      </c>
      <c r="O42" t="s">
        <v>97</v>
      </c>
      <c r="P42" t="s">
        <v>247</v>
      </c>
      <c r="Q42" t="s">
        <v>37</v>
      </c>
      <c r="R42" t="s">
        <v>134</v>
      </c>
      <c r="S42" t="s">
        <v>46</v>
      </c>
      <c r="T42" t="s">
        <v>312</v>
      </c>
      <c r="U42" t="s">
        <v>51</v>
      </c>
      <c r="V42" t="s">
        <v>89</v>
      </c>
      <c r="W42" t="s">
        <v>65</v>
      </c>
      <c r="X42" t="s">
        <v>29</v>
      </c>
      <c r="Y42" t="s">
        <v>22</v>
      </c>
      <c r="Z42" t="s">
        <v>68</v>
      </c>
      <c r="AA42" t="s">
        <v>338</v>
      </c>
      <c r="AB42" t="s">
        <v>86</v>
      </c>
      <c r="AC42" t="s">
        <v>271</v>
      </c>
      <c r="AD42" t="s">
        <v>159</v>
      </c>
      <c r="AE42" t="s">
        <v>41</v>
      </c>
      <c r="AF42" t="s">
        <v>78</v>
      </c>
      <c r="AG42" t="s">
        <v>117</v>
      </c>
      <c r="AH42" t="s">
        <v>129</v>
      </c>
      <c r="AI42" t="s">
        <v>224</v>
      </c>
      <c r="AJ42" t="s">
        <v>229</v>
      </c>
      <c r="AK42" t="s">
        <v>81</v>
      </c>
      <c r="AL42" t="s">
        <v>206</v>
      </c>
      <c r="AM42" t="s">
        <v>113</v>
      </c>
      <c r="AN42" t="s">
        <v>189</v>
      </c>
      <c r="AO42" t="s">
        <v>263</v>
      </c>
      <c r="AP42" t="s">
        <v>197</v>
      </c>
      <c r="AQ42" t="s">
        <v>145</v>
      </c>
      <c r="AR42" t="s">
        <v>55</v>
      </c>
      <c r="AS42" t="s">
        <v>253</v>
      </c>
      <c r="AT42" t="s">
        <v>222</v>
      </c>
      <c r="AU42" t="s">
        <v>108</v>
      </c>
      <c r="AV42" t="s">
        <v>419</v>
      </c>
      <c r="AW42" t="s">
        <v>342</v>
      </c>
      <c r="AX42" t="s">
        <v>251</v>
      </c>
      <c r="AY42" t="s">
        <v>415</v>
      </c>
    </row>
    <row r="43" spans="1:51">
      <c r="A43" t="s">
        <v>110</v>
      </c>
      <c r="B43">
        <v>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0.76923076923076905</v>
      </c>
    </row>
    <row r="44" spans="1:51">
      <c r="A44" t="s">
        <v>62</v>
      </c>
      <c r="B44">
        <v>0</v>
      </c>
      <c r="C44">
        <v>51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>
      <c r="A45" t="s">
        <v>167</v>
      </c>
      <c r="B45">
        <v>0</v>
      </c>
      <c r="C45">
        <v>0</v>
      </c>
      <c r="D45">
        <v>15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4</v>
      </c>
      <c r="AV45">
        <v>0</v>
      </c>
      <c r="AW45">
        <v>0</v>
      </c>
      <c r="AX45">
        <v>0</v>
      </c>
      <c r="AY45">
        <v>0.21052631578947401</v>
      </c>
    </row>
    <row r="46" spans="1:51">
      <c r="A46" t="s">
        <v>27</v>
      </c>
      <c r="B46">
        <v>0</v>
      </c>
      <c r="C46">
        <v>0</v>
      </c>
      <c r="D46">
        <v>0</v>
      </c>
      <c r="E46">
        <v>503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2</v>
      </c>
      <c r="AX46">
        <v>0</v>
      </c>
      <c r="AY46">
        <v>3.9603960396039596E-3</v>
      </c>
    </row>
    <row r="47" spans="1:51">
      <c r="A47" t="s">
        <v>320</v>
      </c>
      <c r="B47">
        <v>0</v>
      </c>
      <c r="C47">
        <v>0</v>
      </c>
      <c r="D47">
        <v>0</v>
      </c>
      <c r="E47">
        <v>0</v>
      </c>
      <c r="F47">
        <v>9</v>
      </c>
      <c r="G47">
        <v>0</v>
      </c>
      <c r="H47">
        <v>2</v>
      </c>
      <c r="I47">
        <v>1</v>
      </c>
      <c r="J47">
        <v>0</v>
      </c>
      <c r="K47">
        <v>0</v>
      </c>
      <c r="L47">
        <v>2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0.35714285714285698</v>
      </c>
    </row>
    <row r="48" spans="1:51">
      <c r="A48" t="s">
        <v>120</v>
      </c>
      <c r="B48">
        <v>0</v>
      </c>
      <c r="C48">
        <v>0</v>
      </c>
      <c r="D48">
        <v>0</v>
      </c>
      <c r="E48">
        <v>0</v>
      </c>
      <c r="F48">
        <v>0</v>
      </c>
      <c r="G48">
        <v>13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>
      <c r="A49" t="s">
        <v>95</v>
      </c>
      <c r="B49">
        <v>0</v>
      </c>
      <c r="C49">
        <v>0</v>
      </c>
      <c r="D49">
        <v>0</v>
      </c>
      <c r="E49">
        <v>0</v>
      </c>
      <c r="F49">
        <v>2</v>
      </c>
      <c r="G49">
        <v>0</v>
      </c>
      <c r="H49">
        <v>13</v>
      </c>
      <c r="I49">
        <v>5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0.35</v>
      </c>
    </row>
    <row r="50" spans="1:51">
      <c r="A50" t="s">
        <v>123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2</v>
      </c>
      <c r="I50">
        <v>31</v>
      </c>
      <c r="J50">
        <v>0</v>
      </c>
      <c r="K50">
        <v>0</v>
      </c>
      <c r="L50">
        <v>2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0.13888888888888901</v>
      </c>
    </row>
    <row r="51" spans="1:51">
      <c r="A51" t="s">
        <v>418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10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>
      <c r="A52" t="s">
        <v>171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21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2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8.6956521739130502E-2</v>
      </c>
    </row>
    <row r="53" spans="1:51">
      <c r="A53" t="s">
        <v>76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44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2.2222222222222299E-2</v>
      </c>
    </row>
    <row r="54" spans="1:51">
      <c r="A54" t="s">
        <v>34</v>
      </c>
      <c r="B54">
        <v>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246</v>
      </c>
      <c r="N54">
        <v>3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1.9920318725099601E-2</v>
      </c>
    </row>
    <row r="55" spans="1:51">
      <c r="A55" t="s">
        <v>43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6</v>
      </c>
      <c r="N55">
        <v>4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0.66666666666666696</v>
      </c>
    </row>
    <row r="56" spans="1:51">
      <c r="A56" t="s">
        <v>97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29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1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3.3333333333333298E-2</v>
      </c>
    </row>
    <row r="57" spans="1:51">
      <c r="A57" t="s">
        <v>247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4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0.28571428571428598</v>
      </c>
    </row>
    <row r="58" spans="1:51">
      <c r="A58" t="s">
        <v>37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44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2.2222222222222299E-2</v>
      </c>
    </row>
    <row r="59" spans="1:51">
      <c r="A59" t="s">
        <v>134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28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6.6666666666666693E-2</v>
      </c>
    </row>
    <row r="60" spans="1:51">
      <c r="A60" t="s">
        <v>46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40</v>
      </c>
      <c r="T60">
        <v>0</v>
      </c>
      <c r="U60">
        <v>7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0.14893617021276601</v>
      </c>
    </row>
    <row r="61" spans="1:51">
      <c r="A61" t="s">
        <v>312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7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0.5</v>
      </c>
    </row>
    <row r="62" spans="1:51">
      <c r="A62" t="s">
        <v>51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6</v>
      </c>
      <c r="T62">
        <v>3</v>
      </c>
      <c r="U62">
        <v>106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2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9.4017094017094002E-2</v>
      </c>
    </row>
    <row r="63" spans="1:51">
      <c r="A63" t="s">
        <v>89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14</v>
      </c>
      <c r="W63">
        <v>1</v>
      </c>
      <c r="X63">
        <v>11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0.46153846153846201</v>
      </c>
    </row>
    <row r="64" spans="1:51">
      <c r="A64" t="s">
        <v>65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102</v>
      </c>
      <c r="X64">
        <v>35</v>
      </c>
      <c r="Y64">
        <v>3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0.27142857142857102</v>
      </c>
    </row>
    <row r="65" spans="1:51">
      <c r="A65" t="s">
        <v>29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4</v>
      </c>
      <c r="W65">
        <v>36</v>
      </c>
      <c r="X65">
        <v>93</v>
      </c>
      <c r="Y65">
        <v>11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0.35416666666666702</v>
      </c>
    </row>
    <row r="66" spans="1:51">
      <c r="A66" t="s">
        <v>22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7</v>
      </c>
      <c r="X66">
        <v>10</v>
      </c>
      <c r="Y66">
        <v>65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0.207317073170732</v>
      </c>
    </row>
    <row r="67" spans="1:51">
      <c r="A67" t="s">
        <v>68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80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28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0.25925925925925902</v>
      </c>
    </row>
    <row r="68" spans="1:51">
      <c r="A68" t="s">
        <v>338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2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13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0.133333333333333</v>
      </c>
    </row>
    <row r="69" spans="1:51">
      <c r="A69" t="s">
        <v>86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16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4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0.2</v>
      </c>
    </row>
    <row r="70" spans="1:51">
      <c r="A70" t="s">
        <v>271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12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>
      <c r="A71" t="s">
        <v>159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8</v>
      </c>
      <c r="AE71">
        <v>1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</v>
      </c>
      <c r="AY71">
        <v>0.27272727272727298</v>
      </c>
    </row>
    <row r="72" spans="1:51">
      <c r="A72" t="s">
        <v>41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17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1</v>
      </c>
      <c r="AY72">
        <v>0.105263157894737</v>
      </c>
    </row>
    <row r="73" spans="1:51">
      <c r="A73" t="s">
        <v>78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5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14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0.26315789473684198</v>
      </c>
    </row>
    <row r="74" spans="1:51">
      <c r="A74" t="s">
        <v>117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15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>
      <c r="A75" t="s">
        <v>129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62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224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36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33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0.52173913043478304</v>
      </c>
    </row>
    <row r="77" spans="1:51">
      <c r="A77" t="s">
        <v>229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3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6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5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0.64285714285714302</v>
      </c>
    </row>
    <row r="78" spans="1:51">
      <c r="A78" t="s">
        <v>81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1</v>
      </c>
      <c r="AL78">
        <v>0</v>
      </c>
      <c r="AM78">
        <v>15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0.94736842105263197</v>
      </c>
    </row>
    <row r="79" spans="1:51">
      <c r="A79" t="s">
        <v>206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15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6.25E-2</v>
      </c>
    </row>
    <row r="80" spans="1:51">
      <c r="A80" t="s">
        <v>113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4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9</v>
      </c>
      <c r="AL80">
        <v>2</v>
      </c>
      <c r="AM80">
        <v>26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0.36585365853658502</v>
      </c>
    </row>
    <row r="81" spans="1:51">
      <c r="A81" t="s">
        <v>189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40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>
      <c r="A82" t="s">
        <v>263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7</v>
      </c>
      <c r="AP82">
        <v>3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0.3</v>
      </c>
    </row>
    <row r="83" spans="1:51">
      <c r="A83" t="s">
        <v>197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3</v>
      </c>
      <c r="AP83">
        <v>12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0.2</v>
      </c>
    </row>
    <row r="84" spans="1:51">
      <c r="A84" t="s">
        <v>145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11</v>
      </c>
      <c r="AR84">
        <v>0</v>
      </c>
      <c r="AS84">
        <v>5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0.3125</v>
      </c>
    </row>
    <row r="85" spans="1:51">
      <c r="A85" t="s">
        <v>55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24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>
      <c r="A86" t="s">
        <v>253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7</v>
      </c>
      <c r="AR86">
        <v>0</v>
      </c>
      <c r="AS86">
        <v>23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0.233333333333333</v>
      </c>
    </row>
    <row r="87" spans="1:51">
      <c r="A87" t="s">
        <v>222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24</v>
      </c>
      <c r="AU87">
        <v>0</v>
      </c>
      <c r="AV87">
        <v>0</v>
      </c>
      <c r="AW87">
        <v>0</v>
      </c>
      <c r="AX87">
        <v>0</v>
      </c>
      <c r="AY87">
        <v>0</v>
      </c>
    </row>
    <row r="88" spans="1:51">
      <c r="A88" t="s">
        <v>108</v>
      </c>
      <c r="B88">
        <v>0</v>
      </c>
      <c r="C88">
        <v>0</v>
      </c>
      <c r="D88">
        <v>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17</v>
      </c>
      <c r="AV88">
        <v>0</v>
      </c>
      <c r="AW88">
        <v>0</v>
      </c>
      <c r="AX88">
        <v>0</v>
      </c>
      <c r="AY88">
        <v>0.26086956521739102</v>
      </c>
    </row>
    <row r="89" spans="1:51">
      <c r="A89" t="s">
        <v>419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13</v>
      </c>
      <c r="AW89">
        <v>0</v>
      </c>
      <c r="AX89">
        <v>0</v>
      </c>
      <c r="AY89">
        <v>0</v>
      </c>
    </row>
    <row r="90" spans="1:51">
      <c r="A90" t="s">
        <v>342</v>
      </c>
      <c r="B90">
        <v>0</v>
      </c>
      <c r="C90">
        <v>0</v>
      </c>
      <c r="D90">
        <v>0</v>
      </c>
      <c r="E90">
        <v>9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3</v>
      </c>
      <c r="AX90">
        <v>0</v>
      </c>
      <c r="AY90">
        <v>0.75</v>
      </c>
    </row>
    <row r="91" spans="1:51">
      <c r="A91" t="s">
        <v>251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2</v>
      </c>
      <c r="AE91">
        <v>4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7</v>
      </c>
      <c r="AY91">
        <v>0.46153846153846201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5"/>
  <sheetViews>
    <sheetView workbookViewId="0">
      <selection activeCell="L64" sqref="L64"/>
    </sheetView>
  </sheetViews>
  <sheetFormatPr baseColWidth="10" defaultRowHeight="16"/>
  <sheetData>
    <row r="1" spans="1:5">
      <c r="A1" t="s">
        <v>413</v>
      </c>
      <c r="B1" t="s">
        <v>4</v>
      </c>
      <c r="C1" t="s">
        <v>420</v>
      </c>
      <c r="D1" t="s">
        <v>59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59</v>
      </c>
      <c r="C18" t="s">
        <v>59</v>
      </c>
      <c r="D18">
        <v>0.67600000000000005</v>
      </c>
      <c r="E18">
        <v>0.32400000000000001</v>
      </c>
    </row>
    <row r="19" spans="1:5">
      <c r="A19">
        <v>18</v>
      </c>
      <c r="B19" t="s">
        <v>18</v>
      </c>
      <c r="C19" t="s">
        <v>18</v>
      </c>
      <c r="D19">
        <v>2E-3</v>
      </c>
      <c r="E19">
        <v>0.998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4.0000000000000001E-3</v>
      </c>
      <c r="E28">
        <v>0.996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59</v>
      </c>
      <c r="C34" t="s">
        <v>59</v>
      </c>
      <c r="D34">
        <v>0.9</v>
      </c>
      <c r="E34">
        <v>0.1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7.1999999999999995E-2</v>
      </c>
      <c r="E38">
        <v>0.92800000000000005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5.8000000000000003E-2</v>
      </c>
      <c r="E47">
        <v>0.94199999999999995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0.106</v>
      </c>
      <c r="E61">
        <v>0.89400000000000002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2E-3</v>
      </c>
      <c r="E63">
        <v>0.998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0.01</v>
      </c>
      <c r="E89">
        <v>0.99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2E-3</v>
      </c>
      <c r="E94">
        <v>0.998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0.11799999999999999</v>
      </c>
      <c r="E100">
        <v>0.88200000000000001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7.1999999999999995E-2</v>
      </c>
      <c r="E129">
        <v>0.92800000000000005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59</v>
      </c>
      <c r="C137" t="s">
        <v>59</v>
      </c>
      <c r="D137">
        <v>0.97199999999999998</v>
      </c>
      <c r="E137">
        <v>2.8000000000000001E-2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1.6E-2</v>
      </c>
      <c r="E155">
        <v>0.98399999999999999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1.2E-2</v>
      </c>
      <c r="E179">
        <v>0.98799999999999999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5.3999999999999999E-2</v>
      </c>
      <c r="E182">
        <v>0.94599999999999995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2E-3</v>
      </c>
      <c r="E200">
        <v>0.998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2E-3</v>
      </c>
      <c r="E206">
        <v>0.998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0.10199999999999999</v>
      </c>
      <c r="E221">
        <v>0.89800000000000002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2E-3</v>
      </c>
      <c r="E223">
        <v>0.998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4.0000000000000001E-3</v>
      </c>
      <c r="E229">
        <v>0.996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6.0000000000000001E-3</v>
      </c>
      <c r="E237">
        <v>0.99399999999999999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2E-3</v>
      </c>
      <c r="E240">
        <v>0.998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2.4E-2</v>
      </c>
      <c r="E249">
        <v>0.97599999999999998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2E-3</v>
      </c>
      <c r="E271">
        <v>0.998</v>
      </c>
    </row>
    <row r="272" spans="1:5">
      <c r="A272">
        <v>271</v>
      </c>
      <c r="B272" t="s">
        <v>18</v>
      </c>
      <c r="C272" t="s">
        <v>18</v>
      </c>
      <c r="D272">
        <v>2E-3</v>
      </c>
      <c r="E272">
        <v>0.998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59</v>
      </c>
      <c r="C279" t="s">
        <v>59</v>
      </c>
      <c r="D279">
        <v>1</v>
      </c>
      <c r="E279">
        <v>0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1.6E-2</v>
      </c>
      <c r="E306">
        <v>0.98399999999999999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2E-3</v>
      </c>
      <c r="E309">
        <v>0.998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0.01</v>
      </c>
      <c r="E328">
        <v>0.99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59</v>
      </c>
      <c r="C331" t="s">
        <v>59</v>
      </c>
      <c r="D331">
        <v>0.65800000000000003</v>
      </c>
      <c r="E331">
        <v>0.34200000000000003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0.01</v>
      </c>
      <c r="E336">
        <v>0.99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59</v>
      </c>
      <c r="C342" t="s">
        <v>59</v>
      </c>
      <c r="D342">
        <v>0.91400000000000003</v>
      </c>
      <c r="E342">
        <v>8.5999999999999993E-2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5"/>
  <sheetViews>
    <sheetView tabSelected="1" workbookViewId="0"/>
  </sheetViews>
  <sheetFormatPr baseColWidth="10" defaultRowHeight="16"/>
  <sheetData>
    <row r="1" spans="1:14">
      <c r="A1" t="s">
        <v>413</v>
      </c>
      <c r="B1" t="s">
        <v>7</v>
      </c>
      <c r="C1" t="s">
        <v>423</v>
      </c>
      <c r="D1" t="s">
        <v>74</v>
      </c>
      <c r="E1" t="s">
        <v>20</v>
      </c>
      <c r="F1" t="s">
        <v>60</v>
      </c>
      <c r="G1" t="s">
        <v>53</v>
      </c>
      <c r="H1" t="s">
        <v>25</v>
      </c>
      <c r="I1" t="s">
        <v>106</v>
      </c>
      <c r="J1" t="s">
        <v>32</v>
      </c>
      <c r="K1" t="s">
        <v>161</v>
      </c>
      <c r="L1" t="s">
        <v>127</v>
      </c>
      <c r="M1" t="s">
        <v>39</v>
      </c>
      <c r="N1" t="s">
        <v>115</v>
      </c>
    </row>
    <row r="2" spans="1:14">
      <c r="A2">
        <v>1</v>
      </c>
      <c r="B2" t="s">
        <v>20</v>
      </c>
      <c r="C2" t="s">
        <v>20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25</v>
      </c>
      <c r="C3" t="s">
        <v>25</v>
      </c>
      <c r="D3">
        <v>0.01</v>
      </c>
      <c r="E3">
        <v>0</v>
      </c>
      <c r="F3">
        <v>0</v>
      </c>
      <c r="G3">
        <v>0</v>
      </c>
      <c r="H3">
        <v>0.95</v>
      </c>
      <c r="I3">
        <v>0</v>
      </c>
      <c r="J3">
        <v>0</v>
      </c>
      <c r="K3">
        <v>0</v>
      </c>
      <c r="L3">
        <v>0</v>
      </c>
      <c r="M3">
        <v>0.04</v>
      </c>
      <c r="N3">
        <v>0</v>
      </c>
    </row>
    <row r="4" spans="1:14">
      <c r="A4">
        <v>3</v>
      </c>
      <c r="B4" t="s">
        <v>20</v>
      </c>
      <c r="C4" t="s">
        <v>20</v>
      </c>
      <c r="D4">
        <v>0</v>
      </c>
      <c r="E4">
        <v>1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>
        <v>4</v>
      </c>
      <c r="B5" t="s">
        <v>25</v>
      </c>
      <c r="C5" t="s">
        <v>25</v>
      </c>
      <c r="D5">
        <v>0.23</v>
      </c>
      <c r="E5">
        <v>0.03</v>
      </c>
      <c r="F5">
        <v>0</v>
      </c>
      <c r="G5">
        <v>0</v>
      </c>
      <c r="H5">
        <v>0.69</v>
      </c>
      <c r="I5">
        <v>0</v>
      </c>
      <c r="J5">
        <v>0</v>
      </c>
      <c r="K5">
        <v>0</v>
      </c>
      <c r="L5">
        <v>0</v>
      </c>
      <c r="M5">
        <v>0.05</v>
      </c>
      <c r="N5">
        <v>0</v>
      </c>
    </row>
    <row r="6" spans="1:14">
      <c r="A6">
        <v>5</v>
      </c>
      <c r="B6" t="s">
        <v>32</v>
      </c>
      <c r="C6" t="s">
        <v>32</v>
      </c>
      <c r="D6">
        <v>0</v>
      </c>
      <c r="E6">
        <v>0</v>
      </c>
      <c r="F6">
        <v>0</v>
      </c>
      <c r="G6">
        <v>0</v>
      </c>
      <c r="H6">
        <v>0.04</v>
      </c>
      <c r="I6">
        <v>0.01</v>
      </c>
      <c r="J6">
        <v>0.95</v>
      </c>
      <c r="K6">
        <v>0</v>
      </c>
      <c r="L6">
        <v>0</v>
      </c>
      <c r="M6">
        <v>0</v>
      </c>
      <c r="N6">
        <v>0</v>
      </c>
    </row>
    <row r="7" spans="1:14">
      <c r="A7">
        <v>6</v>
      </c>
      <c r="B7" t="s">
        <v>25</v>
      </c>
      <c r="C7" t="s">
        <v>25</v>
      </c>
      <c r="D7">
        <v>0</v>
      </c>
      <c r="E7">
        <v>0.02</v>
      </c>
      <c r="F7">
        <v>0</v>
      </c>
      <c r="G7">
        <v>0</v>
      </c>
      <c r="H7">
        <v>0.97</v>
      </c>
      <c r="I7">
        <v>0</v>
      </c>
      <c r="J7">
        <v>0.01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39</v>
      </c>
      <c r="C8" t="s">
        <v>39</v>
      </c>
      <c r="D8">
        <v>0</v>
      </c>
      <c r="E8">
        <v>0.01</v>
      </c>
      <c r="F8">
        <v>0</v>
      </c>
      <c r="G8">
        <v>0</v>
      </c>
      <c r="H8">
        <v>0.08</v>
      </c>
      <c r="I8">
        <v>0</v>
      </c>
      <c r="J8">
        <v>0.23</v>
      </c>
      <c r="K8">
        <v>0</v>
      </c>
      <c r="L8">
        <v>0</v>
      </c>
      <c r="M8">
        <v>0.68</v>
      </c>
      <c r="N8">
        <v>0</v>
      </c>
    </row>
    <row r="9" spans="1:14">
      <c r="A9">
        <v>8</v>
      </c>
      <c r="B9" t="s">
        <v>32</v>
      </c>
      <c r="C9" t="s">
        <v>32</v>
      </c>
      <c r="D9">
        <v>7.0000000000000007E-2</v>
      </c>
      <c r="E9">
        <v>0.04</v>
      </c>
      <c r="F9">
        <v>0</v>
      </c>
      <c r="G9">
        <v>0</v>
      </c>
      <c r="H9">
        <v>0.18</v>
      </c>
      <c r="I9">
        <v>0</v>
      </c>
      <c r="J9">
        <v>0.64</v>
      </c>
      <c r="K9">
        <v>0</v>
      </c>
      <c r="L9">
        <v>0</v>
      </c>
      <c r="M9">
        <v>7.0000000000000007E-2</v>
      </c>
      <c r="N9">
        <v>0</v>
      </c>
    </row>
    <row r="10" spans="1:14">
      <c r="A10">
        <v>9</v>
      </c>
      <c r="B10" t="s">
        <v>20</v>
      </c>
      <c r="C10" t="s">
        <v>20</v>
      </c>
      <c r="D10">
        <v>0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>
      <c r="A11">
        <v>10</v>
      </c>
      <c r="B11" t="s">
        <v>20</v>
      </c>
      <c r="C11" t="s">
        <v>20</v>
      </c>
      <c r="D11">
        <v>0</v>
      </c>
      <c r="E11">
        <v>0.98</v>
      </c>
      <c r="F11">
        <v>0</v>
      </c>
      <c r="G11">
        <v>0</v>
      </c>
      <c r="H11">
        <v>0.01</v>
      </c>
      <c r="I11">
        <v>0</v>
      </c>
      <c r="J11">
        <v>0.01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32</v>
      </c>
      <c r="C12" t="s">
        <v>32</v>
      </c>
      <c r="D12">
        <v>0</v>
      </c>
      <c r="E12">
        <v>0.13</v>
      </c>
      <c r="F12">
        <v>0</v>
      </c>
      <c r="G12">
        <v>0</v>
      </c>
      <c r="H12">
        <v>0.13</v>
      </c>
      <c r="I12">
        <v>0</v>
      </c>
      <c r="J12">
        <v>0.59</v>
      </c>
      <c r="K12">
        <v>0</v>
      </c>
      <c r="L12">
        <v>0</v>
      </c>
      <c r="M12">
        <v>0.14000000000000001</v>
      </c>
      <c r="N12">
        <v>0.01</v>
      </c>
    </row>
    <row r="13" spans="1:14">
      <c r="A13">
        <v>12</v>
      </c>
      <c r="B13" t="s">
        <v>25</v>
      </c>
      <c r="C13" t="s">
        <v>25</v>
      </c>
      <c r="D13">
        <v>0</v>
      </c>
      <c r="E13">
        <v>0</v>
      </c>
      <c r="F13">
        <v>0</v>
      </c>
      <c r="G13">
        <v>0</v>
      </c>
      <c r="H13">
        <v>0.95</v>
      </c>
      <c r="I13">
        <v>0.01</v>
      </c>
      <c r="J13">
        <v>0.01</v>
      </c>
      <c r="K13">
        <v>0</v>
      </c>
      <c r="L13">
        <v>0.03</v>
      </c>
      <c r="M13">
        <v>0</v>
      </c>
      <c r="N13">
        <v>0</v>
      </c>
    </row>
    <row r="14" spans="1:14">
      <c r="A14">
        <v>13</v>
      </c>
      <c r="B14" t="s">
        <v>20</v>
      </c>
      <c r="C14" t="s">
        <v>20</v>
      </c>
      <c r="D14">
        <v>0.02</v>
      </c>
      <c r="E14">
        <v>0.55000000000000004</v>
      </c>
      <c r="F14">
        <v>0</v>
      </c>
      <c r="G14">
        <v>0</v>
      </c>
      <c r="H14">
        <v>0.35</v>
      </c>
      <c r="I14">
        <v>0</v>
      </c>
      <c r="J14">
        <v>0.01</v>
      </c>
      <c r="K14">
        <v>0</v>
      </c>
      <c r="L14">
        <v>0</v>
      </c>
      <c r="M14">
        <v>7.0000000000000007E-2</v>
      </c>
      <c r="N14">
        <v>0</v>
      </c>
    </row>
    <row r="15" spans="1:14">
      <c r="A15">
        <v>14</v>
      </c>
      <c r="B15" t="s">
        <v>53</v>
      </c>
      <c r="C15" t="s">
        <v>53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>
      <c r="A16">
        <v>15</v>
      </c>
      <c r="B16" t="s">
        <v>20</v>
      </c>
      <c r="C16" t="s">
        <v>20</v>
      </c>
      <c r="D16">
        <v>0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25</v>
      </c>
      <c r="C17" t="s">
        <v>25</v>
      </c>
      <c r="D17">
        <v>0</v>
      </c>
      <c r="E17">
        <v>0</v>
      </c>
      <c r="F17">
        <v>0</v>
      </c>
      <c r="G17">
        <v>0</v>
      </c>
      <c r="H17">
        <v>0.89</v>
      </c>
      <c r="I17">
        <v>0</v>
      </c>
      <c r="J17">
        <v>0.01</v>
      </c>
      <c r="K17">
        <v>0</v>
      </c>
      <c r="L17">
        <v>0</v>
      </c>
      <c r="M17">
        <v>0.1</v>
      </c>
      <c r="N17">
        <v>0</v>
      </c>
    </row>
    <row r="18" spans="1:14">
      <c r="A18">
        <v>17</v>
      </c>
      <c r="B18" t="s">
        <v>60</v>
      </c>
      <c r="C18" t="s">
        <v>60</v>
      </c>
      <c r="D18">
        <v>0.14000000000000001</v>
      </c>
      <c r="E18">
        <v>0.09</v>
      </c>
      <c r="F18">
        <v>0.68</v>
      </c>
      <c r="G18">
        <v>0</v>
      </c>
      <c r="H18">
        <v>0.02</v>
      </c>
      <c r="I18">
        <v>0</v>
      </c>
      <c r="J18">
        <v>0</v>
      </c>
      <c r="K18">
        <v>0.01</v>
      </c>
      <c r="L18">
        <v>0</v>
      </c>
      <c r="M18">
        <v>0.06</v>
      </c>
      <c r="N18">
        <v>0</v>
      </c>
    </row>
    <row r="19" spans="1:14">
      <c r="A19">
        <v>18</v>
      </c>
      <c r="B19" t="s">
        <v>32</v>
      </c>
      <c r="C19" t="s">
        <v>32</v>
      </c>
      <c r="D19">
        <v>0</v>
      </c>
      <c r="E19">
        <v>0.03</v>
      </c>
      <c r="F19">
        <v>0</v>
      </c>
      <c r="G19">
        <v>0</v>
      </c>
      <c r="H19">
        <v>0.2</v>
      </c>
      <c r="I19">
        <v>0</v>
      </c>
      <c r="J19">
        <v>0.69</v>
      </c>
      <c r="K19">
        <v>0</v>
      </c>
      <c r="L19">
        <v>0</v>
      </c>
      <c r="M19">
        <v>7.0000000000000007E-2</v>
      </c>
      <c r="N19">
        <v>0.01</v>
      </c>
    </row>
    <row r="20" spans="1:14">
      <c r="A20">
        <v>19</v>
      </c>
      <c r="B20" t="s">
        <v>20</v>
      </c>
      <c r="C20" t="s">
        <v>20</v>
      </c>
      <c r="D20">
        <v>0</v>
      </c>
      <c r="E20">
        <v>0.67</v>
      </c>
      <c r="F20">
        <v>0</v>
      </c>
      <c r="G20">
        <v>0</v>
      </c>
      <c r="H20">
        <v>0.28000000000000003</v>
      </c>
      <c r="I20">
        <v>0</v>
      </c>
      <c r="J20">
        <v>0</v>
      </c>
      <c r="K20">
        <v>0</v>
      </c>
      <c r="L20">
        <v>0.05</v>
      </c>
      <c r="M20">
        <v>0</v>
      </c>
      <c r="N20">
        <v>0</v>
      </c>
    </row>
    <row r="21" spans="1:14">
      <c r="A21">
        <v>20</v>
      </c>
      <c r="B21" t="s">
        <v>20</v>
      </c>
      <c r="C21" t="s">
        <v>20</v>
      </c>
      <c r="D21">
        <v>0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>
      <c r="A22">
        <v>21</v>
      </c>
      <c r="B22" t="s">
        <v>25</v>
      </c>
      <c r="C22" t="s">
        <v>25</v>
      </c>
      <c r="D22">
        <v>0</v>
      </c>
      <c r="E22">
        <v>0</v>
      </c>
      <c r="F22">
        <v>0</v>
      </c>
      <c r="G22">
        <v>0</v>
      </c>
      <c r="H22">
        <v>0.83</v>
      </c>
      <c r="I22">
        <v>0.03</v>
      </c>
      <c r="J22">
        <v>0.04</v>
      </c>
      <c r="K22">
        <v>0</v>
      </c>
      <c r="L22">
        <v>0.1</v>
      </c>
      <c r="M22">
        <v>0</v>
      </c>
      <c r="N22">
        <v>0</v>
      </c>
    </row>
    <row r="23" spans="1:14">
      <c r="A23">
        <v>22</v>
      </c>
      <c r="B23" t="s">
        <v>25</v>
      </c>
      <c r="C23" t="s">
        <v>25</v>
      </c>
      <c r="D23">
        <v>0</v>
      </c>
      <c r="E23">
        <v>0</v>
      </c>
      <c r="F23">
        <v>0</v>
      </c>
      <c r="G23">
        <v>0</v>
      </c>
      <c r="H23">
        <v>0.71</v>
      </c>
      <c r="I23">
        <v>0</v>
      </c>
      <c r="J23">
        <v>0.12</v>
      </c>
      <c r="K23">
        <v>0</v>
      </c>
      <c r="L23">
        <v>0</v>
      </c>
      <c r="M23">
        <v>0.17</v>
      </c>
      <c r="N23">
        <v>0</v>
      </c>
    </row>
    <row r="24" spans="1:14">
      <c r="A24">
        <v>23</v>
      </c>
      <c r="B24" t="s">
        <v>20</v>
      </c>
      <c r="C24" t="s">
        <v>20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20</v>
      </c>
      <c r="C25" t="s">
        <v>20</v>
      </c>
      <c r="D25">
        <v>0</v>
      </c>
      <c r="E25">
        <v>0.9</v>
      </c>
      <c r="F25">
        <v>0</v>
      </c>
      <c r="G25">
        <v>0</v>
      </c>
      <c r="H25">
        <v>0.08</v>
      </c>
      <c r="I25">
        <v>0</v>
      </c>
      <c r="J25">
        <v>0</v>
      </c>
      <c r="K25">
        <v>0.02</v>
      </c>
      <c r="L25">
        <v>0</v>
      </c>
      <c r="M25">
        <v>0</v>
      </c>
      <c r="N25">
        <v>0</v>
      </c>
    </row>
    <row r="26" spans="1:14">
      <c r="A26">
        <v>25</v>
      </c>
      <c r="B26" t="s">
        <v>74</v>
      </c>
      <c r="C26" t="s">
        <v>74</v>
      </c>
      <c r="D26">
        <v>0.96</v>
      </c>
      <c r="E26">
        <v>0</v>
      </c>
      <c r="F26">
        <v>0</v>
      </c>
      <c r="G26">
        <v>0</v>
      </c>
      <c r="H26">
        <v>0</v>
      </c>
      <c r="I26">
        <v>0</v>
      </c>
      <c r="J26">
        <v>0.02</v>
      </c>
      <c r="K26">
        <v>0</v>
      </c>
      <c r="L26">
        <v>0</v>
      </c>
      <c r="M26">
        <v>0.02</v>
      </c>
      <c r="N26">
        <v>0</v>
      </c>
    </row>
    <row r="27" spans="1:14">
      <c r="A27">
        <v>26</v>
      </c>
      <c r="B27" t="s">
        <v>20</v>
      </c>
      <c r="C27" t="s">
        <v>20</v>
      </c>
      <c r="D27">
        <v>0</v>
      </c>
      <c r="E27">
        <v>1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>
      <c r="A28">
        <v>27</v>
      </c>
      <c r="B28" t="s">
        <v>53</v>
      </c>
      <c r="C28" t="s">
        <v>53</v>
      </c>
      <c r="D28">
        <v>0</v>
      </c>
      <c r="E28">
        <v>0</v>
      </c>
      <c r="F28">
        <v>0</v>
      </c>
      <c r="G28">
        <v>0.96</v>
      </c>
      <c r="H28">
        <v>0.04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>
      <c r="A29">
        <v>28</v>
      </c>
      <c r="B29" t="s">
        <v>25</v>
      </c>
      <c r="C29" t="s">
        <v>25</v>
      </c>
      <c r="D29">
        <v>0</v>
      </c>
      <c r="E29">
        <v>0</v>
      </c>
      <c r="F29">
        <v>0</v>
      </c>
      <c r="G29">
        <v>0</v>
      </c>
      <c r="H29">
        <v>0.99</v>
      </c>
      <c r="I29">
        <v>0</v>
      </c>
      <c r="J29">
        <v>0.01</v>
      </c>
      <c r="K29">
        <v>0</v>
      </c>
      <c r="L29">
        <v>0</v>
      </c>
      <c r="M29">
        <v>0</v>
      </c>
      <c r="N29">
        <v>0</v>
      </c>
    </row>
    <row r="30" spans="1:14">
      <c r="A30">
        <v>29</v>
      </c>
      <c r="B30" t="s">
        <v>25</v>
      </c>
      <c r="C30" t="s">
        <v>25</v>
      </c>
      <c r="D30">
        <v>0</v>
      </c>
      <c r="E30">
        <v>0</v>
      </c>
      <c r="F30">
        <v>0</v>
      </c>
      <c r="G30">
        <v>0</v>
      </c>
      <c r="H30">
        <v>0.74</v>
      </c>
      <c r="I30">
        <v>0</v>
      </c>
      <c r="J30">
        <v>0.16</v>
      </c>
      <c r="K30">
        <v>0</v>
      </c>
      <c r="L30">
        <v>0</v>
      </c>
      <c r="M30">
        <v>0.08</v>
      </c>
      <c r="N30">
        <v>0.02</v>
      </c>
    </row>
    <row r="31" spans="1:14">
      <c r="A31">
        <v>30</v>
      </c>
      <c r="B31" t="s">
        <v>20</v>
      </c>
      <c r="C31" t="s">
        <v>20</v>
      </c>
      <c r="D31">
        <v>0.01</v>
      </c>
      <c r="E31">
        <v>0.86</v>
      </c>
      <c r="F31">
        <v>0</v>
      </c>
      <c r="G31">
        <v>0.01</v>
      </c>
      <c r="H31">
        <v>0.08</v>
      </c>
      <c r="I31">
        <v>0</v>
      </c>
      <c r="J31">
        <v>0</v>
      </c>
      <c r="K31">
        <v>0</v>
      </c>
      <c r="L31">
        <v>0</v>
      </c>
      <c r="M31">
        <v>0.04</v>
      </c>
      <c r="N31">
        <v>0</v>
      </c>
    </row>
    <row r="32" spans="1:14">
      <c r="A32">
        <v>31</v>
      </c>
      <c r="B32" t="s">
        <v>20</v>
      </c>
      <c r="C32" t="s">
        <v>20</v>
      </c>
      <c r="D32">
        <v>0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>
      <c r="A33">
        <v>32</v>
      </c>
      <c r="B33" t="s">
        <v>20</v>
      </c>
      <c r="C33" t="s">
        <v>20</v>
      </c>
      <c r="D33">
        <v>0</v>
      </c>
      <c r="E33">
        <v>0.91</v>
      </c>
      <c r="F33">
        <v>0</v>
      </c>
      <c r="G33">
        <v>0</v>
      </c>
      <c r="H33">
        <v>0.05</v>
      </c>
      <c r="I33">
        <v>0</v>
      </c>
      <c r="J33">
        <v>0.02</v>
      </c>
      <c r="K33">
        <v>0</v>
      </c>
      <c r="L33">
        <v>0</v>
      </c>
      <c r="M33">
        <v>0.02</v>
      </c>
      <c r="N33">
        <v>0</v>
      </c>
    </row>
    <row r="34" spans="1:14">
      <c r="A34">
        <v>33</v>
      </c>
      <c r="B34" t="s">
        <v>60</v>
      </c>
      <c r="C34" t="s">
        <v>60</v>
      </c>
      <c r="D34">
        <v>0</v>
      </c>
      <c r="E34">
        <v>0</v>
      </c>
      <c r="F34">
        <v>0.88</v>
      </c>
      <c r="G34">
        <v>0</v>
      </c>
      <c r="H34">
        <v>0</v>
      </c>
      <c r="I34">
        <v>0</v>
      </c>
      <c r="J34">
        <v>0</v>
      </c>
      <c r="K34">
        <v>0</v>
      </c>
      <c r="L34">
        <v>0.12</v>
      </c>
      <c r="M34">
        <v>0</v>
      </c>
      <c r="N34">
        <v>0</v>
      </c>
    </row>
    <row r="35" spans="1:14">
      <c r="A35">
        <v>34</v>
      </c>
      <c r="B35" t="s">
        <v>32</v>
      </c>
      <c r="C35" t="s">
        <v>32</v>
      </c>
      <c r="D35">
        <v>0.01</v>
      </c>
      <c r="E35">
        <v>0.02</v>
      </c>
      <c r="F35">
        <v>0</v>
      </c>
      <c r="G35">
        <v>0</v>
      </c>
      <c r="H35">
        <v>0.42</v>
      </c>
      <c r="I35">
        <v>0</v>
      </c>
      <c r="J35">
        <v>0.54</v>
      </c>
      <c r="K35">
        <v>0</v>
      </c>
      <c r="L35">
        <v>0</v>
      </c>
      <c r="M35">
        <v>0.01</v>
      </c>
      <c r="N35">
        <v>0</v>
      </c>
    </row>
    <row r="36" spans="1:14">
      <c r="A36">
        <v>35</v>
      </c>
      <c r="B36" t="s">
        <v>25</v>
      </c>
      <c r="C36" t="s">
        <v>25</v>
      </c>
      <c r="D36">
        <v>0.04</v>
      </c>
      <c r="E36">
        <v>0.05</v>
      </c>
      <c r="F36">
        <v>0</v>
      </c>
      <c r="G36">
        <v>0</v>
      </c>
      <c r="H36">
        <v>0.76</v>
      </c>
      <c r="I36">
        <v>0.02</v>
      </c>
      <c r="J36">
        <v>0</v>
      </c>
      <c r="K36">
        <v>0</v>
      </c>
      <c r="L36">
        <v>0</v>
      </c>
      <c r="M36">
        <v>0.13</v>
      </c>
      <c r="N36">
        <v>0</v>
      </c>
    </row>
    <row r="37" spans="1:14">
      <c r="A37">
        <v>36</v>
      </c>
      <c r="B37" t="s">
        <v>32</v>
      </c>
      <c r="C37" t="s">
        <v>32</v>
      </c>
      <c r="D37">
        <v>0.02</v>
      </c>
      <c r="E37">
        <v>0.01</v>
      </c>
      <c r="F37">
        <v>0</v>
      </c>
      <c r="G37">
        <v>0</v>
      </c>
      <c r="H37">
        <v>0.09</v>
      </c>
      <c r="I37">
        <v>0</v>
      </c>
      <c r="J37">
        <v>0.68</v>
      </c>
      <c r="K37">
        <v>0</v>
      </c>
      <c r="L37">
        <v>0</v>
      </c>
      <c r="M37">
        <v>0.2</v>
      </c>
      <c r="N37">
        <v>0</v>
      </c>
    </row>
    <row r="38" spans="1:14">
      <c r="A38">
        <v>37</v>
      </c>
      <c r="B38" t="s">
        <v>74</v>
      </c>
      <c r="C38" t="s">
        <v>74</v>
      </c>
      <c r="D38">
        <v>0.65</v>
      </c>
      <c r="E38">
        <v>0</v>
      </c>
      <c r="F38">
        <v>0</v>
      </c>
      <c r="G38">
        <v>0.2</v>
      </c>
      <c r="H38">
        <v>0</v>
      </c>
      <c r="I38">
        <v>0</v>
      </c>
      <c r="J38">
        <v>0.04</v>
      </c>
      <c r="K38">
        <v>0</v>
      </c>
      <c r="L38">
        <v>0</v>
      </c>
      <c r="M38">
        <v>0.09</v>
      </c>
      <c r="N38">
        <v>0.02</v>
      </c>
    </row>
    <row r="39" spans="1:14">
      <c r="A39">
        <v>38</v>
      </c>
      <c r="B39" t="s">
        <v>20</v>
      </c>
      <c r="C39" t="s">
        <v>20</v>
      </c>
      <c r="D39">
        <v>0</v>
      </c>
      <c r="E39">
        <v>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20</v>
      </c>
      <c r="C40" t="s">
        <v>20</v>
      </c>
      <c r="D40">
        <v>0</v>
      </c>
      <c r="E40">
        <v>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>
      <c r="A41">
        <v>40</v>
      </c>
      <c r="B41" t="s">
        <v>25</v>
      </c>
      <c r="C41" t="s">
        <v>25</v>
      </c>
      <c r="D41">
        <v>0</v>
      </c>
      <c r="E41">
        <v>0</v>
      </c>
      <c r="F41">
        <v>0</v>
      </c>
      <c r="G41">
        <v>0</v>
      </c>
      <c r="H41">
        <v>0.93</v>
      </c>
      <c r="I41">
        <v>0</v>
      </c>
      <c r="J41">
        <v>0.01</v>
      </c>
      <c r="K41">
        <v>0</v>
      </c>
      <c r="L41">
        <v>0.06</v>
      </c>
      <c r="M41">
        <v>0</v>
      </c>
      <c r="N41">
        <v>0</v>
      </c>
    </row>
    <row r="42" spans="1:14">
      <c r="A42">
        <v>41</v>
      </c>
      <c r="B42" t="s">
        <v>20</v>
      </c>
      <c r="C42" t="s">
        <v>20</v>
      </c>
      <c r="D42">
        <v>0.02</v>
      </c>
      <c r="E42">
        <v>0.73</v>
      </c>
      <c r="F42">
        <v>0</v>
      </c>
      <c r="G42">
        <v>0</v>
      </c>
      <c r="H42">
        <v>0.19</v>
      </c>
      <c r="I42">
        <v>0</v>
      </c>
      <c r="J42">
        <v>0.04</v>
      </c>
      <c r="K42">
        <v>0</v>
      </c>
      <c r="L42">
        <v>0</v>
      </c>
      <c r="M42">
        <v>0.02</v>
      </c>
      <c r="N42">
        <v>0</v>
      </c>
    </row>
    <row r="43" spans="1:14">
      <c r="A43">
        <v>42</v>
      </c>
      <c r="B43" t="s">
        <v>20</v>
      </c>
      <c r="C43" t="s">
        <v>20</v>
      </c>
      <c r="D43">
        <v>0</v>
      </c>
      <c r="E43">
        <v>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>
      <c r="A44">
        <v>43</v>
      </c>
      <c r="B44" t="s">
        <v>32</v>
      </c>
      <c r="C44" t="s">
        <v>32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0.99</v>
      </c>
      <c r="K44">
        <v>0</v>
      </c>
      <c r="L44">
        <v>0</v>
      </c>
      <c r="M44">
        <v>0.01</v>
      </c>
      <c r="N44">
        <v>0</v>
      </c>
    </row>
    <row r="45" spans="1:14">
      <c r="A45">
        <v>44</v>
      </c>
      <c r="B45" t="s">
        <v>20</v>
      </c>
      <c r="C45" t="s">
        <v>20</v>
      </c>
      <c r="D45">
        <v>0</v>
      </c>
      <c r="E45">
        <v>0.83</v>
      </c>
      <c r="F45">
        <v>0</v>
      </c>
      <c r="G45">
        <v>0</v>
      </c>
      <c r="H45">
        <v>0.16</v>
      </c>
      <c r="I45">
        <v>0</v>
      </c>
      <c r="J45">
        <v>0.01</v>
      </c>
      <c r="K45">
        <v>0</v>
      </c>
      <c r="L45">
        <v>0</v>
      </c>
      <c r="M45">
        <v>0</v>
      </c>
      <c r="N45">
        <v>0</v>
      </c>
    </row>
    <row r="46" spans="1:14">
      <c r="A46">
        <v>45</v>
      </c>
      <c r="B46" t="s">
        <v>32</v>
      </c>
      <c r="C46" t="s">
        <v>32</v>
      </c>
      <c r="D46">
        <v>0</v>
      </c>
      <c r="E46">
        <v>0</v>
      </c>
      <c r="F46">
        <v>0</v>
      </c>
      <c r="G46">
        <v>0</v>
      </c>
      <c r="H46">
        <v>0.15</v>
      </c>
      <c r="I46">
        <v>0</v>
      </c>
      <c r="J46">
        <v>0.84</v>
      </c>
      <c r="K46">
        <v>0</v>
      </c>
      <c r="L46">
        <v>0</v>
      </c>
      <c r="M46">
        <v>0.01</v>
      </c>
      <c r="N46">
        <v>0</v>
      </c>
    </row>
    <row r="47" spans="1:14">
      <c r="A47">
        <v>46</v>
      </c>
      <c r="B47" t="s">
        <v>106</v>
      </c>
      <c r="C47" t="s">
        <v>106</v>
      </c>
      <c r="D47">
        <v>0</v>
      </c>
      <c r="E47">
        <v>0</v>
      </c>
      <c r="F47">
        <v>0</v>
      </c>
      <c r="G47">
        <v>0</v>
      </c>
      <c r="H47">
        <v>0.21</v>
      </c>
      <c r="I47">
        <v>0.79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>
      <c r="A48">
        <v>47</v>
      </c>
      <c r="B48" t="s">
        <v>32</v>
      </c>
      <c r="C48" t="s">
        <v>32</v>
      </c>
      <c r="D48">
        <v>0.02</v>
      </c>
      <c r="E48">
        <v>0.01</v>
      </c>
      <c r="F48">
        <v>0</v>
      </c>
      <c r="G48">
        <v>0</v>
      </c>
      <c r="H48">
        <v>0.13</v>
      </c>
      <c r="I48">
        <v>0</v>
      </c>
      <c r="J48">
        <v>0.84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32</v>
      </c>
      <c r="C49" t="s">
        <v>32</v>
      </c>
      <c r="D49">
        <v>0</v>
      </c>
      <c r="E49">
        <v>0</v>
      </c>
      <c r="F49">
        <v>0</v>
      </c>
      <c r="G49">
        <v>0</v>
      </c>
      <c r="H49">
        <v>0.28999999999999998</v>
      </c>
      <c r="I49">
        <v>0</v>
      </c>
      <c r="J49">
        <v>0.71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53</v>
      </c>
      <c r="C50" t="s">
        <v>53</v>
      </c>
      <c r="D50">
        <v>0.02</v>
      </c>
      <c r="E50">
        <v>0</v>
      </c>
      <c r="F50">
        <v>0</v>
      </c>
      <c r="G50">
        <v>0.88</v>
      </c>
      <c r="H50">
        <v>0.02</v>
      </c>
      <c r="I50">
        <v>0.01</v>
      </c>
      <c r="J50">
        <v>0.05</v>
      </c>
      <c r="K50">
        <v>0.01</v>
      </c>
      <c r="L50">
        <v>0.01</v>
      </c>
      <c r="M50">
        <v>0</v>
      </c>
      <c r="N50">
        <v>0</v>
      </c>
    </row>
    <row r="51" spans="1:14">
      <c r="A51">
        <v>50</v>
      </c>
      <c r="B51" t="s">
        <v>115</v>
      </c>
      <c r="C51" t="s">
        <v>115</v>
      </c>
      <c r="D51">
        <v>0.05</v>
      </c>
      <c r="E51">
        <v>0.02</v>
      </c>
      <c r="F51">
        <v>0</v>
      </c>
      <c r="G51">
        <v>0</v>
      </c>
      <c r="H51">
        <v>0.12</v>
      </c>
      <c r="I51">
        <v>0</v>
      </c>
      <c r="J51">
        <v>0.01</v>
      </c>
      <c r="K51">
        <v>0</v>
      </c>
      <c r="L51">
        <v>0</v>
      </c>
      <c r="M51">
        <v>0.17</v>
      </c>
      <c r="N51">
        <v>0.63</v>
      </c>
    </row>
    <row r="52" spans="1:14">
      <c r="A52">
        <v>51</v>
      </c>
      <c r="B52" t="s">
        <v>74</v>
      </c>
      <c r="C52" t="s">
        <v>74</v>
      </c>
      <c r="D52">
        <v>0.65</v>
      </c>
      <c r="E52">
        <v>0</v>
      </c>
      <c r="F52">
        <v>0</v>
      </c>
      <c r="G52">
        <v>0</v>
      </c>
      <c r="H52">
        <v>0.03</v>
      </c>
      <c r="I52">
        <v>0</v>
      </c>
      <c r="J52">
        <v>0.03</v>
      </c>
      <c r="K52">
        <v>0</v>
      </c>
      <c r="L52">
        <v>0</v>
      </c>
      <c r="M52">
        <v>0.28999999999999998</v>
      </c>
      <c r="N52">
        <v>0</v>
      </c>
    </row>
    <row r="53" spans="1:14">
      <c r="A53">
        <v>52</v>
      </c>
      <c r="B53" t="s">
        <v>25</v>
      </c>
      <c r="C53" t="s">
        <v>25</v>
      </c>
      <c r="D53">
        <v>0.02</v>
      </c>
      <c r="E53">
        <v>0.01</v>
      </c>
      <c r="F53">
        <v>0</v>
      </c>
      <c r="G53">
        <v>0</v>
      </c>
      <c r="H53">
        <v>0.75</v>
      </c>
      <c r="I53">
        <v>0</v>
      </c>
      <c r="J53">
        <v>0.01</v>
      </c>
      <c r="K53">
        <v>0</v>
      </c>
      <c r="L53">
        <v>0</v>
      </c>
      <c r="M53">
        <v>0.2</v>
      </c>
      <c r="N53">
        <v>0.01</v>
      </c>
    </row>
    <row r="54" spans="1:14">
      <c r="A54">
        <v>53</v>
      </c>
      <c r="B54" t="s">
        <v>74</v>
      </c>
      <c r="C54" t="s">
        <v>74</v>
      </c>
      <c r="D54">
        <v>0.82</v>
      </c>
      <c r="E54">
        <v>0.01</v>
      </c>
      <c r="F54">
        <v>0</v>
      </c>
      <c r="G54">
        <v>0</v>
      </c>
      <c r="H54">
        <v>0.02</v>
      </c>
      <c r="I54">
        <v>0</v>
      </c>
      <c r="J54">
        <v>0.01</v>
      </c>
      <c r="K54">
        <v>0</v>
      </c>
      <c r="L54">
        <v>0</v>
      </c>
      <c r="M54">
        <v>0.14000000000000001</v>
      </c>
      <c r="N54">
        <v>0</v>
      </c>
    </row>
    <row r="55" spans="1:14">
      <c r="A55">
        <v>54</v>
      </c>
      <c r="B55" t="s">
        <v>32</v>
      </c>
      <c r="C55" t="s">
        <v>32</v>
      </c>
      <c r="D55">
        <v>0</v>
      </c>
      <c r="E55">
        <v>0.01</v>
      </c>
      <c r="F55">
        <v>0</v>
      </c>
      <c r="G55">
        <v>0</v>
      </c>
      <c r="H55">
        <v>0.03</v>
      </c>
      <c r="I55">
        <v>0</v>
      </c>
      <c r="J55">
        <v>0.94</v>
      </c>
      <c r="K55">
        <v>0</v>
      </c>
      <c r="L55">
        <v>0</v>
      </c>
      <c r="M55">
        <v>0.02</v>
      </c>
      <c r="N55">
        <v>0</v>
      </c>
    </row>
    <row r="56" spans="1:14">
      <c r="A56">
        <v>55</v>
      </c>
      <c r="B56" t="s">
        <v>20</v>
      </c>
      <c r="C56" t="s">
        <v>20</v>
      </c>
      <c r="D56">
        <v>0.02</v>
      </c>
      <c r="E56">
        <v>0.74</v>
      </c>
      <c r="F56">
        <v>0</v>
      </c>
      <c r="G56">
        <v>0</v>
      </c>
      <c r="H56">
        <v>0.06</v>
      </c>
      <c r="I56">
        <v>0</v>
      </c>
      <c r="J56">
        <v>0.16</v>
      </c>
      <c r="K56">
        <v>0</v>
      </c>
      <c r="L56">
        <v>0</v>
      </c>
      <c r="M56">
        <v>0.02</v>
      </c>
      <c r="N56">
        <v>0</v>
      </c>
    </row>
    <row r="57" spans="1:14">
      <c r="A57">
        <v>56</v>
      </c>
      <c r="B57" t="s">
        <v>127</v>
      </c>
      <c r="C57" t="s">
        <v>127</v>
      </c>
      <c r="D57">
        <v>0</v>
      </c>
      <c r="E57">
        <v>0</v>
      </c>
      <c r="F57">
        <v>0</v>
      </c>
      <c r="G57">
        <v>0</v>
      </c>
      <c r="H57">
        <v>0.01</v>
      </c>
      <c r="I57">
        <v>0</v>
      </c>
      <c r="J57">
        <v>0.04</v>
      </c>
      <c r="K57">
        <v>0</v>
      </c>
      <c r="L57">
        <v>0.95</v>
      </c>
      <c r="M57">
        <v>0</v>
      </c>
      <c r="N57">
        <v>0</v>
      </c>
    </row>
    <row r="58" spans="1:14">
      <c r="A58">
        <v>57</v>
      </c>
      <c r="B58" t="s">
        <v>115</v>
      </c>
      <c r="C58" t="s">
        <v>115</v>
      </c>
      <c r="D58">
        <v>0</v>
      </c>
      <c r="E58">
        <v>0.05</v>
      </c>
      <c r="F58">
        <v>0</v>
      </c>
      <c r="G58">
        <v>0.01</v>
      </c>
      <c r="H58">
        <v>0.22</v>
      </c>
      <c r="I58">
        <v>0</v>
      </c>
      <c r="J58">
        <v>0.01</v>
      </c>
      <c r="K58">
        <v>0</v>
      </c>
      <c r="L58">
        <v>0</v>
      </c>
      <c r="M58">
        <v>0.01</v>
      </c>
      <c r="N58">
        <v>0.7</v>
      </c>
    </row>
    <row r="59" spans="1:14">
      <c r="A59">
        <v>58</v>
      </c>
      <c r="B59" t="s">
        <v>20</v>
      </c>
      <c r="C59" t="s">
        <v>20</v>
      </c>
      <c r="D59">
        <v>0</v>
      </c>
      <c r="E59"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>
      <c r="A60">
        <v>59</v>
      </c>
      <c r="B60" t="s">
        <v>25</v>
      </c>
      <c r="C60" t="s">
        <v>25</v>
      </c>
      <c r="D60">
        <v>0</v>
      </c>
      <c r="E60">
        <v>0.27</v>
      </c>
      <c r="F60">
        <v>0</v>
      </c>
      <c r="G60">
        <v>0</v>
      </c>
      <c r="H60">
        <v>0.7</v>
      </c>
      <c r="I60">
        <v>0</v>
      </c>
      <c r="J60">
        <v>0.03</v>
      </c>
      <c r="K60">
        <v>0</v>
      </c>
      <c r="L60">
        <v>0</v>
      </c>
      <c r="M60">
        <v>0</v>
      </c>
      <c r="N60">
        <v>0</v>
      </c>
    </row>
    <row r="61" spans="1:14">
      <c r="A61">
        <v>60</v>
      </c>
      <c r="B61" t="s">
        <v>74</v>
      </c>
      <c r="C61" t="s">
        <v>74</v>
      </c>
      <c r="D61">
        <v>0.71</v>
      </c>
      <c r="E61">
        <v>0</v>
      </c>
      <c r="F61">
        <v>0.02</v>
      </c>
      <c r="G61">
        <v>0.04</v>
      </c>
      <c r="H61">
        <v>0.03</v>
      </c>
      <c r="I61">
        <v>0</v>
      </c>
      <c r="J61">
        <v>0.1</v>
      </c>
      <c r="K61">
        <v>0</v>
      </c>
      <c r="L61">
        <v>0.1</v>
      </c>
      <c r="M61">
        <v>0</v>
      </c>
      <c r="N61">
        <v>0</v>
      </c>
    </row>
    <row r="62" spans="1:14">
      <c r="A62">
        <v>61</v>
      </c>
      <c r="B62" t="s">
        <v>20</v>
      </c>
      <c r="C62" t="s">
        <v>20</v>
      </c>
      <c r="D62">
        <v>0</v>
      </c>
      <c r="E62">
        <v>0.92</v>
      </c>
      <c r="F62">
        <v>0</v>
      </c>
      <c r="G62">
        <v>0</v>
      </c>
      <c r="H62">
        <v>0.03</v>
      </c>
      <c r="I62">
        <v>0</v>
      </c>
      <c r="J62">
        <v>0.05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20</v>
      </c>
      <c r="C63" t="s">
        <v>20</v>
      </c>
      <c r="D63">
        <v>0</v>
      </c>
      <c r="E63">
        <v>0.97</v>
      </c>
      <c r="F63">
        <v>0</v>
      </c>
      <c r="G63">
        <v>0</v>
      </c>
      <c r="H63">
        <v>0.01</v>
      </c>
      <c r="I63">
        <v>0</v>
      </c>
      <c r="J63">
        <v>0.02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25</v>
      </c>
      <c r="C64" t="s">
        <v>25</v>
      </c>
      <c r="D64">
        <v>0</v>
      </c>
      <c r="E64">
        <v>0</v>
      </c>
      <c r="F64">
        <v>0</v>
      </c>
      <c r="G64">
        <v>0</v>
      </c>
      <c r="H64">
        <v>1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>
      <c r="A65">
        <v>64</v>
      </c>
      <c r="B65" t="s">
        <v>20</v>
      </c>
      <c r="C65" t="s">
        <v>20</v>
      </c>
      <c r="D65">
        <v>0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32</v>
      </c>
      <c r="C66" t="s">
        <v>32</v>
      </c>
      <c r="D66">
        <v>0</v>
      </c>
      <c r="E66">
        <v>0</v>
      </c>
      <c r="F66">
        <v>0</v>
      </c>
      <c r="G66">
        <v>0</v>
      </c>
      <c r="H66">
        <v>0.02</v>
      </c>
      <c r="I66">
        <v>0</v>
      </c>
      <c r="J66">
        <v>0.98</v>
      </c>
      <c r="K66">
        <v>0</v>
      </c>
      <c r="L66">
        <v>0</v>
      </c>
      <c r="M66">
        <v>0</v>
      </c>
      <c r="N66">
        <v>0</v>
      </c>
    </row>
    <row r="67" spans="1:14">
      <c r="A67">
        <v>66</v>
      </c>
      <c r="B67" t="s">
        <v>20</v>
      </c>
      <c r="C67" t="s">
        <v>20</v>
      </c>
      <c r="D67">
        <v>0</v>
      </c>
      <c r="E67">
        <v>1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>
      <c r="A68">
        <v>67</v>
      </c>
      <c r="B68" t="s">
        <v>25</v>
      </c>
      <c r="C68" t="s">
        <v>25</v>
      </c>
      <c r="D68">
        <v>0</v>
      </c>
      <c r="E68">
        <v>0</v>
      </c>
      <c r="F68">
        <v>0</v>
      </c>
      <c r="G68">
        <v>0</v>
      </c>
      <c r="H68">
        <v>1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74</v>
      </c>
      <c r="C69" t="s">
        <v>74</v>
      </c>
      <c r="D69">
        <v>0.69</v>
      </c>
      <c r="E69">
        <v>0</v>
      </c>
      <c r="F69">
        <v>0</v>
      </c>
      <c r="G69">
        <v>0</v>
      </c>
      <c r="H69">
        <v>7.0000000000000007E-2</v>
      </c>
      <c r="I69">
        <v>0</v>
      </c>
      <c r="J69">
        <v>0.02</v>
      </c>
      <c r="K69">
        <v>0</v>
      </c>
      <c r="L69">
        <v>0</v>
      </c>
      <c r="M69">
        <v>0.22</v>
      </c>
      <c r="N69">
        <v>0</v>
      </c>
    </row>
    <row r="70" spans="1:14">
      <c r="A70">
        <v>69</v>
      </c>
      <c r="B70" t="s">
        <v>32</v>
      </c>
      <c r="C70" t="s">
        <v>32</v>
      </c>
      <c r="D70">
        <v>0</v>
      </c>
      <c r="E70">
        <v>0.03</v>
      </c>
      <c r="F70">
        <v>0</v>
      </c>
      <c r="G70">
        <v>0.01</v>
      </c>
      <c r="H70">
        <v>0.31</v>
      </c>
      <c r="I70">
        <v>0</v>
      </c>
      <c r="J70">
        <v>0.65</v>
      </c>
      <c r="K70">
        <v>0</v>
      </c>
      <c r="L70">
        <v>0</v>
      </c>
      <c r="M70">
        <v>0</v>
      </c>
      <c r="N70">
        <v>0</v>
      </c>
    </row>
    <row r="71" spans="1:14">
      <c r="A71">
        <v>70</v>
      </c>
      <c r="B71" t="s">
        <v>53</v>
      </c>
      <c r="C71" t="s">
        <v>53</v>
      </c>
      <c r="D71">
        <v>0.01</v>
      </c>
      <c r="E71">
        <v>0</v>
      </c>
      <c r="F71">
        <v>0.01</v>
      </c>
      <c r="G71">
        <v>0.7</v>
      </c>
      <c r="H71">
        <v>0.22</v>
      </c>
      <c r="I71">
        <v>0</v>
      </c>
      <c r="J71">
        <v>0.06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74</v>
      </c>
      <c r="C72" t="s">
        <v>74</v>
      </c>
      <c r="D72">
        <v>1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>
      <c r="A73">
        <v>72</v>
      </c>
      <c r="B73" t="s">
        <v>32</v>
      </c>
      <c r="C73" t="s">
        <v>32</v>
      </c>
      <c r="D73">
        <v>0.01</v>
      </c>
      <c r="E73">
        <v>0</v>
      </c>
      <c r="F73">
        <v>0</v>
      </c>
      <c r="G73">
        <v>0</v>
      </c>
      <c r="H73">
        <v>0</v>
      </c>
      <c r="I73">
        <v>0</v>
      </c>
      <c r="J73">
        <v>0.98</v>
      </c>
      <c r="K73">
        <v>0</v>
      </c>
      <c r="L73">
        <v>0</v>
      </c>
      <c r="M73">
        <v>0.01</v>
      </c>
      <c r="N73">
        <v>0</v>
      </c>
    </row>
    <row r="74" spans="1:14">
      <c r="A74">
        <v>73</v>
      </c>
      <c r="B74" t="s">
        <v>20</v>
      </c>
      <c r="C74" t="s">
        <v>20</v>
      </c>
      <c r="D74">
        <v>0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25</v>
      </c>
      <c r="C75" t="s">
        <v>25</v>
      </c>
      <c r="D75">
        <v>0.01</v>
      </c>
      <c r="E75">
        <v>0.1</v>
      </c>
      <c r="F75">
        <v>0</v>
      </c>
      <c r="G75">
        <v>0</v>
      </c>
      <c r="H75">
        <v>0.89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>
      <c r="A76">
        <v>75</v>
      </c>
      <c r="B76" t="s">
        <v>20</v>
      </c>
      <c r="C76" t="s">
        <v>20</v>
      </c>
      <c r="D76">
        <v>0</v>
      </c>
      <c r="E76">
        <v>0.98</v>
      </c>
      <c r="F76">
        <v>0</v>
      </c>
      <c r="G76">
        <v>0</v>
      </c>
      <c r="H76">
        <v>0.01</v>
      </c>
      <c r="I76">
        <v>0</v>
      </c>
      <c r="J76">
        <v>0.01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20</v>
      </c>
      <c r="C77" t="s">
        <v>20</v>
      </c>
      <c r="D77">
        <v>0</v>
      </c>
      <c r="E77">
        <v>1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>
      <c r="A78">
        <v>77</v>
      </c>
      <c r="B78" t="s">
        <v>25</v>
      </c>
      <c r="C78" t="s">
        <v>25</v>
      </c>
      <c r="D78">
        <v>0.1</v>
      </c>
      <c r="E78">
        <v>0</v>
      </c>
      <c r="F78">
        <v>0</v>
      </c>
      <c r="G78">
        <v>0</v>
      </c>
      <c r="H78">
        <v>0.84</v>
      </c>
      <c r="I78">
        <v>0</v>
      </c>
      <c r="J78">
        <v>0.02</v>
      </c>
      <c r="K78">
        <v>0</v>
      </c>
      <c r="L78">
        <v>0</v>
      </c>
      <c r="M78">
        <v>0.04</v>
      </c>
      <c r="N78">
        <v>0</v>
      </c>
    </row>
    <row r="79" spans="1:14">
      <c r="A79">
        <v>78</v>
      </c>
      <c r="B79" t="s">
        <v>32</v>
      </c>
      <c r="C79" t="s">
        <v>32</v>
      </c>
      <c r="D79">
        <v>0.02</v>
      </c>
      <c r="E79">
        <v>0.01</v>
      </c>
      <c r="F79">
        <v>0</v>
      </c>
      <c r="G79">
        <v>0</v>
      </c>
      <c r="H79">
        <v>7.0000000000000007E-2</v>
      </c>
      <c r="I79">
        <v>0</v>
      </c>
      <c r="J79">
        <v>0.9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20</v>
      </c>
      <c r="C80" t="s">
        <v>20</v>
      </c>
      <c r="D80">
        <v>0</v>
      </c>
      <c r="E80">
        <v>1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25</v>
      </c>
      <c r="C81" t="s">
        <v>25</v>
      </c>
      <c r="D81">
        <v>0.03</v>
      </c>
      <c r="E81">
        <v>0.01</v>
      </c>
      <c r="F81">
        <v>0</v>
      </c>
      <c r="G81">
        <v>0</v>
      </c>
      <c r="H81">
        <v>0.69</v>
      </c>
      <c r="I81">
        <v>0.01</v>
      </c>
      <c r="J81">
        <v>0.12</v>
      </c>
      <c r="K81">
        <v>0</v>
      </c>
      <c r="L81">
        <v>0</v>
      </c>
      <c r="M81">
        <v>0.14000000000000001</v>
      </c>
      <c r="N81">
        <v>0</v>
      </c>
    </row>
    <row r="82" spans="1:14">
      <c r="A82">
        <v>81</v>
      </c>
      <c r="B82" t="s">
        <v>25</v>
      </c>
      <c r="C82" t="s">
        <v>25</v>
      </c>
      <c r="D82">
        <v>0</v>
      </c>
      <c r="E82">
        <v>0.01</v>
      </c>
      <c r="F82">
        <v>0</v>
      </c>
      <c r="G82">
        <v>0</v>
      </c>
      <c r="H82">
        <v>0.96</v>
      </c>
      <c r="I82">
        <v>0</v>
      </c>
      <c r="J82">
        <v>0.03</v>
      </c>
      <c r="K82">
        <v>0</v>
      </c>
      <c r="L82">
        <v>0</v>
      </c>
      <c r="M82">
        <v>0</v>
      </c>
      <c r="N82">
        <v>0</v>
      </c>
    </row>
    <row r="83" spans="1:14">
      <c r="A83">
        <v>82</v>
      </c>
      <c r="B83" t="s">
        <v>20</v>
      </c>
      <c r="C83" t="s">
        <v>20</v>
      </c>
      <c r="D83">
        <v>0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>
      <c r="A84">
        <v>83</v>
      </c>
      <c r="B84" t="s">
        <v>39</v>
      </c>
      <c r="C84" t="s">
        <v>39</v>
      </c>
      <c r="D84">
        <v>0</v>
      </c>
      <c r="E84">
        <v>0.02</v>
      </c>
      <c r="F84">
        <v>0</v>
      </c>
      <c r="G84">
        <v>0</v>
      </c>
      <c r="H84">
        <v>0.21</v>
      </c>
      <c r="I84">
        <v>0.13</v>
      </c>
      <c r="J84">
        <v>0</v>
      </c>
      <c r="K84">
        <v>0</v>
      </c>
      <c r="L84">
        <v>0</v>
      </c>
      <c r="M84">
        <v>0.64</v>
      </c>
      <c r="N84">
        <v>0</v>
      </c>
    </row>
    <row r="85" spans="1:14">
      <c r="A85">
        <v>84</v>
      </c>
      <c r="B85" t="s">
        <v>161</v>
      </c>
      <c r="C85" t="s">
        <v>161</v>
      </c>
      <c r="D85">
        <v>0.01</v>
      </c>
      <c r="E85">
        <v>0</v>
      </c>
      <c r="F85">
        <v>0</v>
      </c>
      <c r="G85">
        <v>0</v>
      </c>
      <c r="H85">
        <v>0.26</v>
      </c>
      <c r="I85">
        <v>0</v>
      </c>
      <c r="J85">
        <v>0</v>
      </c>
      <c r="K85">
        <v>0.73</v>
      </c>
      <c r="L85">
        <v>0</v>
      </c>
      <c r="M85">
        <v>0</v>
      </c>
      <c r="N85">
        <v>0</v>
      </c>
    </row>
    <row r="86" spans="1:14">
      <c r="A86">
        <v>85</v>
      </c>
      <c r="B86" t="s">
        <v>20</v>
      </c>
      <c r="C86" t="s">
        <v>20</v>
      </c>
      <c r="D86">
        <v>0</v>
      </c>
      <c r="E86">
        <v>1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20</v>
      </c>
      <c r="C87" t="s">
        <v>20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25</v>
      </c>
      <c r="C88" t="s">
        <v>25</v>
      </c>
      <c r="D88">
        <v>0</v>
      </c>
      <c r="E88">
        <v>0</v>
      </c>
      <c r="F88">
        <v>0</v>
      </c>
      <c r="G88">
        <v>0</v>
      </c>
      <c r="H88">
        <v>0.94</v>
      </c>
      <c r="I88">
        <v>0</v>
      </c>
      <c r="J88">
        <v>0.03</v>
      </c>
      <c r="K88">
        <v>0</v>
      </c>
      <c r="L88">
        <v>0</v>
      </c>
      <c r="M88">
        <v>0.03</v>
      </c>
      <c r="N88">
        <v>0</v>
      </c>
    </row>
    <row r="89" spans="1:14">
      <c r="A89">
        <v>88</v>
      </c>
      <c r="B89" t="s">
        <v>106</v>
      </c>
      <c r="C89" t="s">
        <v>106</v>
      </c>
      <c r="D89">
        <v>0</v>
      </c>
      <c r="E89">
        <v>0</v>
      </c>
      <c r="F89">
        <v>0</v>
      </c>
      <c r="G89">
        <v>0</v>
      </c>
      <c r="H89">
        <v>0.02</v>
      </c>
      <c r="I89">
        <v>0.93</v>
      </c>
      <c r="J89">
        <v>0.01</v>
      </c>
      <c r="K89">
        <v>0</v>
      </c>
      <c r="L89">
        <v>0</v>
      </c>
      <c r="M89">
        <v>0.04</v>
      </c>
      <c r="N89">
        <v>0</v>
      </c>
    </row>
    <row r="90" spans="1:14">
      <c r="A90">
        <v>89</v>
      </c>
      <c r="B90" t="s">
        <v>20</v>
      </c>
      <c r="C90" t="s">
        <v>20</v>
      </c>
      <c r="D90">
        <v>0</v>
      </c>
      <c r="E90">
        <v>1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>
      <c r="A91">
        <v>90</v>
      </c>
      <c r="B91" t="s">
        <v>20</v>
      </c>
      <c r="C91" t="s">
        <v>20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20</v>
      </c>
      <c r="C92" t="s">
        <v>20</v>
      </c>
      <c r="D92">
        <v>0.08</v>
      </c>
      <c r="E92">
        <v>0.73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0.19</v>
      </c>
      <c r="N92">
        <v>0</v>
      </c>
    </row>
    <row r="93" spans="1:14">
      <c r="A93">
        <v>92</v>
      </c>
      <c r="B93" t="s">
        <v>32</v>
      </c>
      <c r="C93" t="s">
        <v>32</v>
      </c>
      <c r="D93">
        <v>0</v>
      </c>
      <c r="E93">
        <v>0</v>
      </c>
      <c r="F93">
        <v>0.04</v>
      </c>
      <c r="G93">
        <v>0.04</v>
      </c>
      <c r="H93">
        <v>0.05</v>
      </c>
      <c r="I93">
        <v>0</v>
      </c>
      <c r="J93">
        <v>0.83</v>
      </c>
      <c r="K93">
        <v>0.01</v>
      </c>
      <c r="L93">
        <v>0</v>
      </c>
      <c r="M93">
        <v>0.03</v>
      </c>
      <c r="N93">
        <v>0</v>
      </c>
    </row>
    <row r="94" spans="1:14">
      <c r="A94">
        <v>93</v>
      </c>
      <c r="B94" t="s">
        <v>20</v>
      </c>
      <c r="C94" t="s">
        <v>20</v>
      </c>
      <c r="D94">
        <v>0</v>
      </c>
      <c r="E94">
        <v>1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115</v>
      </c>
      <c r="C95" t="s">
        <v>115</v>
      </c>
      <c r="D95">
        <v>0.05</v>
      </c>
      <c r="E95">
        <v>0.01</v>
      </c>
      <c r="F95">
        <v>0</v>
      </c>
      <c r="G95">
        <v>0</v>
      </c>
      <c r="H95">
        <v>0.18</v>
      </c>
      <c r="I95">
        <v>0</v>
      </c>
      <c r="J95">
        <v>0</v>
      </c>
      <c r="K95">
        <v>0</v>
      </c>
      <c r="L95">
        <v>0</v>
      </c>
      <c r="M95">
        <v>7.0000000000000007E-2</v>
      </c>
      <c r="N95">
        <v>0.69</v>
      </c>
    </row>
    <row r="96" spans="1:14">
      <c r="A96">
        <v>95</v>
      </c>
      <c r="B96" t="s">
        <v>20</v>
      </c>
      <c r="C96" t="s">
        <v>20</v>
      </c>
      <c r="D96">
        <v>0</v>
      </c>
      <c r="E96">
        <v>0.79</v>
      </c>
      <c r="F96">
        <v>0</v>
      </c>
      <c r="G96">
        <v>0</v>
      </c>
      <c r="H96">
        <v>0.19</v>
      </c>
      <c r="I96">
        <v>0</v>
      </c>
      <c r="J96">
        <v>0</v>
      </c>
      <c r="K96">
        <v>0.02</v>
      </c>
      <c r="L96">
        <v>0</v>
      </c>
      <c r="M96">
        <v>0</v>
      </c>
      <c r="N96">
        <v>0</v>
      </c>
    </row>
    <row r="97" spans="1:14">
      <c r="A97">
        <v>96</v>
      </c>
      <c r="B97" t="s">
        <v>32</v>
      </c>
      <c r="C97" t="s">
        <v>32</v>
      </c>
      <c r="D97">
        <v>0.02</v>
      </c>
      <c r="E97">
        <v>0.02</v>
      </c>
      <c r="F97">
        <v>0</v>
      </c>
      <c r="G97">
        <v>0</v>
      </c>
      <c r="H97">
        <v>0.01</v>
      </c>
      <c r="I97">
        <v>0</v>
      </c>
      <c r="J97">
        <v>0.93</v>
      </c>
      <c r="K97">
        <v>0</v>
      </c>
      <c r="L97">
        <v>0</v>
      </c>
      <c r="M97">
        <v>0.02</v>
      </c>
      <c r="N97">
        <v>0</v>
      </c>
    </row>
    <row r="98" spans="1:14">
      <c r="A98">
        <v>97</v>
      </c>
      <c r="B98" t="s">
        <v>25</v>
      </c>
      <c r="C98" t="s">
        <v>25</v>
      </c>
      <c r="D98">
        <v>0</v>
      </c>
      <c r="E98">
        <v>0</v>
      </c>
      <c r="F98">
        <v>0</v>
      </c>
      <c r="G98">
        <v>0</v>
      </c>
      <c r="H98">
        <v>0.96</v>
      </c>
      <c r="I98">
        <v>0</v>
      </c>
      <c r="J98">
        <v>0.01</v>
      </c>
      <c r="K98">
        <v>0</v>
      </c>
      <c r="L98">
        <v>0.03</v>
      </c>
      <c r="M98">
        <v>0</v>
      </c>
      <c r="N98">
        <v>0</v>
      </c>
    </row>
    <row r="99" spans="1:14">
      <c r="A99">
        <v>98</v>
      </c>
      <c r="B99" t="s">
        <v>25</v>
      </c>
      <c r="C99" t="s">
        <v>25</v>
      </c>
      <c r="D99">
        <v>0</v>
      </c>
      <c r="E99">
        <v>0</v>
      </c>
      <c r="F99">
        <v>0</v>
      </c>
      <c r="G99">
        <v>0</v>
      </c>
      <c r="H99">
        <v>1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>
      <c r="A100">
        <v>99</v>
      </c>
      <c r="B100" t="s">
        <v>74</v>
      </c>
      <c r="C100" t="s">
        <v>74</v>
      </c>
      <c r="D100">
        <v>0.68</v>
      </c>
      <c r="E100">
        <v>0.14000000000000001</v>
      </c>
      <c r="F100">
        <v>7.0000000000000007E-2</v>
      </c>
      <c r="G100">
        <v>0</v>
      </c>
      <c r="H100">
        <v>0.04</v>
      </c>
      <c r="I100">
        <v>0</v>
      </c>
      <c r="J100">
        <v>0.05</v>
      </c>
      <c r="K100">
        <v>0.02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32</v>
      </c>
      <c r="C101" t="s">
        <v>32</v>
      </c>
      <c r="D101">
        <v>0</v>
      </c>
      <c r="E101">
        <v>0</v>
      </c>
      <c r="F101">
        <v>0</v>
      </c>
      <c r="G101">
        <v>0.43</v>
      </c>
      <c r="H101">
        <v>0</v>
      </c>
      <c r="I101">
        <v>0</v>
      </c>
      <c r="J101">
        <v>0.56999999999999995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32</v>
      </c>
      <c r="C102" t="s">
        <v>32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0.99</v>
      </c>
      <c r="K102">
        <v>0</v>
      </c>
      <c r="L102">
        <v>0</v>
      </c>
      <c r="M102">
        <v>0</v>
      </c>
      <c r="N102">
        <v>0.01</v>
      </c>
    </row>
    <row r="103" spans="1:14">
      <c r="A103">
        <v>102</v>
      </c>
      <c r="B103" t="s">
        <v>20</v>
      </c>
      <c r="C103" t="s">
        <v>20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>
      <c r="A104">
        <v>103</v>
      </c>
      <c r="B104" t="s">
        <v>20</v>
      </c>
      <c r="C104" t="s">
        <v>20</v>
      </c>
      <c r="D104">
        <v>0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>
      <c r="A105">
        <v>104</v>
      </c>
      <c r="B105" t="s">
        <v>25</v>
      </c>
      <c r="C105" t="s">
        <v>25</v>
      </c>
      <c r="D105">
        <v>0</v>
      </c>
      <c r="E105">
        <v>0</v>
      </c>
      <c r="F105">
        <v>0</v>
      </c>
      <c r="G105">
        <v>0</v>
      </c>
      <c r="H105">
        <v>1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>
      <c r="A106">
        <v>105</v>
      </c>
      <c r="B106" t="s">
        <v>25</v>
      </c>
      <c r="C106" t="s">
        <v>25</v>
      </c>
      <c r="D106">
        <v>0</v>
      </c>
      <c r="E106">
        <v>0.01</v>
      </c>
      <c r="F106">
        <v>0</v>
      </c>
      <c r="G106">
        <v>0</v>
      </c>
      <c r="H106">
        <v>0.99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>
      <c r="A107">
        <v>106</v>
      </c>
      <c r="B107" t="s">
        <v>32</v>
      </c>
      <c r="C107" t="s">
        <v>32</v>
      </c>
      <c r="D107">
        <v>0.01</v>
      </c>
      <c r="E107">
        <v>0</v>
      </c>
      <c r="F107">
        <v>0</v>
      </c>
      <c r="G107">
        <v>0.02</v>
      </c>
      <c r="H107">
        <v>0.18</v>
      </c>
      <c r="I107">
        <v>0</v>
      </c>
      <c r="J107">
        <v>0.79</v>
      </c>
      <c r="K107">
        <v>0</v>
      </c>
      <c r="L107">
        <v>0</v>
      </c>
      <c r="M107">
        <v>0</v>
      </c>
      <c r="N107">
        <v>0</v>
      </c>
    </row>
    <row r="108" spans="1:14">
      <c r="A108">
        <v>107</v>
      </c>
      <c r="B108" t="s">
        <v>39</v>
      </c>
      <c r="C108" t="s">
        <v>39</v>
      </c>
      <c r="D108">
        <v>7.0000000000000007E-2</v>
      </c>
      <c r="E108">
        <v>0.01</v>
      </c>
      <c r="F108">
        <v>0</v>
      </c>
      <c r="G108">
        <v>0</v>
      </c>
      <c r="H108">
        <v>0.12</v>
      </c>
      <c r="I108">
        <v>0.01</v>
      </c>
      <c r="J108">
        <v>7.0000000000000007E-2</v>
      </c>
      <c r="K108">
        <v>0</v>
      </c>
      <c r="L108">
        <v>0</v>
      </c>
      <c r="M108">
        <v>0.72</v>
      </c>
      <c r="N108">
        <v>0</v>
      </c>
    </row>
    <row r="109" spans="1:14">
      <c r="A109">
        <v>108</v>
      </c>
      <c r="B109" t="s">
        <v>53</v>
      </c>
      <c r="C109" t="s">
        <v>53</v>
      </c>
      <c r="D109">
        <v>0</v>
      </c>
      <c r="E109">
        <v>0</v>
      </c>
      <c r="F109">
        <v>0</v>
      </c>
      <c r="G109">
        <v>0.99</v>
      </c>
      <c r="H109">
        <v>0.01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39</v>
      </c>
      <c r="C110" t="s">
        <v>39</v>
      </c>
      <c r="D110">
        <v>0.01</v>
      </c>
      <c r="E110">
        <v>0.06</v>
      </c>
      <c r="F110">
        <v>0</v>
      </c>
      <c r="G110">
        <v>0</v>
      </c>
      <c r="H110">
        <v>0.24</v>
      </c>
      <c r="I110">
        <v>0.01</v>
      </c>
      <c r="J110">
        <v>0</v>
      </c>
      <c r="K110">
        <v>0</v>
      </c>
      <c r="L110">
        <v>0</v>
      </c>
      <c r="M110">
        <v>0.68</v>
      </c>
      <c r="N110">
        <v>0</v>
      </c>
    </row>
    <row r="111" spans="1:14">
      <c r="A111">
        <v>110</v>
      </c>
      <c r="B111" t="s">
        <v>20</v>
      </c>
      <c r="C111" t="s">
        <v>20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25</v>
      </c>
      <c r="C112" t="s">
        <v>25</v>
      </c>
      <c r="D112">
        <v>0</v>
      </c>
      <c r="E112">
        <v>0</v>
      </c>
      <c r="F112">
        <v>0</v>
      </c>
      <c r="G112">
        <v>0</v>
      </c>
      <c r="H112">
        <v>0.98</v>
      </c>
      <c r="I112">
        <v>0</v>
      </c>
      <c r="J112">
        <v>0</v>
      </c>
      <c r="K112">
        <v>0</v>
      </c>
      <c r="L112">
        <v>0</v>
      </c>
      <c r="M112">
        <v>0.02</v>
      </c>
      <c r="N112">
        <v>0</v>
      </c>
    </row>
    <row r="113" spans="1:14">
      <c r="A113">
        <v>112</v>
      </c>
      <c r="B113" t="s">
        <v>32</v>
      </c>
      <c r="C113" t="s">
        <v>32</v>
      </c>
      <c r="D113">
        <v>0.12</v>
      </c>
      <c r="E113">
        <v>0.02</v>
      </c>
      <c r="F113">
        <v>0</v>
      </c>
      <c r="G113">
        <v>0</v>
      </c>
      <c r="H113">
        <v>0.03</v>
      </c>
      <c r="I113">
        <v>0</v>
      </c>
      <c r="J113">
        <v>0.66</v>
      </c>
      <c r="K113">
        <v>0</v>
      </c>
      <c r="L113">
        <v>0</v>
      </c>
      <c r="M113">
        <v>0.09</v>
      </c>
      <c r="N113">
        <v>0.08</v>
      </c>
    </row>
    <row r="114" spans="1:14">
      <c r="A114">
        <v>113</v>
      </c>
      <c r="B114" t="s">
        <v>39</v>
      </c>
      <c r="C114" t="s">
        <v>39</v>
      </c>
      <c r="D114">
        <v>0.03</v>
      </c>
      <c r="E114">
        <v>0.01</v>
      </c>
      <c r="F114">
        <v>0</v>
      </c>
      <c r="G114">
        <v>0</v>
      </c>
      <c r="H114">
        <v>0.06</v>
      </c>
      <c r="I114">
        <v>0</v>
      </c>
      <c r="J114">
        <v>0.16</v>
      </c>
      <c r="K114">
        <v>0</v>
      </c>
      <c r="L114">
        <v>0</v>
      </c>
      <c r="M114">
        <v>0.74</v>
      </c>
      <c r="N114">
        <v>0</v>
      </c>
    </row>
    <row r="115" spans="1:14">
      <c r="A115">
        <v>114</v>
      </c>
      <c r="B115" t="s">
        <v>20</v>
      </c>
      <c r="C115" t="s">
        <v>20</v>
      </c>
      <c r="D115">
        <v>0.01</v>
      </c>
      <c r="E115">
        <v>0.96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0.03</v>
      </c>
      <c r="N115">
        <v>0</v>
      </c>
    </row>
    <row r="116" spans="1:14">
      <c r="A116">
        <v>115</v>
      </c>
      <c r="B116" t="s">
        <v>20</v>
      </c>
      <c r="C116" t="s">
        <v>20</v>
      </c>
      <c r="D116">
        <v>0.01</v>
      </c>
      <c r="E116">
        <v>0.98</v>
      </c>
      <c r="F116">
        <v>0</v>
      </c>
      <c r="G116">
        <v>0</v>
      </c>
      <c r="H116">
        <v>0.01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127</v>
      </c>
      <c r="C117" t="s">
        <v>127</v>
      </c>
      <c r="D117">
        <v>0</v>
      </c>
      <c r="E117">
        <v>0</v>
      </c>
      <c r="F117">
        <v>0</v>
      </c>
      <c r="G117">
        <v>0.1</v>
      </c>
      <c r="H117">
        <v>0.09</v>
      </c>
      <c r="I117">
        <v>0</v>
      </c>
      <c r="J117">
        <v>0.03</v>
      </c>
      <c r="K117">
        <v>0</v>
      </c>
      <c r="L117">
        <v>0.78</v>
      </c>
      <c r="M117">
        <v>0</v>
      </c>
      <c r="N117">
        <v>0</v>
      </c>
    </row>
    <row r="118" spans="1:14">
      <c r="A118">
        <v>117</v>
      </c>
      <c r="B118" t="s">
        <v>20</v>
      </c>
      <c r="C118" t="s">
        <v>20</v>
      </c>
      <c r="D118">
        <v>0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>
      <c r="A119">
        <v>118</v>
      </c>
      <c r="B119" t="s">
        <v>20</v>
      </c>
      <c r="C119" t="s">
        <v>20</v>
      </c>
      <c r="D119">
        <v>0</v>
      </c>
      <c r="E119">
        <v>1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>
      <c r="A120">
        <v>119</v>
      </c>
      <c r="B120" t="s">
        <v>20</v>
      </c>
      <c r="C120" t="s">
        <v>20</v>
      </c>
      <c r="D120">
        <v>0</v>
      </c>
      <c r="E120">
        <v>1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>
      <c r="A121">
        <v>120</v>
      </c>
      <c r="B121" t="s">
        <v>53</v>
      </c>
      <c r="C121" t="s">
        <v>53</v>
      </c>
      <c r="D121">
        <v>0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14">
      <c r="A122">
        <v>121</v>
      </c>
      <c r="B122" t="s">
        <v>25</v>
      </c>
      <c r="C122" t="s">
        <v>25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20</v>
      </c>
      <c r="C123" t="s">
        <v>20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20</v>
      </c>
      <c r="C124" t="s">
        <v>20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>
      <c r="A125">
        <v>124</v>
      </c>
      <c r="B125" t="s">
        <v>25</v>
      </c>
      <c r="C125" t="s">
        <v>25</v>
      </c>
      <c r="D125">
        <v>0</v>
      </c>
      <c r="E125">
        <v>7.0000000000000007E-2</v>
      </c>
      <c r="F125">
        <v>0</v>
      </c>
      <c r="G125">
        <v>0</v>
      </c>
      <c r="H125">
        <v>0.93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>
      <c r="A126">
        <v>125</v>
      </c>
      <c r="B126" t="s">
        <v>32</v>
      </c>
      <c r="C126" t="s">
        <v>32</v>
      </c>
      <c r="D126">
        <v>0.01</v>
      </c>
      <c r="E126">
        <v>0</v>
      </c>
      <c r="F126">
        <v>0</v>
      </c>
      <c r="G126">
        <v>0</v>
      </c>
      <c r="H126">
        <v>0.19</v>
      </c>
      <c r="I126">
        <v>0</v>
      </c>
      <c r="J126">
        <v>0.56000000000000005</v>
      </c>
      <c r="K126">
        <v>0</v>
      </c>
      <c r="L126">
        <v>0</v>
      </c>
      <c r="M126">
        <v>0.24</v>
      </c>
      <c r="N126">
        <v>0</v>
      </c>
    </row>
    <row r="127" spans="1:14">
      <c r="A127">
        <v>126</v>
      </c>
      <c r="B127" t="s">
        <v>161</v>
      </c>
      <c r="C127" t="s">
        <v>161</v>
      </c>
      <c r="D127">
        <v>0.02</v>
      </c>
      <c r="E127">
        <v>0.17</v>
      </c>
      <c r="F127">
        <v>0</v>
      </c>
      <c r="G127">
        <v>0</v>
      </c>
      <c r="H127">
        <v>0.08</v>
      </c>
      <c r="I127">
        <v>0</v>
      </c>
      <c r="J127">
        <v>0.02</v>
      </c>
      <c r="K127">
        <v>0.69</v>
      </c>
      <c r="L127">
        <v>0</v>
      </c>
      <c r="M127">
        <v>0.02</v>
      </c>
      <c r="N127">
        <v>0</v>
      </c>
    </row>
    <row r="128" spans="1:14">
      <c r="A128">
        <v>127</v>
      </c>
      <c r="B128" t="s">
        <v>74</v>
      </c>
      <c r="C128" t="s">
        <v>74</v>
      </c>
      <c r="D128">
        <v>1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127</v>
      </c>
      <c r="C129" t="s">
        <v>127</v>
      </c>
      <c r="D129">
        <v>0</v>
      </c>
      <c r="E129">
        <v>0</v>
      </c>
      <c r="F129">
        <v>0.03</v>
      </c>
      <c r="G129">
        <v>0</v>
      </c>
      <c r="H129">
        <v>0.02</v>
      </c>
      <c r="I129">
        <v>0</v>
      </c>
      <c r="J129">
        <v>0</v>
      </c>
      <c r="K129">
        <v>0</v>
      </c>
      <c r="L129">
        <v>0.95</v>
      </c>
      <c r="M129">
        <v>0</v>
      </c>
      <c r="N129">
        <v>0</v>
      </c>
    </row>
    <row r="130" spans="1:14">
      <c r="A130">
        <v>129</v>
      </c>
      <c r="B130" t="s">
        <v>20</v>
      </c>
      <c r="C130" t="s">
        <v>20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</row>
    <row r="131" spans="1:14">
      <c r="A131">
        <v>130</v>
      </c>
      <c r="B131" t="s">
        <v>25</v>
      </c>
      <c r="C131" t="s">
        <v>25</v>
      </c>
      <c r="D131">
        <v>0</v>
      </c>
      <c r="E131">
        <v>0</v>
      </c>
      <c r="F131">
        <v>0</v>
      </c>
      <c r="G131">
        <v>0</v>
      </c>
      <c r="H131">
        <v>0.98</v>
      </c>
      <c r="I131">
        <v>0</v>
      </c>
      <c r="J131">
        <v>0.02</v>
      </c>
      <c r="K131">
        <v>0</v>
      </c>
      <c r="L131">
        <v>0</v>
      </c>
      <c r="M131">
        <v>0</v>
      </c>
      <c r="N131">
        <v>0</v>
      </c>
    </row>
    <row r="132" spans="1:14">
      <c r="A132">
        <v>131</v>
      </c>
      <c r="B132" t="s">
        <v>74</v>
      </c>
      <c r="C132" t="s">
        <v>74</v>
      </c>
      <c r="D132">
        <v>0.67</v>
      </c>
      <c r="E132">
        <v>0.05</v>
      </c>
      <c r="F132">
        <v>0</v>
      </c>
      <c r="G132">
        <v>0</v>
      </c>
      <c r="H132">
        <v>0.25</v>
      </c>
      <c r="I132">
        <v>0</v>
      </c>
      <c r="J132">
        <v>0</v>
      </c>
      <c r="K132">
        <v>0</v>
      </c>
      <c r="L132">
        <v>0</v>
      </c>
      <c r="M132">
        <v>0.03</v>
      </c>
      <c r="N132">
        <v>0</v>
      </c>
    </row>
    <row r="133" spans="1:14">
      <c r="A133">
        <v>132</v>
      </c>
      <c r="B133" t="s">
        <v>32</v>
      </c>
      <c r="C133" t="s">
        <v>32</v>
      </c>
      <c r="D133">
        <v>0</v>
      </c>
      <c r="E133">
        <v>0.02</v>
      </c>
      <c r="F133">
        <v>0</v>
      </c>
      <c r="G133">
        <v>0</v>
      </c>
      <c r="H133">
        <v>0</v>
      </c>
      <c r="I133">
        <v>0</v>
      </c>
      <c r="J133">
        <v>0.74</v>
      </c>
      <c r="K133">
        <v>0</v>
      </c>
      <c r="L133">
        <v>0</v>
      </c>
      <c r="M133">
        <v>0.24</v>
      </c>
      <c r="N133">
        <v>0</v>
      </c>
    </row>
    <row r="134" spans="1:14">
      <c r="A134">
        <v>133</v>
      </c>
      <c r="B134" t="s">
        <v>115</v>
      </c>
      <c r="C134" t="s">
        <v>115</v>
      </c>
      <c r="D134">
        <v>0.24</v>
      </c>
      <c r="E134">
        <v>0</v>
      </c>
      <c r="F134">
        <v>0</v>
      </c>
      <c r="G134">
        <v>0</v>
      </c>
      <c r="H134">
        <v>0.11</v>
      </c>
      <c r="I134">
        <v>0</v>
      </c>
      <c r="J134">
        <v>0.01</v>
      </c>
      <c r="K134">
        <v>0</v>
      </c>
      <c r="L134">
        <v>0</v>
      </c>
      <c r="M134">
        <v>0</v>
      </c>
      <c r="N134">
        <v>0.64</v>
      </c>
    </row>
    <row r="135" spans="1:14">
      <c r="A135">
        <v>134</v>
      </c>
      <c r="B135" t="s">
        <v>39</v>
      </c>
      <c r="C135" t="s">
        <v>39</v>
      </c>
      <c r="D135">
        <v>0</v>
      </c>
      <c r="E135">
        <v>0</v>
      </c>
      <c r="F135">
        <v>0</v>
      </c>
      <c r="G135">
        <v>0.28000000000000003</v>
      </c>
      <c r="H135">
        <v>0</v>
      </c>
      <c r="I135">
        <v>0</v>
      </c>
      <c r="J135">
        <v>0.04</v>
      </c>
      <c r="K135">
        <v>0</v>
      </c>
      <c r="L135">
        <v>0</v>
      </c>
      <c r="M135">
        <v>0.68</v>
      </c>
      <c r="N135">
        <v>0</v>
      </c>
    </row>
    <row r="136" spans="1:14">
      <c r="A136">
        <v>135</v>
      </c>
      <c r="B136" t="s">
        <v>20</v>
      </c>
      <c r="C136" t="s">
        <v>20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60</v>
      </c>
      <c r="C137" t="s">
        <v>60</v>
      </c>
      <c r="D137">
        <v>0</v>
      </c>
      <c r="E137">
        <v>0</v>
      </c>
      <c r="F137">
        <v>0.98</v>
      </c>
      <c r="G137">
        <v>0</v>
      </c>
      <c r="H137">
        <v>0.01</v>
      </c>
      <c r="I137">
        <v>0</v>
      </c>
      <c r="J137">
        <v>0</v>
      </c>
      <c r="K137">
        <v>0</v>
      </c>
      <c r="L137">
        <v>0.01</v>
      </c>
      <c r="M137">
        <v>0</v>
      </c>
      <c r="N137">
        <v>0</v>
      </c>
    </row>
    <row r="138" spans="1:14">
      <c r="A138">
        <v>137</v>
      </c>
      <c r="B138" t="s">
        <v>25</v>
      </c>
      <c r="C138" t="s">
        <v>25</v>
      </c>
      <c r="D138">
        <v>0.18</v>
      </c>
      <c r="E138">
        <v>0</v>
      </c>
      <c r="F138">
        <v>0</v>
      </c>
      <c r="G138">
        <v>0</v>
      </c>
      <c r="H138">
        <v>0.72</v>
      </c>
      <c r="I138">
        <v>0</v>
      </c>
      <c r="J138">
        <v>0.01</v>
      </c>
      <c r="K138">
        <v>0</v>
      </c>
      <c r="L138">
        <v>0</v>
      </c>
      <c r="M138">
        <v>0.01</v>
      </c>
      <c r="N138">
        <v>0.08</v>
      </c>
    </row>
    <row r="139" spans="1:14">
      <c r="A139">
        <v>138</v>
      </c>
      <c r="B139" t="s">
        <v>53</v>
      </c>
      <c r="C139" t="s">
        <v>53</v>
      </c>
      <c r="D139">
        <v>0</v>
      </c>
      <c r="E139">
        <v>0</v>
      </c>
      <c r="F139">
        <v>0</v>
      </c>
      <c r="G139">
        <v>0.8</v>
      </c>
      <c r="H139">
        <v>0</v>
      </c>
      <c r="I139">
        <v>0</v>
      </c>
      <c r="J139">
        <v>0.09</v>
      </c>
      <c r="K139">
        <v>0</v>
      </c>
      <c r="L139">
        <v>0</v>
      </c>
      <c r="M139">
        <v>0.11</v>
      </c>
      <c r="N139">
        <v>0</v>
      </c>
    </row>
    <row r="140" spans="1:14">
      <c r="A140">
        <v>139</v>
      </c>
      <c r="B140" t="s">
        <v>20</v>
      </c>
      <c r="C140" t="s">
        <v>20</v>
      </c>
      <c r="D140">
        <v>0.01</v>
      </c>
      <c r="E140">
        <v>0.68</v>
      </c>
      <c r="F140">
        <v>0</v>
      </c>
      <c r="G140">
        <v>0</v>
      </c>
      <c r="H140">
        <v>0.26</v>
      </c>
      <c r="I140">
        <v>0</v>
      </c>
      <c r="J140">
        <v>0</v>
      </c>
      <c r="K140">
        <v>0</v>
      </c>
      <c r="L140">
        <v>0</v>
      </c>
      <c r="M140">
        <v>0.02</v>
      </c>
      <c r="N140">
        <v>0.03</v>
      </c>
    </row>
    <row r="141" spans="1:14">
      <c r="A141">
        <v>140</v>
      </c>
      <c r="B141" t="s">
        <v>20</v>
      </c>
      <c r="C141" t="s">
        <v>20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>
      <c r="A142">
        <v>141</v>
      </c>
      <c r="B142" t="s">
        <v>20</v>
      </c>
      <c r="C142" t="s">
        <v>20</v>
      </c>
      <c r="D142">
        <v>0</v>
      </c>
      <c r="E142">
        <v>0.83</v>
      </c>
      <c r="F142">
        <v>0</v>
      </c>
      <c r="G142">
        <v>0</v>
      </c>
      <c r="H142">
        <v>0.06</v>
      </c>
      <c r="I142">
        <v>0</v>
      </c>
      <c r="J142">
        <v>0.02</v>
      </c>
      <c r="K142">
        <v>0.08</v>
      </c>
      <c r="L142">
        <v>0</v>
      </c>
      <c r="M142">
        <v>0.01</v>
      </c>
      <c r="N142">
        <v>0</v>
      </c>
    </row>
    <row r="143" spans="1:14">
      <c r="A143">
        <v>142</v>
      </c>
      <c r="B143" t="s">
        <v>25</v>
      </c>
      <c r="C143" t="s">
        <v>25</v>
      </c>
      <c r="D143">
        <v>0</v>
      </c>
      <c r="E143">
        <v>0</v>
      </c>
      <c r="F143">
        <v>0</v>
      </c>
      <c r="G143">
        <v>0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74</v>
      </c>
      <c r="C144" t="s">
        <v>74</v>
      </c>
      <c r="D144">
        <v>0.6</v>
      </c>
      <c r="E144">
        <v>0.02</v>
      </c>
      <c r="F144">
        <v>0</v>
      </c>
      <c r="G144">
        <v>0</v>
      </c>
      <c r="H144">
        <v>0.17</v>
      </c>
      <c r="I144">
        <v>0</v>
      </c>
      <c r="J144">
        <v>0</v>
      </c>
      <c r="K144">
        <v>0</v>
      </c>
      <c r="L144">
        <v>0</v>
      </c>
      <c r="M144">
        <v>0.21</v>
      </c>
      <c r="N144">
        <v>0</v>
      </c>
    </row>
    <row r="145" spans="1:14">
      <c r="A145">
        <v>144</v>
      </c>
      <c r="B145" t="s">
        <v>20</v>
      </c>
      <c r="C145" t="s">
        <v>20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106</v>
      </c>
      <c r="C146" t="s">
        <v>106</v>
      </c>
      <c r="D146">
        <v>0</v>
      </c>
      <c r="E146">
        <v>0</v>
      </c>
      <c r="F146">
        <v>0</v>
      </c>
      <c r="G146">
        <v>0</v>
      </c>
      <c r="H146">
        <v>0.03</v>
      </c>
      <c r="I146">
        <v>0.97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32</v>
      </c>
      <c r="C147" t="s">
        <v>32</v>
      </c>
      <c r="D147">
        <v>0.06</v>
      </c>
      <c r="E147">
        <v>0</v>
      </c>
      <c r="F147">
        <v>0</v>
      </c>
      <c r="G147">
        <v>0</v>
      </c>
      <c r="H147">
        <v>7.0000000000000007E-2</v>
      </c>
      <c r="I147">
        <v>0</v>
      </c>
      <c r="J147">
        <v>0.83</v>
      </c>
      <c r="K147">
        <v>0</v>
      </c>
      <c r="L147">
        <v>0</v>
      </c>
      <c r="M147">
        <v>0.04</v>
      </c>
      <c r="N147">
        <v>0</v>
      </c>
    </row>
    <row r="148" spans="1:14">
      <c r="A148">
        <v>147</v>
      </c>
      <c r="B148" t="s">
        <v>20</v>
      </c>
      <c r="C148" t="s">
        <v>20</v>
      </c>
      <c r="D148">
        <v>0</v>
      </c>
      <c r="E148">
        <v>1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53</v>
      </c>
      <c r="C149" t="s">
        <v>53</v>
      </c>
      <c r="D149">
        <v>0.06</v>
      </c>
      <c r="E149">
        <v>0</v>
      </c>
      <c r="F149">
        <v>0</v>
      </c>
      <c r="G149">
        <v>0.69</v>
      </c>
      <c r="H149">
        <v>0.03</v>
      </c>
      <c r="I149">
        <v>0</v>
      </c>
      <c r="J149">
        <v>0.22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53</v>
      </c>
      <c r="C150" t="s">
        <v>53</v>
      </c>
      <c r="D150">
        <v>0</v>
      </c>
      <c r="E150">
        <v>0</v>
      </c>
      <c r="F150">
        <v>0</v>
      </c>
      <c r="G150">
        <v>0.87</v>
      </c>
      <c r="H150">
        <v>0</v>
      </c>
      <c r="I150">
        <v>0</v>
      </c>
      <c r="J150">
        <v>0.1</v>
      </c>
      <c r="K150">
        <v>0</v>
      </c>
      <c r="L150">
        <v>0</v>
      </c>
      <c r="M150">
        <v>0.03</v>
      </c>
      <c r="N150">
        <v>0</v>
      </c>
    </row>
    <row r="151" spans="1:14">
      <c r="A151">
        <v>150</v>
      </c>
      <c r="B151" t="s">
        <v>32</v>
      </c>
      <c r="C151" t="s">
        <v>32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127</v>
      </c>
      <c r="C152" t="s">
        <v>127</v>
      </c>
      <c r="D152">
        <v>0</v>
      </c>
      <c r="E152">
        <v>0</v>
      </c>
      <c r="F152">
        <v>0</v>
      </c>
      <c r="G152">
        <v>0.12</v>
      </c>
      <c r="H152">
        <v>0</v>
      </c>
      <c r="I152">
        <v>0</v>
      </c>
      <c r="J152">
        <v>0</v>
      </c>
      <c r="K152">
        <v>0</v>
      </c>
      <c r="L152">
        <v>0.88</v>
      </c>
      <c r="M152">
        <v>0</v>
      </c>
      <c r="N152">
        <v>0</v>
      </c>
    </row>
    <row r="153" spans="1:14">
      <c r="A153">
        <v>152</v>
      </c>
      <c r="B153" t="s">
        <v>25</v>
      </c>
      <c r="C153" t="s">
        <v>25</v>
      </c>
      <c r="D153">
        <v>0.05</v>
      </c>
      <c r="E153">
        <v>0</v>
      </c>
      <c r="F153">
        <v>0</v>
      </c>
      <c r="G153">
        <v>0</v>
      </c>
      <c r="H153">
        <v>0.81</v>
      </c>
      <c r="I153">
        <v>0</v>
      </c>
      <c r="J153">
        <v>0.13</v>
      </c>
      <c r="K153">
        <v>0</v>
      </c>
      <c r="L153">
        <v>0</v>
      </c>
      <c r="M153">
        <v>0.01</v>
      </c>
      <c r="N153">
        <v>0</v>
      </c>
    </row>
    <row r="154" spans="1:14">
      <c r="A154">
        <v>153</v>
      </c>
      <c r="B154" t="s">
        <v>20</v>
      </c>
      <c r="C154" t="s">
        <v>20</v>
      </c>
      <c r="D154">
        <v>0</v>
      </c>
      <c r="E154">
        <v>1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127</v>
      </c>
      <c r="C155" t="s">
        <v>127</v>
      </c>
      <c r="D155">
        <v>0</v>
      </c>
      <c r="E155">
        <v>0.02</v>
      </c>
      <c r="F155">
        <v>0</v>
      </c>
      <c r="G155">
        <v>0</v>
      </c>
      <c r="H155">
        <v>0.03</v>
      </c>
      <c r="I155">
        <v>0</v>
      </c>
      <c r="J155">
        <v>0</v>
      </c>
      <c r="K155">
        <v>0</v>
      </c>
      <c r="L155">
        <v>0.95</v>
      </c>
      <c r="M155">
        <v>0</v>
      </c>
      <c r="N155">
        <v>0</v>
      </c>
    </row>
    <row r="156" spans="1:14">
      <c r="A156">
        <v>155</v>
      </c>
      <c r="B156" t="s">
        <v>39</v>
      </c>
      <c r="C156" t="s">
        <v>39</v>
      </c>
      <c r="D156">
        <v>0</v>
      </c>
      <c r="E156">
        <v>0.03</v>
      </c>
      <c r="F156">
        <v>0</v>
      </c>
      <c r="G156">
        <v>0</v>
      </c>
      <c r="H156">
        <v>7.0000000000000007E-2</v>
      </c>
      <c r="I156">
        <v>0</v>
      </c>
      <c r="J156">
        <v>0.02</v>
      </c>
      <c r="K156">
        <v>0</v>
      </c>
      <c r="L156">
        <v>0</v>
      </c>
      <c r="M156">
        <v>0.88</v>
      </c>
      <c r="N156">
        <v>0</v>
      </c>
    </row>
    <row r="157" spans="1:14">
      <c r="A157">
        <v>156</v>
      </c>
      <c r="B157" t="s">
        <v>39</v>
      </c>
      <c r="C157" t="s">
        <v>39</v>
      </c>
      <c r="D157">
        <v>0.18</v>
      </c>
      <c r="E157">
        <v>0.01</v>
      </c>
      <c r="F157">
        <v>0</v>
      </c>
      <c r="G157">
        <v>0</v>
      </c>
      <c r="H157">
        <v>0.02</v>
      </c>
      <c r="I157">
        <v>0</v>
      </c>
      <c r="J157">
        <v>0.04</v>
      </c>
      <c r="K157">
        <v>0</v>
      </c>
      <c r="L157">
        <v>0</v>
      </c>
      <c r="M157">
        <v>0.75</v>
      </c>
      <c r="N157">
        <v>0</v>
      </c>
    </row>
    <row r="158" spans="1:14">
      <c r="A158">
        <v>157</v>
      </c>
      <c r="B158" t="s">
        <v>39</v>
      </c>
      <c r="C158" t="s">
        <v>39</v>
      </c>
      <c r="D158">
        <v>0.18</v>
      </c>
      <c r="E158">
        <v>0.05</v>
      </c>
      <c r="F158">
        <v>0</v>
      </c>
      <c r="G158">
        <v>0</v>
      </c>
      <c r="H158">
        <v>0.02</v>
      </c>
      <c r="I158">
        <v>0</v>
      </c>
      <c r="J158">
        <v>0.01</v>
      </c>
      <c r="K158">
        <v>0</v>
      </c>
      <c r="L158">
        <v>0</v>
      </c>
      <c r="M158">
        <v>0.74</v>
      </c>
      <c r="N158">
        <v>0</v>
      </c>
    </row>
    <row r="159" spans="1:14">
      <c r="A159">
        <v>158</v>
      </c>
      <c r="B159" t="s">
        <v>20</v>
      </c>
      <c r="C159" t="s">
        <v>20</v>
      </c>
      <c r="D159">
        <v>0</v>
      </c>
      <c r="E159">
        <v>0.93</v>
      </c>
      <c r="F159">
        <v>0</v>
      </c>
      <c r="G159">
        <v>0</v>
      </c>
      <c r="H159">
        <v>7.0000000000000007E-2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53</v>
      </c>
      <c r="C160" t="s">
        <v>53</v>
      </c>
      <c r="D160">
        <v>0.08</v>
      </c>
      <c r="E160">
        <v>0</v>
      </c>
      <c r="F160">
        <v>0</v>
      </c>
      <c r="G160">
        <v>0.89</v>
      </c>
      <c r="H160">
        <v>0</v>
      </c>
      <c r="I160">
        <v>0</v>
      </c>
      <c r="J160">
        <v>0.01</v>
      </c>
      <c r="K160">
        <v>0</v>
      </c>
      <c r="L160">
        <v>0</v>
      </c>
      <c r="M160">
        <v>0.01</v>
      </c>
      <c r="N160">
        <v>0.01</v>
      </c>
    </row>
    <row r="161" spans="1:14">
      <c r="A161">
        <v>160</v>
      </c>
      <c r="B161" t="s">
        <v>25</v>
      </c>
      <c r="C161" t="s">
        <v>25</v>
      </c>
      <c r="D161">
        <v>0.02</v>
      </c>
      <c r="E161">
        <v>0</v>
      </c>
      <c r="F161">
        <v>0</v>
      </c>
      <c r="G161">
        <v>0</v>
      </c>
      <c r="H161">
        <v>0.73</v>
      </c>
      <c r="I161">
        <v>0</v>
      </c>
      <c r="J161">
        <v>0.17</v>
      </c>
      <c r="K161">
        <v>0</v>
      </c>
      <c r="L161">
        <v>0</v>
      </c>
      <c r="M161">
        <v>0.08</v>
      </c>
      <c r="N161">
        <v>0</v>
      </c>
    </row>
    <row r="162" spans="1:14">
      <c r="A162">
        <v>161</v>
      </c>
      <c r="B162" t="s">
        <v>106</v>
      </c>
      <c r="C162" t="s">
        <v>106</v>
      </c>
      <c r="D162">
        <v>0</v>
      </c>
      <c r="E162">
        <v>0</v>
      </c>
      <c r="F162">
        <v>0</v>
      </c>
      <c r="G162">
        <v>0.04</v>
      </c>
      <c r="H162">
        <v>0.02</v>
      </c>
      <c r="I162">
        <v>0.94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>
      <c r="A163">
        <v>162</v>
      </c>
      <c r="B163" t="s">
        <v>39</v>
      </c>
      <c r="C163" t="s">
        <v>39</v>
      </c>
      <c r="D163">
        <v>0.02</v>
      </c>
      <c r="E163">
        <v>0.01</v>
      </c>
      <c r="F163">
        <v>0</v>
      </c>
      <c r="G163">
        <v>0</v>
      </c>
      <c r="H163">
        <v>0.19</v>
      </c>
      <c r="I163">
        <v>0.01</v>
      </c>
      <c r="J163">
        <v>0.05</v>
      </c>
      <c r="K163">
        <v>0</v>
      </c>
      <c r="L163">
        <v>0</v>
      </c>
      <c r="M163">
        <v>0.72</v>
      </c>
      <c r="N163">
        <v>0</v>
      </c>
    </row>
    <row r="164" spans="1:14">
      <c r="A164">
        <v>163</v>
      </c>
      <c r="B164" t="s">
        <v>25</v>
      </c>
      <c r="C164" t="s">
        <v>25</v>
      </c>
      <c r="D164">
        <v>0</v>
      </c>
      <c r="E164">
        <v>0</v>
      </c>
      <c r="F164">
        <v>0</v>
      </c>
      <c r="G164">
        <v>0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>
      <c r="A165">
        <v>164</v>
      </c>
      <c r="B165" t="s">
        <v>115</v>
      </c>
      <c r="C165" t="s">
        <v>115</v>
      </c>
      <c r="D165">
        <v>0.01</v>
      </c>
      <c r="E165">
        <v>0.05</v>
      </c>
      <c r="F165">
        <v>0</v>
      </c>
      <c r="G165">
        <v>0</v>
      </c>
      <c r="H165">
        <v>0.04</v>
      </c>
      <c r="I165">
        <v>0</v>
      </c>
      <c r="J165">
        <v>0.02</v>
      </c>
      <c r="K165">
        <v>0</v>
      </c>
      <c r="L165">
        <v>0</v>
      </c>
      <c r="M165">
        <v>0</v>
      </c>
      <c r="N165">
        <v>0.88</v>
      </c>
    </row>
    <row r="166" spans="1:14">
      <c r="A166">
        <v>165</v>
      </c>
      <c r="B166" t="s">
        <v>53</v>
      </c>
      <c r="C166" t="s">
        <v>53</v>
      </c>
      <c r="D166">
        <v>0</v>
      </c>
      <c r="E166">
        <v>0</v>
      </c>
      <c r="F166">
        <v>0</v>
      </c>
      <c r="G166">
        <v>0.99</v>
      </c>
      <c r="H166">
        <v>0</v>
      </c>
      <c r="I166">
        <v>0</v>
      </c>
      <c r="J166">
        <v>0.01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20</v>
      </c>
      <c r="C167" t="s">
        <v>20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39</v>
      </c>
      <c r="C168" t="s">
        <v>39</v>
      </c>
      <c r="D168">
        <v>7.0000000000000007E-2</v>
      </c>
      <c r="E168">
        <v>0.01</v>
      </c>
      <c r="F168">
        <v>0</v>
      </c>
      <c r="G168">
        <v>0</v>
      </c>
      <c r="H168">
        <v>0.04</v>
      </c>
      <c r="I168">
        <v>0</v>
      </c>
      <c r="J168">
        <v>0</v>
      </c>
      <c r="K168">
        <v>0</v>
      </c>
      <c r="L168">
        <v>0</v>
      </c>
      <c r="M168">
        <v>0.88</v>
      </c>
      <c r="N168">
        <v>0</v>
      </c>
    </row>
    <row r="169" spans="1:14">
      <c r="A169">
        <v>168</v>
      </c>
      <c r="B169" t="s">
        <v>25</v>
      </c>
      <c r="C169" t="s">
        <v>25</v>
      </c>
      <c r="D169">
        <v>0</v>
      </c>
      <c r="E169">
        <v>0.02</v>
      </c>
      <c r="F169">
        <v>0</v>
      </c>
      <c r="G169">
        <v>0</v>
      </c>
      <c r="H169">
        <v>0.87</v>
      </c>
      <c r="I169">
        <v>0.1</v>
      </c>
      <c r="J169">
        <v>0</v>
      </c>
      <c r="K169">
        <v>0</v>
      </c>
      <c r="L169">
        <v>0</v>
      </c>
      <c r="M169">
        <v>0.01</v>
      </c>
      <c r="N169">
        <v>0</v>
      </c>
    </row>
    <row r="170" spans="1:14">
      <c r="A170">
        <v>169</v>
      </c>
      <c r="B170" t="s">
        <v>25</v>
      </c>
      <c r="C170" t="s">
        <v>25</v>
      </c>
      <c r="D170">
        <v>0.01</v>
      </c>
      <c r="E170">
        <v>0.02</v>
      </c>
      <c r="F170">
        <v>0</v>
      </c>
      <c r="G170">
        <v>0</v>
      </c>
      <c r="H170">
        <v>0.96</v>
      </c>
      <c r="I170">
        <v>0</v>
      </c>
      <c r="J170">
        <v>0</v>
      </c>
      <c r="K170">
        <v>0</v>
      </c>
      <c r="L170">
        <v>0</v>
      </c>
      <c r="M170">
        <v>0.01</v>
      </c>
      <c r="N170">
        <v>0</v>
      </c>
    </row>
    <row r="171" spans="1:14">
      <c r="A171">
        <v>170</v>
      </c>
      <c r="B171" t="s">
        <v>25</v>
      </c>
      <c r="C171" t="s">
        <v>25</v>
      </c>
      <c r="D171">
        <v>0</v>
      </c>
      <c r="E171">
        <v>0</v>
      </c>
      <c r="F171">
        <v>0</v>
      </c>
      <c r="G171">
        <v>0</v>
      </c>
      <c r="H171">
        <v>0.72</v>
      </c>
      <c r="I171">
        <v>0</v>
      </c>
      <c r="J171">
        <v>0.28000000000000003</v>
      </c>
      <c r="K171">
        <v>0</v>
      </c>
      <c r="L171">
        <v>0</v>
      </c>
      <c r="M171">
        <v>0</v>
      </c>
      <c r="N171">
        <v>0</v>
      </c>
    </row>
    <row r="172" spans="1:14">
      <c r="A172">
        <v>171</v>
      </c>
      <c r="B172" t="s">
        <v>25</v>
      </c>
      <c r="C172" t="s">
        <v>25</v>
      </c>
      <c r="D172">
        <v>0</v>
      </c>
      <c r="E172">
        <v>0</v>
      </c>
      <c r="F172">
        <v>0</v>
      </c>
      <c r="G172">
        <v>0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25</v>
      </c>
      <c r="C173" t="s">
        <v>25</v>
      </c>
      <c r="D173">
        <v>0.01</v>
      </c>
      <c r="E173">
        <v>0</v>
      </c>
      <c r="F173">
        <v>0</v>
      </c>
      <c r="G173">
        <v>0</v>
      </c>
      <c r="H173">
        <v>0.99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1:14">
      <c r="A174">
        <v>173</v>
      </c>
      <c r="B174" t="s">
        <v>53</v>
      </c>
      <c r="C174" t="s">
        <v>53</v>
      </c>
      <c r="D174">
        <v>0.01</v>
      </c>
      <c r="E174">
        <v>0</v>
      </c>
      <c r="F174">
        <v>0</v>
      </c>
      <c r="G174">
        <v>0.66</v>
      </c>
      <c r="H174">
        <v>0</v>
      </c>
      <c r="I174">
        <v>0</v>
      </c>
      <c r="J174">
        <v>0.25</v>
      </c>
      <c r="K174">
        <v>0</v>
      </c>
      <c r="L174">
        <v>0</v>
      </c>
      <c r="M174">
        <v>0.08</v>
      </c>
      <c r="N174">
        <v>0</v>
      </c>
    </row>
    <row r="175" spans="1:14">
      <c r="A175">
        <v>174</v>
      </c>
      <c r="B175" t="s">
        <v>20</v>
      </c>
      <c r="C175" t="s">
        <v>20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39</v>
      </c>
      <c r="C176" t="s">
        <v>39</v>
      </c>
      <c r="D176">
        <v>0.06</v>
      </c>
      <c r="E176">
        <v>0</v>
      </c>
      <c r="F176">
        <v>0</v>
      </c>
      <c r="G176">
        <v>0</v>
      </c>
      <c r="H176">
        <v>0.03</v>
      </c>
      <c r="I176">
        <v>0</v>
      </c>
      <c r="J176">
        <v>0.03</v>
      </c>
      <c r="K176">
        <v>0</v>
      </c>
      <c r="L176">
        <v>0</v>
      </c>
      <c r="M176">
        <v>0.88</v>
      </c>
      <c r="N176">
        <v>0</v>
      </c>
    </row>
    <row r="177" spans="1:14">
      <c r="A177">
        <v>176</v>
      </c>
      <c r="B177" t="s">
        <v>20</v>
      </c>
      <c r="C177" t="s">
        <v>20</v>
      </c>
      <c r="D177">
        <v>0</v>
      </c>
      <c r="E177">
        <v>0.59</v>
      </c>
      <c r="F177">
        <v>0</v>
      </c>
      <c r="G177">
        <v>0</v>
      </c>
      <c r="H177">
        <v>0.15</v>
      </c>
      <c r="I177">
        <v>0</v>
      </c>
      <c r="J177">
        <v>0.1</v>
      </c>
      <c r="K177">
        <v>0</v>
      </c>
      <c r="L177">
        <v>0</v>
      </c>
      <c r="M177">
        <v>0.08</v>
      </c>
      <c r="N177">
        <v>0.08</v>
      </c>
    </row>
    <row r="178" spans="1:14">
      <c r="A178">
        <v>177</v>
      </c>
      <c r="B178" t="s">
        <v>115</v>
      </c>
      <c r="C178" t="s">
        <v>115</v>
      </c>
      <c r="D178">
        <v>0.18</v>
      </c>
      <c r="E178">
        <v>0</v>
      </c>
      <c r="F178">
        <v>0</v>
      </c>
      <c r="G178">
        <v>0</v>
      </c>
      <c r="H178">
        <v>0.12</v>
      </c>
      <c r="I178">
        <v>0</v>
      </c>
      <c r="J178">
        <v>0.04</v>
      </c>
      <c r="K178">
        <v>0</v>
      </c>
      <c r="L178">
        <v>0</v>
      </c>
      <c r="M178">
        <v>0.02</v>
      </c>
      <c r="N178">
        <v>0.64</v>
      </c>
    </row>
    <row r="179" spans="1:14">
      <c r="A179">
        <v>178</v>
      </c>
      <c r="B179" t="s">
        <v>25</v>
      </c>
      <c r="C179" t="s">
        <v>25</v>
      </c>
      <c r="D179">
        <v>0</v>
      </c>
      <c r="E179">
        <v>0.14000000000000001</v>
      </c>
      <c r="F179">
        <v>0</v>
      </c>
      <c r="G179">
        <v>0</v>
      </c>
      <c r="H179">
        <v>0.77</v>
      </c>
      <c r="I179">
        <v>0</v>
      </c>
      <c r="J179">
        <v>0.08</v>
      </c>
      <c r="K179">
        <v>0.01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20</v>
      </c>
      <c r="C180" t="s">
        <v>20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20</v>
      </c>
      <c r="C181" t="s">
        <v>20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106</v>
      </c>
      <c r="C182" t="s">
        <v>106</v>
      </c>
      <c r="D182">
        <v>0</v>
      </c>
      <c r="E182">
        <v>0</v>
      </c>
      <c r="F182">
        <v>0</v>
      </c>
      <c r="G182">
        <v>0</v>
      </c>
      <c r="H182">
        <v>0.02</v>
      </c>
      <c r="I182">
        <v>0.98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20</v>
      </c>
      <c r="C183" t="s">
        <v>20</v>
      </c>
      <c r="D183">
        <v>0</v>
      </c>
      <c r="E183">
        <v>0.92</v>
      </c>
      <c r="F183">
        <v>0</v>
      </c>
      <c r="G183">
        <v>0</v>
      </c>
      <c r="H183">
        <v>0.02</v>
      </c>
      <c r="I183">
        <v>0</v>
      </c>
      <c r="J183">
        <v>0.06</v>
      </c>
      <c r="K183">
        <v>0</v>
      </c>
      <c r="L183">
        <v>0</v>
      </c>
      <c r="M183">
        <v>0</v>
      </c>
      <c r="N183">
        <v>0</v>
      </c>
    </row>
    <row r="184" spans="1:14">
      <c r="A184">
        <v>183</v>
      </c>
      <c r="B184" t="s">
        <v>53</v>
      </c>
      <c r="C184" t="s">
        <v>53</v>
      </c>
      <c r="D184">
        <v>0</v>
      </c>
      <c r="E184">
        <v>0</v>
      </c>
      <c r="F184">
        <v>0</v>
      </c>
      <c r="G184">
        <v>0.97</v>
      </c>
      <c r="H184">
        <v>0</v>
      </c>
      <c r="I184">
        <v>0</v>
      </c>
      <c r="J184">
        <v>0.01</v>
      </c>
      <c r="K184">
        <v>0</v>
      </c>
      <c r="L184">
        <v>0</v>
      </c>
      <c r="M184">
        <v>0.02</v>
      </c>
      <c r="N184">
        <v>0</v>
      </c>
    </row>
    <row r="185" spans="1:14">
      <c r="A185">
        <v>184</v>
      </c>
      <c r="B185" t="s">
        <v>39</v>
      </c>
      <c r="C185" t="s">
        <v>39</v>
      </c>
      <c r="D185">
        <v>0</v>
      </c>
      <c r="E185">
        <v>7.0000000000000007E-2</v>
      </c>
      <c r="F185">
        <v>0</v>
      </c>
      <c r="G185">
        <v>0</v>
      </c>
      <c r="H185">
        <v>0.13</v>
      </c>
      <c r="I185">
        <v>0</v>
      </c>
      <c r="J185">
        <v>0.08</v>
      </c>
      <c r="K185">
        <v>0</v>
      </c>
      <c r="L185">
        <v>0</v>
      </c>
      <c r="M185">
        <v>0.71</v>
      </c>
      <c r="N185">
        <v>0.01</v>
      </c>
    </row>
    <row r="186" spans="1:14">
      <c r="A186">
        <v>185</v>
      </c>
      <c r="B186" t="s">
        <v>32</v>
      </c>
      <c r="C186" t="s">
        <v>32</v>
      </c>
      <c r="D186">
        <v>0.04</v>
      </c>
      <c r="E186">
        <v>0.03</v>
      </c>
      <c r="F186">
        <v>0</v>
      </c>
      <c r="G186">
        <v>0.17</v>
      </c>
      <c r="H186">
        <v>0</v>
      </c>
      <c r="I186">
        <v>0</v>
      </c>
      <c r="J186">
        <v>0.74</v>
      </c>
      <c r="K186">
        <v>0</v>
      </c>
      <c r="L186">
        <v>0</v>
      </c>
      <c r="M186">
        <v>0.02</v>
      </c>
      <c r="N186">
        <v>0</v>
      </c>
    </row>
    <row r="187" spans="1:14">
      <c r="A187">
        <v>186</v>
      </c>
      <c r="B187" t="s">
        <v>25</v>
      </c>
      <c r="C187" t="s">
        <v>25</v>
      </c>
      <c r="D187">
        <v>7.0000000000000007E-2</v>
      </c>
      <c r="E187">
        <v>0.05</v>
      </c>
      <c r="F187">
        <v>0</v>
      </c>
      <c r="G187">
        <v>0</v>
      </c>
      <c r="H187">
        <v>0.68</v>
      </c>
      <c r="I187">
        <v>0.02</v>
      </c>
      <c r="J187">
        <v>0.16</v>
      </c>
      <c r="K187">
        <v>0</v>
      </c>
      <c r="L187">
        <v>0</v>
      </c>
      <c r="M187">
        <v>0.02</v>
      </c>
      <c r="N187">
        <v>0</v>
      </c>
    </row>
    <row r="188" spans="1:14">
      <c r="A188">
        <v>187</v>
      </c>
      <c r="B188" t="s">
        <v>39</v>
      </c>
      <c r="C188" t="s">
        <v>39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0.03</v>
      </c>
      <c r="J188">
        <v>0.16</v>
      </c>
      <c r="K188">
        <v>0</v>
      </c>
      <c r="L188">
        <v>0</v>
      </c>
      <c r="M188">
        <v>0.81</v>
      </c>
      <c r="N188">
        <v>0</v>
      </c>
    </row>
    <row r="189" spans="1:14">
      <c r="A189">
        <v>188</v>
      </c>
      <c r="B189" t="s">
        <v>39</v>
      </c>
      <c r="C189" t="s">
        <v>39</v>
      </c>
      <c r="D189">
        <v>0</v>
      </c>
      <c r="E189">
        <v>0.03</v>
      </c>
      <c r="F189">
        <v>0</v>
      </c>
      <c r="G189">
        <v>0</v>
      </c>
      <c r="H189">
        <v>0.05</v>
      </c>
      <c r="I189">
        <v>0</v>
      </c>
      <c r="J189">
        <v>0.01</v>
      </c>
      <c r="K189">
        <v>0</v>
      </c>
      <c r="L189">
        <v>0</v>
      </c>
      <c r="M189">
        <v>0.91</v>
      </c>
      <c r="N189">
        <v>0</v>
      </c>
    </row>
    <row r="190" spans="1:14">
      <c r="A190">
        <v>189</v>
      </c>
      <c r="B190" t="s">
        <v>20</v>
      </c>
      <c r="C190" t="s">
        <v>20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20</v>
      </c>
      <c r="C191" t="s">
        <v>20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25</v>
      </c>
      <c r="C192" t="s">
        <v>25</v>
      </c>
      <c r="D192">
        <v>0</v>
      </c>
      <c r="E192">
        <v>0.03</v>
      </c>
      <c r="F192">
        <v>0</v>
      </c>
      <c r="G192">
        <v>0</v>
      </c>
      <c r="H192">
        <v>0.68</v>
      </c>
      <c r="I192">
        <v>0.03</v>
      </c>
      <c r="J192">
        <v>0</v>
      </c>
      <c r="K192">
        <v>0</v>
      </c>
      <c r="L192">
        <v>0</v>
      </c>
      <c r="M192">
        <v>0.26</v>
      </c>
      <c r="N192">
        <v>0</v>
      </c>
    </row>
    <row r="193" spans="1:14">
      <c r="A193">
        <v>192</v>
      </c>
      <c r="B193" t="s">
        <v>39</v>
      </c>
      <c r="C193" t="s">
        <v>39</v>
      </c>
      <c r="D193">
        <v>0</v>
      </c>
      <c r="E193">
        <v>0.01</v>
      </c>
      <c r="F193">
        <v>0</v>
      </c>
      <c r="G193">
        <v>0</v>
      </c>
      <c r="H193">
        <v>0.23</v>
      </c>
      <c r="I193">
        <v>0</v>
      </c>
      <c r="J193">
        <v>0.09</v>
      </c>
      <c r="K193">
        <v>0</v>
      </c>
      <c r="L193">
        <v>0</v>
      </c>
      <c r="M193">
        <v>0.67</v>
      </c>
      <c r="N193">
        <v>0</v>
      </c>
    </row>
    <row r="194" spans="1:14">
      <c r="A194">
        <v>193</v>
      </c>
      <c r="B194" t="s">
        <v>39</v>
      </c>
      <c r="C194" t="s">
        <v>39</v>
      </c>
      <c r="D194">
        <v>0.03</v>
      </c>
      <c r="E194">
        <v>0.01</v>
      </c>
      <c r="F194">
        <v>0</v>
      </c>
      <c r="G194">
        <v>0</v>
      </c>
      <c r="H194">
        <v>0.05</v>
      </c>
      <c r="I194">
        <v>0</v>
      </c>
      <c r="J194">
        <v>0</v>
      </c>
      <c r="K194">
        <v>0</v>
      </c>
      <c r="L194">
        <v>0</v>
      </c>
      <c r="M194">
        <v>0.91</v>
      </c>
      <c r="N194">
        <v>0</v>
      </c>
    </row>
    <row r="195" spans="1:14">
      <c r="A195">
        <v>194</v>
      </c>
      <c r="B195" t="s">
        <v>25</v>
      </c>
      <c r="C195" t="s">
        <v>25</v>
      </c>
      <c r="D195">
        <v>0.04</v>
      </c>
      <c r="E195">
        <v>0.01</v>
      </c>
      <c r="F195">
        <v>0</v>
      </c>
      <c r="G195">
        <v>0</v>
      </c>
      <c r="H195">
        <v>0.7</v>
      </c>
      <c r="I195">
        <v>0</v>
      </c>
      <c r="J195">
        <v>0.13</v>
      </c>
      <c r="K195">
        <v>0</v>
      </c>
      <c r="L195">
        <v>0</v>
      </c>
      <c r="M195">
        <v>0.12</v>
      </c>
      <c r="N195">
        <v>0</v>
      </c>
    </row>
    <row r="196" spans="1:14">
      <c r="A196">
        <v>195</v>
      </c>
      <c r="B196" t="s">
        <v>20</v>
      </c>
      <c r="C196" t="s">
        <v>20</v>
      </c>
      <c r="D196">
        <v>0.14000000000000001</v>
      </c>
      <c r="E196">
        <v>0.86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>
      <c r="A197">
        <v>196</v>
      </c>
      <c r="B197" t="s">
        <v>20</v>
      </c>
      <c r="C197" t="s">
        <v>20</v>
      </c>
      <c r="D197">
        <v>0.01</v>
      </c>
      <c r="E197">
        <v>0.99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>
      <c r="A198">
        <v>197</v>
      </c>
      <c r="B198" t="s">
        <v>39</v>
      </c>
      <c r="C198" t="s">
        <v>39</v>
      </c>
      <c r="D198">
        <v>0</v>
      </c>
      <c r="E198">
        <v>0</v>
      </c>
      <c r="F198">
        <v>0</v>
      </c>
      <c r="G198">
        <v>0</v>
      </c>
      <c r="H198">
        <v>0.25</v>
      </c>
      <c r="I198">
        <v>0.02</v>
      </c>
      <c r="J198">
        <v>0</v>
      </c>
      <c r="K198">
        <v>0</v>
      </c>
      <c r="L198">
        <v>0</v>
      </c>
      <c r="M198">
        <v>0.73</v>
      </c>
      <c r="N198">
        <v>0</v>
      </c>
    </row>
    <row r="199" spans="1:14">
      <c r="A199">
        <v>198</v>
      </c>
      <c r="B199" t="s">
        <v>32</v>
      </c>
      <c r="C199" t="s">
        <v>32</v>
      </c>
      <c r="D199">
        <v>0.02</v>
      </c>
      <c r="E199">
        <v>0.24</v>
      </c>
      <c r="F199">
        <v>0</v>
      </c>
      <c r="G199">
        <v>0</v>
      </c>
      <c r="H199">
        <v>0.06</v>
      </c>
      <c r="I199">
        <v>0</v>
      </c>
      <c r="J199">
        <v>0.63</v>
      </c>
      <c r="K199">
        <v>0</v>
      </c>
      <c r="L199">
        <v>0</v>
      </c>
      <c r="M199">
        <v>0.05</v>
      </c>
      <c r="N199">
        <v>0</v>
      </c>
    </row>
    <row r="200" spans="1:14">
      <c r="A200">
        <v>199</v>
      </c>
      <c r="B200" t="s">
        <v>32</v>
      </c>
      <c r="C200" t="s">
        <v>32</v>
      </c>
      <c r="D200">
        <v>0</v>
      </c>
      <c r="E200">
        <v>0.03</v>
      </c>
      <c r="F200">
        <v>0</v>
      </c>
      <c r="G200">
        <v>0</v>
      </c>
      <c r="H200">
        <v>7.0000000000000007E-2</v>
      </c>
      <c r="I200">
        <v>0.01</v>
      </c>
      <c r="J200">
        <v>0.72</v>
      </c>
      <c r="K200">
        <v>0</v>
      </c>
      <c r="L200">
        <v>0</v>
      </c>
      <c r="M200">
        <v>0.16</v>
      </c>
      <c r="N200">
        <v>0.01</v>
      </c>
    </row>
    <row r="201" spans="1:14">
      <c r="A201">
        <v>200</v>
      </c>
      <c r="B201" t="s">
        <v>20</v>
      </c>
      <c r="C201" t="s">
        <v>20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>
      <c r="A202">
        <v>201</v>
      </c>
      <c r="B202" t="s">
        <v>20</v>
      </c>
      <c r="C202" t="s">
        <v>20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53</v>
      </c>
      <c r="C203" t="s">
        <v>53</v>
      </c>
      <c r="D203">
        <v>0</v>
      </c>
      <c r="E203">
        <v>0</v>
      </c>
      <c r="F203">
        <v>0</v>
      </c>
      <c r="G203">
        <v>0.99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0.01</v>
      </c>
      <c r="N203">
        <v>0</v>
      </c>
    </row>
    <row r="204" spans="1:14">
      <c r="A204">
        <v>203</v>
      </c>
      <c r="B204" t="s">
        <v>32</v>
      </c>
      <c r="C204" t="s">
        <v>32</v>
      </c>
      <c r="D204">
        <v>0</v>
      </c>
      <c r="E204">
        <v>0.02</v>
      </c>
      <c r="F204">
        <v>0</v>
      </c>
      <c r="G204">
        <v>0</v>
      </c>
      <c r="H204">
        <v>0.02</v>
      </c>
      <c r="I204">
        <v>0</v>
      </c>
      <c r="J204">
        <v>0.96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20</v>
      </c>
      <c r="C205" t="s">
        <v>20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14">
      <c r="A206">
        <v>205</v>
      </c>
      <c r="B206" t="s">
        <v>20</v>
      </c>
      <c r="C206" t="s">
        <v>20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25</v>
      </c>
      <c r="C207" t="s">
        <v>25</v>
      </c>
      <c r="D207">
        <v>0.11</v>
      </c>
      <c r="E207">
        <v>0</v>
      </c>
      <c r="F207">
        <v>0</v>
      </c>
      <c r="G207">
        <v>0.17</v>
      </c>
      <c r="H207">
        <v>0.72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>
      <c r="A208">
        <v>207</v>
      </c>
      <c r="B208" t="s">
        <v>25</v>
      </c>
      <c r="C208" t="s">
        <v>25</v>
      </c>
      <c r="D208">
        <v>0.08</v>
      </c>
      <c r="E208">
        <v>0.02</v>
      </c>
      <c r="F208">
        <v>0</v>
      </c>
      <c r="G208">
        <v>0</v>
      </c>
      <c r="H208">
        <v>0.77</v>
      </c>
      <c r="I208">
        <v>0</v>
      </c>
      <c r="J208">
        <v>0.04</v>
      </c>
      <c r="K208">
        <v>0</v>
      </c>
      <c r="L208">
        <v>0</v>
      </c>
      <c r="M208">
        <v>0.09</v>
      </c>
      <c r="N208">
        <v>0</v>
      </c>
    </row>
    <row r="209" spans="1:14">
      <c r="A209">
        <v>208</v>
      </c>
      <c r="B209" t="s">
        <v>25</v>
      </c>
      <c r="C209" t="s">
        <v>25</v>
      </c>
      <c r="D209">
        <v>0.02</v>
      </c>
      <c r="E209">
        <v>0</v>
      </c>
      <c r="F209">
        <v>0</v>
      </c>
      <c r="G209">
        <v>0</v>
      </c>
      <c r="H209">
        <v>0.92</v>
      </c>
      <c r="I209">
        <v>0</v>
      </c>
      <c r="J209">
        <v>0.03</v>
      </c>
      <c r="K209">
        <v>0</v>
      </c>
      <c r="L209">
        <v>0</v>
      </c>
      <c r="M209">
        <v>0.03</v>
      </c>
      <c r="N209">
        <v>0</v>
      </c>
    </row>
    <row r="210" spans="1:14">
      <c r="A210">
        <v>209</v>
      </c>
      <c r="B210" t="s">
        <v>32</v>
      </c>
      <c r="C210" t="s">
        <v>32</v>
      </c>
      <c r="D210">
        <v>0</v>
      </c>
      <c r="E210">
        <v>0</v>
      </c>
      <c r="F210">
        <v>0</v>
      </c>
      <c r="G210">
        <v>0</v>
      </c>
      <c r="H210">
        <v>0.06</v>
      </c>
      <c r="I210">
        <v>0.01</v>
      </c>
      <c r="J210">
        <v>0.93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25</v>
      </c>
      <c r="C211" t="s">
        <v>25</v>
      </c>
      <c r="D211">
        <v>0.01</v>
      </c>
      <c r="E211">
        <v>0</v>
      </c>
      <c r="F211">
        <v>0</v>
      </c>
      <c r="G211">
        <v>0</v>
      </c>
      <c r="H211">
        <v>0.96</v>
      </c>
      <c r="I211">
        <v>0</v>
      </c>
      <c r="J211">
        <v>0</v>
      </c>
      <c r="K211">
        <v>0</v>
      </c>
      <c r="L211">
        <v>0</v>
      </c>
      <c r="M211">
        <v>0.03</v>
      </c>
      <c r="N211">
        <v>0</v>
      </c>
    </row>
    <row r="212" spans="1:14">
      <c r="A212">
        <v>211</v>
      </c>
      <c r="B212" t="s">
        <v>20</v>
      </c>
      <c r="C212" t="s">
        <v>20</v>
      </c>
      <c r="D212">
        <v>0</v>
      </c>
      <c r="E212">
        <v>0.98</v>
      </c>
      <c r="F212">
        <v>0</v>
      </c>
      <c r="G212">
        <v>0</v>
      </c>
      <c r="H212">
        <v>0.02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>
      <c r="A213">
        <v>212</v>
      </c>
      <c r="B213" t="s">
        <v>25</v>
      </c>
      <c r="C213" t="s">
        <v>25</v>
      </c>
      <c r="D213">
        <v>0</v>
      </c>
      <c r="E213">
        <v>0</v>
      </c>
      <c r="F213">
        <v>0</v>
      </c>
      <c r="G213">
        <v>0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115</v>
      </c>
      <c r="C214" t="s">
        <v>115</v>
      </c>
      <c r="D214">
        <v>0.08</v>
      </c>
      <c r="E214">
        <v>0</v>
      </c>
      <c r="F214">
        <v>0</v>
      </c>
      <c r="G214">
        <v>7.0000000000000007E-2</v>
      </c>
      <c r="H214">
        <v>0</v>
      </c>
      <c r="I214">
        <v>0</v>
      </c>
      <c r="J214">
        <v>0.35</v>
      </c>
      <c r="K214">
        <v>0</v>
      </c>
      <c r="L214">
        <v>0</v>
      </c>
      <c r="M214">
        <v>0</v>
      </c>
      <c r="N214">
        <v>0.5</v>
      </c>
    </row>
    <row r="215" spans="1:14">
      <c r="A215">
        <v>214</v>
      </c>
      <c r="B215" t="s">
        <v>25</v>
      </c>
      <c r="C215" t="s">
        <v>25</v>
      </c>
      <c r="D215">
        <v>0.05</v>
      </c>
      <c r="E215">
        <v>0</v>
      </c>
      <c r="F215">
        <v>0</v>
      </c>
      <c r="G215">
        <v>0</v>
      </c>
      <c r="H215">
        <v>0.8</v>
      </c>
      <c r="I215">
        <v>0</v>
      </c>
      <c r="J215">
        <v>0.01</v>
      </c>
      <c r="K215">
        <v>0</v>
      </c>
      <c r="L215">
        <v>0</v>
      </c>
      <c r="M215">
        <v>0.06</v>
      </c>
      <c r="N215">
        <v>0.08</v>
      </c>
    </row>
    <row r="216" spans="1:14">
      <c r="A216">
        <v>215</v>
      </c>
      <c r="B216" t="s">
        <v>39</v>
      </c>
      <c r="C216" t="s">
        <v>39</v>
      </c>
      <c r="D216">
        <v>0.18</v>
      </c>
      <c r="E216">
        <v>0</v>
      </c>
      <c r="F216">
        <v>0</v>
      </c>
      <c r="G216">
        <v>0</v>
      </c>
      <c r="H216">
        <v>0.09</v>
      </c>
      <c r="I216">
        <v>0</v>
      </c>
      <c r="J216">
        <v>0.01</v>
      </c>
      <c r="K216">
        <v>0</v>
      </c>
      <c r="L216">
        <v>0</v>
      </c>
      <c r="M216">
        <v>0.72</v>
      </c>
      <c r="N216">
        <v>0</v>
      </c>
    </row>
    <row r="217" spans="1:14">
      <c r="A217">
        <v>216</v>
      </c>
      <c r="B217" t="s">
        <v>25</v>
      </c>
      <c r="C217" t="s">
        <v>25</v>
      </c>
      <c r="D217">
        <v>0</v>
      </c>
      <c r="E217">
        <v>0.09</v>
      </c>
      <c r="F217">
        <v>0</v>
      </c>
      <c r="G217">
        <v>0</v>
      </c>
      <c r="H217">
        <v>0.75</v>
      </c>
      <c r="I217">
        <v>0</v>
      </c>
      <c r="J217">
        <v>0</v>
      </c>
      <c r="K217">
        <v>0.04</v>
      </c>
      <c r="L217">
        <v>0</v>
      </c>
      <c r="M217">
        <v>0.11</v>
      </c>
      <c r="N217">
        <v>0.01</v>
      </c>
    </row>
    <row r="218" spans="1:14">
      <c r="A218">
        <v>217</v>
      </c>
      <c r="B218" t="s">
        <v>74</v>
      </c>
      <c r="C218" t="s">
        <v>74</v>
      </c>
      <c r="D218">
        <v>0.97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0.02</v>
      </c>
      <c r="K218">
        <v>0</v>
      </c>
      <c r="L218">
        <v>0</v>
      </c>
      <c r="M218">
        <v>0.01</v>
      </c>
      <c r="N218">
        <v>0</v>
      </c>
    </row>
    <row r="219" spans="1:14">
      <c r="A219">
        <v>218</v>
      </c>
      <c r="B219" t="s">
        <v>39</v>
      </c>
      <c r="C219" t="s">
        <v>39</v>
      </c>
      <c r="D219">
        <v>0.09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0.27</v>
      </c>
      <c r="K219">
        <v>0</v>
      </c>
      <c r="L219">
        <v>0</v>
      </c>
      <c r="M219">
        <v>0.64</v>
      </c>
      <c r="N219">
        <v>0</v>
      </c>
    </row>
    <row r="220" spans="1:14">
      <c r="A220">
        <v>219</v>
      </c>
      <c r="B220" t="s">
        <v>32</v>
      </c>
      <c r="C220" t="s">
        <v>32</v>
      </c>
      <c r="D220">
        <v>0</v>
      </c>
      <c r="E220">
        <v>0.22</v>
      </c>
      <c r="F220">
        <v>0</v>
      </c>
      <c r="G220">
        <v>0</v>
      </c>
      <c r="H220">
        <v>0.05</v>
      </c>
      <c r="I220">
        <v>0</v>
      </c>
      <c r="J220">
        <v>0.73</v>
      </c>
      <c r="K220">
        <v>0</v>
      </c>
      <c r="L220">
        <v>0</v>
      </c>
      <c r="M220">
        <v>0</v>
      </c>
      <c r="N220">
        <v>0</v>
      </c>
    </row>
    <row r="221" spans="1:14">
      <c r="A221">
        <v>220</v>
      </c>
      <c r="B221" t="s">
        <v>39</v>
      </c>
      <c r="C221" t="s">
        <v>39</v>
      </c>
      <c r="D221">
        <v>0.06</v>
      </c>
      <c r="E221">
        <v>0</v>
      </c>
      <c r="F221">
        <v>0.02</v>
      </c>
      <c r="G221">
        <v>0</v>
      </c>
      <c r="H221">
        <v>0.01</v>
      </c>
      <c r="I221">
        <v>0</v>
      </c>
      <c r="J221">
        <v>0</v>
      </c>
      <c r="K221">
        <v>0</v>
      </c>
      <c r="L221">
        <v>0</v>
      </c>
      <c r="M221">
        <v>0.91</v>
      </c>
      <c r="N221">
        <v>0</v>
      </c>
    </row>
    <row r="222" spans="1:14">
      <c r="A222">
        <v>221</v>
      </c>
      <c r="B222" t="s">
        <v>39</v>
      </c>
      <c r="C222" t="s">
        <v>39</v>
      </c>
      <c r="D222">
        <v>7.0000000000000007E-2</v>
      </c>
      <c r="E222">
        <v>0</v>
      </c>
      <c r="F222">
        <v>0</v>
      </c>
      <c r="G222">
        <v>0</v>
      </c>
      <c r="H222">
        <v>0.08</v>
      </c>
      <c r="I222">
        <v>0</v>
      </c>
      <c r="J222">
        <v>0.02</v>
      </c>
      <c r="K222">
        <v>0</v>
      </c>
      <c r="L222">
        <v>0</v>
      </c>
      <c r="M222">
        <v>0.83</v>
      </c>
      <c r="N222">
        <v>0</v>
      </c>
    </row>
    <row r="223" spans="1:14">
      <c r="A223">
        <v>222</v>
      </c>
      <c r="B223" t="s">
        <v>127</v>
      </c>
      <c r="C223" t="s">
        <v>127</v>
      </c>
      <c r="D223">
        <v>0</v>
      </c>
      <c r="E223">
        <v>0</v>
      </c>
      <c r="F223">
        <v>0.02</v>
      </c>
      <c r="G223">
        <v>0</v>
      </c>
      <c r="H223">
        <v>0.02</v>
      </c>
      <c r="I223">
        <v>0</v>
      </c>
      <c r="J223">
        <v>0</v>
      </c>
      <c r="K223">
        <v>0</v>
      </c>
      <c r="L223">
        <v>0.96</v>
      </c>
      <c r="M223">
        <v>0</v>
      </c>
      <c r="N223">
        <v>0</v>
      </c>
    </row>
    <row r="224" spans="1:14">
      <c r="A224">
        <v>223</v>
      </c>
      <c r="B224" t="s">
        <v>25</v>
      </c>
      <c r="C224" t="s">
        <v>25</v>
      </c>
      <c r="D224">
        <v>0</v>
      </c>
      <c r="E224">
        <v>0.04</v>
      </c>
      <c r="F224">
        <v>0</v>
      </c>
      <c r="G224">
        <v>0</v>
      </c>
      <c r="H224">
        <v>0.96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20</v>
      </c>
      <c r="C225" t="s">
        <v>20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>
      <c r="A226">
        <v>225</v>
      </c>
      <c r="B226" t="s">
        <v>53</v>
      </c>
      <c r="C226" t="s">
        <v>53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>
      <c r="A227">
        <v>226</v>
      </c>
      <c r="B227" t="s">
        <v>20</v>
      </c>
      <c r="C227" t="s">
        <v>20</v>
      </c>
      <c r="D227">
        <v>0</v>
      </c>
      <c r="E227">
        <v>0.97</v>
      </c>
      <c r="F227">
        <v>0.01</v>
      </c>
      <c r="G227">
        <v>0</v>
      </c>
      <c r="H227">
        <v>0.01</v>
      </c>
      <c r="I227">
        <v>0.01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14">
      <c r="A228">
        <v>227</v>
      </c>
      <c r="B228" t="s">
        <v>127</v>
      </c>
      <c r="C228" t="s">
        <v>127</v>
      </c>
      <c r="D228">
        <v>0</v>
      </c>
      <c r="E228">
        <v>0</v>
      </c>
      <c r="F228">
        <v>0</v>
      </c>
      <c r="G228">
        <v>0</v>
      </c>
      <c r="H228">
        <v>0.01</v>
      </c>
      <c r="I228">
        <v>0</v>
      </c>
      <c r="J228">
        <v>0</v>
      </c>
      <c r="K228">
        <v>0</v>
      </c>
      <c r="L228">
        <v>0.99</v>
      </c>
      <c r="M228">
        <v>0</v>
      </c>
      <c r="N228">
        <v>0</v>
      </c>
    </row>
    <row r="229" spans="1:14">
      <c r="A229">
        <v>228</v>
      </c>
      <c r="B229" t="s">
        <v>127</v>
      </c>
      <c r="C229" t="s">
        <v>127</v>
      </c>
      <c r="D229">
        <v>0</v>
      </c>
      <c r="E229">
        <v>0</v>
      </c>
      <c r="F229">
        <v>0</v>
      </c>
      <c r="G229">
        <v>0</v>
      </c>
      <c r="H229">
        <v>0.01</v>
      </c>
      <c r="I229">
        <v>0</v>
      </c>
      <c r="J229">
        <v>0.02</v>
      </c>
      <c r="K229">
        <v>0</v>
      </c>
      <c r="L229">
        <v>0.97</v>
      </c>
      <c r="M229">
        <v>0</v>
      </c>
      <c r="N229">
        <v>0</v>
      </c>
    </row>
    <row r="230" spans="1:14">
      <c r="A230">
        <v>229</v>
      </c>
      <c r="B230" t="s">
        <v>53</v>
      </c>
      <c r="C230" t="s">
        <v>53</v>
      </c>
      <c r="D230">
        <v>0</v>
      </c>
      <c r="E230">
        <v>0</v>
      </c>
      <c r="F230">
        <v>0</v>
      </c>
      <c r="G230">
        <v>0.71</v>
      </c>
      <c r="H230">
        <v>0</v>
      </c>
      <c r="I230">
        <v>0</v>
      </c>
      <c r="J230">
        <v>0</v>
      </c>
      <c r="K230">
        <v>0</v>
      </c>
      <c r="L230">
        <v>0.28999999999999998</v>
      </c>
      <c r="M230">
        <v>0</v>
      </c>
      <c r="N230">
        <v>0</v>
      </c>
    </row>
    <row r="231" spans="1:14">
      <c r="A231">
        <v>230</v>
      </c>
      <c r="B231" t="s">
        <v>20</v>
      </c>
      <c r="C231" t="s">
        <v>20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>
      <c r="A232">
        <v>231</v>
      </c>
      <c r="B232" t="s">
        <v>20</v>
      </c>
      <c r="C232" t="s">
        <v>20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25</v>
      </c>
      <c r="C233" t="s">
        <v>25</v>
      </c>
      <c r="D233">
        <v>0</v>
      </c>
      <c r="E233">
        <v>0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32</v>
      </c>
      <c r="C234" t="s">
        <v>32</v>
      </c>
      <c r="D234">
        <v>0.01</v>
      </c>
      <c r="E234">
        <v>0.1</v>
      </c>
      <c r="F234">
        <v>0</v>
      </c>
      <c r="G234">
        <v>0</v>
      </c>
      <c r="H234">
        <v>0.14000000000000001</v>
      </c>
      <c r="I234">
        <v>0</v>
      </c>
      <c r="J234">
        <v>0.7</v>
      </c>
      <c r="K234">
        <v>0</v>
      </c>
      <c r="L234">
        <v>0</v>
      </c>
      <c r="M234">
        <v>0.05</v>
      </c>
      <c r="N234">
        <v>0</v>
      </c>
    </row>
    <row r="235" spans="1:14">
      <c r="A235">
        <v>234</v>
      </c>
      <c r="B235" t="s">
        <v>20</v>
      </c>
      <c r="C235" t="s">
        <v>20</v>
      </c>
      <c r="D235">
        <v>0</v>
      </c>
      <c r="E235">
        <v>0.83</v>
      </c>
      <c r="F235">
        <v>0</v>
      </c>
      <c r="G235">
        <v>0.11</v>
      </c>
      <c r="H235">
        <v>0.03</v>
      </c>
      <c r="I235">
        <v>0</v>
      </c>
      <c r="J235">
        <v>0</v>
      </c>
      <c r="K235">
        <v>0</v>
      </c>
      <c r="L235">
        <v>0</v>
      </c>
      <c r="M235">
        <v>0.03</v>
      </c>
      <c r="N235">
        <v>0</v>
      </c>
    </row>
    <row r="236" spans="1:14">
      <c r="A236">
        <v>235</v>
      </c>
      <c r="B236" t="s">
        <v>115</v>
      </c>
      <c r="C236" t="s">
        <v>115</v>
      </c>
      <c r="D236">
        <v>0</v>
      </c>
      <c r="E236">
        <v>0.03</v>
      </c>
      <c r="F236">
        <v>0</v>
      </c>
      <c r="G236">
        <v>0</v>
      </c>
      <c r="H236">
        <v>0.17</v>
      </c>
      <c r="I236">
        <v>0</v>
      </c>
      <c r="J236">
        <v>0.03</v>
      </c>
      <c r="K236">
        <v>0</v>
      </c>
      <c r="L236">
        <v>0</v>
      </c>
      <c r="M236">
        <v>0.05</v>
      </c>
      <c r="N236">
        <v>0.72</v>
      </c>
    </row>
    <row r="237" spans="1:14">
      <c r="A237">
        <v>236</v>
      </c>
      <c r="B237" t="s">
        <v>127</v>
      </c>
      <c r="C237" t="s">
        <v>127</v>
      </c>
      <c r="D237">
        <v>0</v>
      </c>
      <c r="E237">
        <v>0.01</v>
      </c>
      <c r="F237">
        <v>0</v>
      </c>
      <c r="G237">
        <v>0</v>
      </c>
      <c r="H237">
        <v>0.01</v>
      </c>
      <c r="I237">
        <v>0</v>
      </c>
      <c r="J237">
        <v>0</v>
      </c>
      <c r="K237">
        <v>0</v>
      </c>
      <c r="L237">
        <v>0.98</v>
      </c>
      <c r="M237">
        <v>0</v>
      </c>
      <c r="N237">
        <v>0</v>
      </c>
    </row>
    <row r="238" spans="1:14">
      <c r="A238">
        <v>237</v>
      </c>
      <c r="B238" t="s">
        <v>53</v>
      </c>
      <c r="C238" t="s">
        <v>53</v>
      </c>
      <c r="D238">
        <v>0</v>
      </c>
      <c r="E238">
        <v>0</v>
      </c>
      <c r="F238">
        <v>0</v>
      </c>
      <c r="G238">
        <v>0.96</v>
      </c>
      <c r="H238">
        <v>0</v>
      </c>
      <c r="I238">
        <v>0</v>
      </c>
      <c r="J238">
        <v>0.02</v>
      </c>
      <c r="K238">
        <v>0</v>
      </c>
      <c r="L238">
        <v>0</v>
      </c>
      <c r="M238">
        <v>0.02</v>
      </c>
      <c r="N238">
        <v>0</v>
      </c>
    </row>
    <row r="239" spans="1:14">
      <c r="A239">
        <v>238</v>
      </c>
      <c r="B239" t="s">
        <v>25</v>
      </c>
      <c r="C239" t="s">
        <v>25</v>
      </c>
      <c r="D239">
        <v>0</v>
      </c>
      <c r="E239">
        <v>0</v>
      </c>
      <c r="F239">
        <v>0</v>
      </c>
      <c r="G239">
        <v>0</v>
      </c>
      <c r="H239">
        <v>0.87</v>
      </c>
      <c r="I239">
        <v>0</v>
      </c>
      <c r="J239">
        <v>0.08</v>
      </c>
      <c r="K239">
        <v>0</v>
      </c>
      <c r="L239">
        <v>0</v>
      </c>
      <c r="M239">
        <v>0.05</v>
      </c>
      <c r="N239">
        <v>0</v>
      </c>
    </row>
    <row r="240" spans="1:14">
      <c r="A240">
        <v>239</v>
      </c>
      <c r="B240" t="s">
        <v>25</v>
      </c>
      <c r="C240" t="s">
        <v>25</v>
      </c>
      <c r="D240">
        <v>0.05</v>
      </c>
      <c r="E240">
        <v>0.03</v>
      </c>
      <c r="F240">
        <v>0.01</v>
      </c>
      <c r="G240">
        <v>0</v>
      </c>
      <c r="H240">
        <v>0.88</v>
      </c>
      <c r="I240">
        <v>0</v>
      </c>
      <c r="J240">
        <v>0</v>
      </c>
      <c r="K240">
        <v>0</v>
      </c>
      <c r="L240">
        <v>0.03</v>
      </c>
      <c r="M240">
        <v>0</v>
      </c>
      <c r="N240">
        <v>0</v>
      </c>
    </row>
    <row r="241" spans="1:14">
      <c r="A241">
        <v>240</v>
      </c>
      <c r="B241" t="s">
        <v>32</v>
      </c>
      <c r="C241" t="s">
        <v>32</v>
      </c>
      <c r="D241">
        <v>0</v>
      </c>
      <c r="E241">
        <v>0.02</v>
      </c>
      <c r="F241">
        <v>0</v>
      </c>
      <c r="G241">
        <v>0</v>
      </c>
      <c r="H241">
        <v>0.01</v>
      </c>
      <c r="I241">
        <v>0</v>
      </c>
      <c r="J241">
        <v>0.93</v>
      </c>
      <c r="K241">
        <v>0</v>
      </c>
      <c r="L241">
        <v>0</v>
      </c>
      <c r="M241">
        <v>0.04</v>
      </c>
      <c r="N241">
        <v>0</v>
      </c>
    </row>
    <row r="242" spans="1:14">
      <c r="A242">
        <v>241</v>
      </c>
      <c r="B242" t="s">
        <v>39</v>
      </c>
      <c r="C242" t="s">
        <v>39</v>
      </c>
      <c r="D242">
        <v>0.08</v>
      </c>
      <c r="E242">
        <v>0.03</v>
      </c>
      <c r="F242">
        <v>0</v>
      </c>
      <c r="G242">
        <v>0</v>
      </c>
      <c r="H242">
        <v>0.1</v>
      </c>
      <c r="I242">
        <v>0</v>
      </c>
      <c r="J242">
        <v>0.04</v>
      </c>
      <c r="K242">
        <v>0</v>
      </c>
      <c r="L242">
        <v>0</v>
      </c>
      <c r="M242">
        <v>0.75</v>
      </c>
      <c r="N242">
        <v>0</v>
      </c>
    </row>
    <row r="243" spans="1:14">
      <c r="A243">
        <v>242</v>
      </c>
      <c r="B243" t="s">
        <v>74</v>
      </c>
      <c r="C243" t="s">
        <v>74</v>
      </c>
      <c r="D243">
        <v>0.64</v>
      </c>
      <c r="E243">
        <v>0</v>
      </c>
      <c r="F243">
        <v>0</v>
      </c>
      <c r="G243">
        <v>0</v>
      </c>
      <c r="H243">
        <v>7.0000000000000007E-2</v>
      </c>
      <c r="I243">
        <v>0</v>
      </c>
      <c r="J243">
        <v>0.28000000000000003</v>
      </c>
      <c r="K243">
        <v>0</v>
      </c>
      <c r="L243">
        <v>0</v>
      </c>
      <c r="M243">
        <v>0.01</v>
      </c>
      <c r="N243">
        <v>0</v>
      </c>
    </row>
    <row r="244" spans="1:14">
      <c r="A244">
        <v>243</v>
      </c>
      <c r="B244" t="s">
        <v>74</v>
      </c>
      <c r="C244" t="s">
        <v>74</v>
      </c>
      <c r="D244">
        <v>0.94</v>
      </c>
      <c r="E244">
        <v>0</v>
      </c>
      <c r="F244">
        <v>0</v>
      </c>
      <c r="G244">
        <v>0</v>
      </c>
      <c r="H244">
        <v>0.01</v>
      </c>
      <c r="I244">
        <v>0</v>
      </c>
      <c r="J244">
        <v>0.02</v>
      </c>
      <c r="K244">
        <v>0</v>
      </c>
      <c r="L244">
        <v>0</v>
      </c>
      <c r="M244">
        <v>0.03</v>
      </c>
      <c r="N244">
        <v>0</v>
      </c>
    </row>
    <row r="245" spans="1:14">
      <c r="A245">
        <v>244</v>
      </c>
      <c r="B245" t="s">
        <v>32</v>
      </c>
      <c r="C245" t="s">
        <v>32</v>
      </c>
      <c r="D245">
        <v>0</v>
      </c>
      <c r="E245">
        <v>0</v>
      </c>
      <c r="F245">
        <v>0</v>
      </c>
      <c r="G245">
        <v>0</v>
      </c>
      <c r="H245">
        <v>0.02</v>
      </c>
      <c r="I245">
        <v>0</v>
      </c>
      <c r="J245">
        <v>0.91</v>
      </c>
      <c r="K245">
        <v>0</v>
      </c>
      <c r="L245">
        <v>0</v>
      </c>
      <c r="M245">
        <v>7.0000000000000007E-2</v>
      </c>
      <c r="N245">
        <v>0</v>
      </c>
    </row>
    <row r="246" spans="1:14">
      <c r="A246">
        <v>245</v>
      </c>
      <c r="B246" t="s">
        <v>20</v>
      </c>
      <c r="C246" t="s">
        <v>20</v>
      </c>
      <c r="D246">
        <v>0</v>
      </c>
      <c r="E246">
        <v>1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>
      <c r="A247">
        <v>246</v>
      </c>
      <c r="B247" t="s">
        <v>20</v>
      </c>
      <c r="C247" t="s">
        <v>20</v>
      </c>
      <c r="D247">
        <v>0.01</v>
      </c>
      <c r="E247">
        <v>0.99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>
      <c r="A248">
        <v>247</v>
      </c>
      <c r="B248" t="s">
        <v>25</v>
      </c>
      <c r="C248" t="s">
        <v>25</v>
      </c>
      <c r="D248">
        <v>0</v>
      </c>
      <c r="E248">
        <v>0</v>
      </c>
      <c r="F248">
        <v>0</v>
      </c>
      <c r="G248">
        <v>0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>
      <c r="A249">
        <v>248</v>
      </c>
      <c r="B249" t="s">
        <v>25</v>
      </c>
      <c r="C249" t="s">
        <v>25</v>
      </c>
      <c r="D249">
        <v>0.09</v>
      </c>
      <c r="E249">
        <v>0</v>
      </c>
      <c r="F249">
        <v>0</v>
      </c>
      <c r="G249">
        <v>0.01</v>
      </c>
      <c r="H249">
        <v>0.9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>
      <c r="A250">
        <v>249</v>
      </c>
      <c r="B250" t="s">
        <v>39</v>
      </c>
      <c r="C250" t="s">
        <v>39</v>
      </c>
      <c r="D250">
        <v>0</v>
      </c>
      <c r="E250">
        <v>0.01</v>
      </c>
      <c r="F250">
        <v>0</v>
      </c>
      <c r="G250">
        <v>0</v>
      </c>
      <c r="H250">
        <v>0.13</v>
      </c>
      <c r="I250">
        <v>0</v>
      </c>
      <c r="J250">
        <v>0.08</v>
      </c>
      <c r="K250">
        <v>0</v>
      </c>
      <c r="L250">
        <v>0</v>
      </c>
      <c r="M250">
        <v>0.78</v>
      </c>
      <c r="N250">
        <v>0</v>
      </c>
    </row>
    <row r="251" spans="1:14">
      <c r="A251">
        <v>250</v>
      </c>
      <c r="B251" t="s">
        <v>20</v>
      </c>
      <c r="C251" t="s">
        <v>20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20</v>
      </c>
      <c r="C252" t="s">
        <v>20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25</v>
      </c>
      <c r="C253" t="s">
        <v>25</v>
      </c>
      <c r="D253">
        <v>0</v>
      </c>
      <c r="E253">
        <v>0</v>
      </c>
      <c r="F253">
        <v>0</v>
      </c>
      <c r="G253">
        <v>0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25</v>
      </c>
      <c r="C254" t="s">
        <v>25</v>
      </c>
      <c r="D254">
        <v>0</v>
      </c>
      <c r="E254">
        <v>0</v>
      </c>
      <c r="F254">
        <v>0</v>
      </c>
      <c r="G254">
        <v>0</v>
      </c>
      <c r="H254">
        <v>0.96</v>
      </c>
      <c r="I254">
        <v>0.01</v>
      </c>
      <c r="J254">
        <v>0</v>
      </c>
      <c r="K254">
        <v>0</v>
      </c>
      <c r="L254">
        <v>0</v>
      </c>
      <c r="M254">
        <v>0.03</v>
      </c>
      <c r="N254">
        <v>0</v>
      </c>
    </row>
    <row r="255" spans="1:14">
      <c r="A255">
        <v>254</v>
      </c>
      <c r="B255" t="s">
        <v>32</v>
      </c>
      <c r="C255" t="s">
        <v>32</v>
      </c>
      <c r="D255">
        <v>0</v>
      </c>
      <c r="E255">
        <v>0.02</v>
      </c>
      <c r="F255">
        <v>0</v>
      </c>
      <c r="G255">
        <v>0</v>
      </c>
      <c r="H255">
        <v>0.01</v>
      </c>
      <c r="I255">
        <v>0</v>
      </c>
      <c r="J255">
        <v>0.93</v>
      </c>
      <c r="K255">
        <v>0</v>
      </c>
      <c r="L255">
        <v>0</v>
      </c>
      <c r="M255">
        <v>0.04</v>
      </c>
      <c r="N255">
        <v>0</v>
      </c>
    </row>
    <row r="256" spans="1:14">
      <c r="A256">
        <v>255</v>
      </c>
      <c r="B256" t="s">
        <v>39</v>
      </c>
      <c r="C256" t="s">
        <v>39</v>
      </c>
      <c r="D256">
        <v>0.04</v>
      </c>
      <c r="E256">
        <v>0.25</v>
      </c>
      <c r="F256">
        <v>0</v>
      </c>
      <c r="G256">
        <v>0</v>
      </c>
      <c r="H256">
        <v>0.05</v>
      </c>
      <c r="I256">
        <v>0</v>
      </c>
      <c r="J256">
        <v>0</v>
      </c>
      <c r="K256">
        <v>0</v>
      </c>
      <c r="L256">
        <v>0</v>
      </c>
      <c r="M256">
        <v>0.66</v>
      </c>
      <c r="N256">
        <v>0</v>
      </c>
    </row>
    <row r="257" spans="1:14">
      <c r="A257">
        <v>256</v>
      </c>
      <c r="B257" t="s">
        <v>25</v>
      </c>
      <c r="C257" t="s">
        <v>25</v>
      </c>
      <c r="D257">
        <v>0.03</v>
      </c>
      <c r="E257">
        <v>0.02</v>
      </c>
      <c r="F257">
        <v>0</v>
      </c>
      <c r="G257">
        <v>0</v>
      </c>
      <c r="H257">
        <v>0.88</v>
      </c>
      <c r="I257">
        <v>0</v>
      </c>
      <c r="J257">
        <v>0.06</v>
      </c>
      <c r="K257">
        <v>0</v>
      </c>
      <c r="L257">
        <v>0</v>
      </c>
      <c r="M257">
        <v>0.01</v>
      </c>
      <c r="N257">
        <v>0</v>
      </c>
    </row>
    <row r="258" spans="1:14">
      <c r="A258">
        <v>257</v>
      </c>
      <c r="B258" t="s">
        <v>32</v>
      </c>
      <c r="C258" t="s">
        <v>32</v>
      </c>
      <c r="D258">
        <v>0</v>
      </c>
      <c r="E258">
        <v>0</v>
      </c>
      <c r="F258">
        <v>0</v>
      </c>
      <c r="G258">
        <v>0.33</v>
      </c>
      <c r="H258">
        <v>0</v>
      </c>
      <c r="I258">
        <v>0</v>
      </c>
      <c r="J258">
        <v>0.67</v>
      </c>
      <c r="K258">
        <v>0</v>
      </c>
      <c r="L258">
        <v>0</v>
      </c>
      <c r="M258">
        <v>0</v>
      </c>
      <c r="N258">
        <v>0</v>
      </c>
    </row>
    <row r="259" spans="1:14">
      <c r="A259">
        <v>258</v>
      </c>
      <c r="B259" t="s">
        <v>20</v>
      </c>
      <c r="C259" t="s">
        <v>20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>
      <c r="A260">
        <v>259</v>
      </c>
      <c r="B260" t="s">
        <v>25</v>
      </c>
      <c r="C260" t="s">
        <v>25</v>
      </c>
      <c r="D260">
        <v>0</v>
      </c>
      <c r="E260">
        <v>0.01</v>
      </c>
      <c r="F260">
        <v>0</v>
      </c>
      <c r="G260">
        <v>0</v>
      </c>
      <c r="H260">
        <v>0.73</v>
      </c>
      <c r="I260">
        <v>0.01</v>
      </c>
      <c r="J260">
        <v>0.19</v>
      </c>
      <c r="K260">
        <v>0</v>
      </c>
      <c r="L260">
        <v>0</v>
      </c>
      <c r="M260">
        <v>0.06</v>
      </c>
      <c r="N260">
        <v>0</v>
      </c>
    </row>
    <row r="261" spans="1:14">
      <c r="A261">
        <v>260</v>
      </c>
      <c r="B261" t="s">
        <v>39</v>
      </c>
      <c r="C261" t="s">
        <v>39</v>
      </c>
      <c r="D261">
        <v>0</v>
      </c>
      <c r="E261">
        <v>0.01</v>
      </c>
      <c r="F261">
        <v>0</v>
      </c>
      <c r="G261">
        <v>0</v>
      </c>
      <c r="H261">
        <v>0.28000000000000003</v>
      </c>
      <c r="I261">
        <v>0</v>
      </c>
      <c r="J261">
        <v>0.03</v>
      </c>
      <c r="K261">
        <v>0</v>
      </c>
      <c r="L261">
        <v>0</v>
      </c>
      <c r="M261">
        <v>0.68</v>
      </c>
      <c r="N261">
        <v>0</v>
      </c>
    </row>
    <row r="262" spans="1:14">
      <c r="A262">
        <v>261</v>
      </c>
      <c r="B262" t="s">
        <v>20</v>
      </c>
      <c r="C262" t="s">
        <v>20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>
      <c r="A263">
        <v>262</v>
      </c>
      <c r="B263" t="s">
        <v>25</v>
      </c>
      <c r="C263" t="s">
        <v>25</v>
      </c>
      <c r="D263">
        <v>0</v>
      </c>
      <c r="E263">
        <v>0</v>
      </c>
      <c r="F263">
        <v>0</v>
      </c>
      <c r="G263">
        <v>0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25</v>
      </c>
      <c r="C264" t="s">
        <v>25</v>
      </c>
      <c r="D264">
        <v>0</v>
      </c>
      <c r="E264">
        <v>0</v>
      </c>
      <c r="F264">
        <v>0</v>
      </c>
      <c r="G264">
        <v>0.02</v>
      </c>
      <c r="H264">
        <v>0.9</v>
      </c>
      <c r="I264">
        <v>0</v>
      </c>
      <c r="J264">
        <v>7.0000000000000007E-2</v>
      </c>
      <c r="K264">
        <v>0</v>
      </c>
      <c r="L264">
        <v>0</v>
      </c>
      <c r="M264">
        <v>0.01</v>
      </c>
      <c r="N264">
        <v>0</v>
      </c>
    </row>
    <row r="265" spans="1:14">
      <c r="A265">
        <v>264</v>
      </c>
      <c r="B265" t="s">
        <v>32</v>
      </c>
      <c r="C265" t="s">
        <v>32</v>
      </c>
      <c r="D265">
        <v>0.36</v>
      </c>
      <c r="E265">
        <v>0</v>
      </c>
      <c r="F265">
        <v>0</v>
      </c>
      <c r="G265">
        <v>0.03</v>
      </c>
      <c r="H265">
        <v>0</v>
      </c>
      <c r="I265">
        <v>0</v>
      </c>
      <c r="J265">
        <v>0.6</v>
      </c>
      <c r="K265">
        <v>0</v>
      </c>
      <c r="L265">
        <v>0</v>
      </c>
      <c r="M265">
        <v>0</v>
      </c>
      <c r="N265">
        <v>0.01</v>
      </c>
    </row>
    <row r="266" spans="1:14">
      <c r="A266">
        <v>265</v>
      </c>
      <c r="B266" t="s">
        <v>25</v>
      </c>
      <c r="C266" t="s">
        <v>25</v>
      </c>
      <c r="D266">
        <v>0</v>
      </c>
      <c r="E266">
        <v>0</v>
      </c>
      <c r="F266">
        <v>0</v>
      </c>
      <c r="G266">
        <v>0</v>
      </c>
      <c r="H266">
        <v>0.96</v>
      </c>
      <c r="I266">
        <v>0</v>
      </c>
      <c r="J266">
        <v>0.03</v>
      </c>
      <c r="K266">
        <v>0</v>
      </c>
      <c r="L266">
        <v>0</v>
      </c>
      <c r="M266">
        <v>0.01</v>
      </c>
      <c r="N266">
        <v>0</v>
      </c>
    </row>
    <row r="267" spans="1:14">
      <c r="A267">
        <v>266</v>
      </c>
      <c r="B267" t="s">
        <v>39</v>
      </c>
      <c r="C267" t="s">
        <v>39</v>
      </c>
      <c r="D267">
        <v>0.01</v>
      </c>
      <c r="E267">
        <v>0.02</v>
      </c>
      <c r="F267">
        <v>0</v>
      </c>
      <c r="G267">
        <v>0</v>
      </c>
      <c r="H267">
        <v>0.13</v>
      </c>
      <c r="I267">
        <v>0</v>
      </c>
      <c r="J267">
        <v>0.01</v>
      </c>
      <c r="K267">
        <v>0</v>
      </c>
      <c r="L267">
        <v>0</v>
      </c>
      <c r="M267">
        <v>0.83</v>
      </c>
      <c r="N267">
        <v>0</v>
      </c>
    </row>
    <row r="268" spans="1:14">
      <c r="A268">
        <v>267</v>
      </c>
      <c r="B268" t="s">
        <v>74</v>
      </c>
      <c r="C268" t="s">
        <v>74</v>
      </c>
      <c r="D268">
        <v>0.74</v>
      </c>
      <c r="E268">
        <v>0</v>
      </c>
      <c r="F268">
        <v>0</v>
      </c>
      <c r="G268">
        <v>0</v>
      </c>
      <c r="H268">
        <v>0.05</v>
      </c>
      <c r="I268">
        <v>0</v>
      </c>
      <c r="J268">
        <v>0.05</v>
      </c>
      <c r="K268">
        <v>0</v>
      </c>
      <c r="L268">
        <v>0</v>
      </c>
      <c r="M268">
        <v>0.16</v>
      </c>
      <c r="N268">
        <v>0</v>
      </c>
    </row>
    <row r="269" spans="1:14">
      <c r="A269">
        <v>268</v>
      </c>
      <c r="B269" t="s">
        <v>39</v>
      </c>
      <c r="C269" t="s">
        <v>39</v>
      </c>
      <c r="D269">
        <v>0.02</v>
      </c>
      <c r="E269">
        <v>0</v>
      </c>
      <c r="F269">
        <v>0</v>
      </c>
      <c r="G269">
        <v>0</v>
      </c>
      <c r="H269">
        <v>0.02</v>
      </c>
      <c r="I269">
        <v>0</v>
      </c>
      <c r="J269">
        <v>0.05</v>
      </c>
      <c r="K269">
        <v>0</v>
      </c>
      <c r="L269">
        <v>0</v>
      </c>
      <c r="M269">
        <v>0.91</v>
      </c>
      <c r="N269">
        <v>0</v>
      </c>
    </row>
    <row r="270" spans="1:14">
      <c r="A270">
        <v>269</v>
      </c>
      <c r="B270" t="s">
        <v>20</v>
      </c>
      <c r="C270" t="s">
        <v>20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>
      <c r="A271">
        <v>270</v>
      </c>
      <c r="B271" t="s">
        <v>53</v>
      </c>
      <c r="C271" t="s">
        <v>53</v>
      </c>
      <c r="D271">
        <v>0</v>
      </c>
      <c r="E271">
        <v>0</v>
      </c>
      <c r="F271">
        <v>0</v>
      </c>
      <c r="G271">
        <v>0.96</v>
      </c>
      <c r="H271">
        <v>0</v>
      </c>
      <c r="I271">
        <v>0</v>
      </c>
      <c r="J271">
        <v>0.03</v>
      </c>
      <c r="K271">
        <v>0</v>
      </c>
      <c r="L271">
        <v>0</v>
      </c>
      <c r="M271">
        <v>0.01</v>
      </c>
      <c r="N271">
        <v>0</v>
      </c>
    </row>
    <row r="272" spans="1:14">
      <c r="A272">
        <v>271</v>
      </c>
      <c r="B272" t="s">
        <v>25</v>
      </c>
      <c r="C272" t="s">
        <v>25</v>
      </c>
      <c r="D272">
        <v>0</v>
      </c>
      <c r="E272">
        <v>0</v>
      </c>
      <c r="F272">
        <v>0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25</v>
      </c>
      <c r="C273" t="s">
        <v>25</v>
      </c>
      <c r="D273">
        <v>0.03</v>
      </c>
      <c r="E273">
        <v>0</v>
      </c>
      <c r="F273">
        <v>0</v>
      </c>
      <c r="G273">
        <v>0</v>
      </c>
      <c r="H273">
        <v>0.72</v>
      </c>
      <c r="I273">
        <v>0</v>
      </c>
      <c r="J273">
        <v>0.22</v>
      </c>
      <c r="K273">
        <v>0</v>
      </c>
      <c r="L273">
        <v>0</v>
      </c>
      <c r="M273">
        <v>0.01</v>
      </c>
      <c r="N273">
        <v>0.02</v>
      </c>
    </row>
    <row r="274" spans="1:14">
      <c r="A274">
        <v>273</v>
      </c>
      <c r="B274" t="s">
        <v>115</v>
      </c>
      <c r="C274" t="s">
        <v>115</v>
      </c>
      <c r="D274">
        <v>0.21</v>
      </c>
      <c r="E274">
        <v>0</v>
      </c>
      <c r="F274">
        <v>0</v>
      </c>
      <c r="G274">
        <v>0</v>
      </c>
      <c r="H274">
        <v>0.11</v>
      </c>
      <c r="I274">
        <v>0</v>
      </c>
      <c r="J274">
        <v>0.02</v>
      </c>
      <c r="K274">
        <v>0</v>
      </c>
      <c r="L274">
        <v>0</v>
      </c>
      <c r="M274">
        <v>0.02</v>
      </c>
      <c r="N274">
        <v>0.64</v>
      </c>
    </row>
    <row r="275" spans="1:14">
      <c r="A275">
        <v>274</v>
      </c>
      <c r="B275" t="s">
        <v>20</v>
      </c>
      <c r="C275" t="s">
        <v>20</v>
      </c>
      <c r="D275">
        <v>0</v>
      </c>
      <c r="E275">
        <v>0.92</v>
      </c>
      <c r="F275">
        <v>0</v>
      </c>
      <c r="G275">
        <v>0</v>
      </c>
      <c r="H275">
        <v>0.08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>
      <c r="A276">
        <v>275</v>
      </c>
      <c r="B276" t="s">
        <v>53</v>
      </c>
      <c r="C276" t="s">
        <v>53</v>
      </c>
      <c r="D276">
        <v>0.02</v>
      </c>
      <c r="E276">
        <v>0</v>
      </c>
      <c r="F276">
        <v>0</v>
      </c>
      <c r="G276">
        <v>0.88</v>
      </c>
      <c r="H276">
        <v>0</v>
      </c>
      <c r="I276">
        <v>0</v>
      </c>
      <c r="J276">
        <v>0.03</v>
      </c>
      <c r="K276">
        <v>0</v>
      </c>
      <c r="L276">
        <v>0</v>
      </c>
      <c r="M276">
        <v>7.0000000000000007E-2</v>
      </c>
      <c r="N276">
        <v>0</v>
      </c>
    </row>
    <row r="277" spans="1:14">
      <c r="A277">
        <v>276</v>
      </c>
      <c r="B277" t="s">
        <v>20</v>
      </c>
      <c r="C277" t="s">
        <v>20</v>
      </c>
      <c r="D277">
        <v>0</v>
      </c>
      <c r="E277">
        <v>1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>
      <c r="A278">
        <v>277</v>
      </c>
      <c r="B278" t="s">
        <v>32</v>
      </c>
      <c r="C278" t="s">
        <v>32</v>
      </c>
      <c r="D278">
        <v>0</v>
      </c>
      <c r="E278">
        <v>0</v>
      </c>
      <c r="F278">
        <v>0</v>
      </c>
      <c r="G278">
        <v>0</v>
      </c>
      <c r="H278">
        <v>0.01</v>
      </c>
      <c r="I278">
        <v>0</v>
      </c>
      <c r="J278">
        <v>0.98</v>
      </c>
      <c r="K278">
        <v>0.01</v>
      </c>
      <c r="L278">
        <v>0</v>
      </c>
      <c r="M278">
        <v>0</v>
      </c>
      <c r="N278">
        <v>0</v>
      </c>
    </row>
    <row r="279" spans="1:14">
      <c r="A279">
        <v>278</v>
      </c>
      <c r="B279" t="s">
        <v>60</v>
      </c>
      <c r="C279" t="s">
        <v>60</v>
      </c>
      <c r="D279">
        <v>0</v>
      </c>
      <c r="E279">
        <v>0</v>
      </c>
      <c r="F279">
        <v>1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>
      <c r="A280">
        <v>279</v>
      </c>
      <c r="B280" t="s">
        <v>25</v>
      </c>
      <c r="C280" t="s">
        <v>25</v>
      </c>
      <c r="D280">
        <v>0.03</v>
      </c>
      <c r="E280">
        <v>0</v>
      </c>
      <c r="F280">
        <v>0</v>
      </c>
      <c r="G280">
        <v>0</v>
      </c>
      <c r="H280">
        <v>0.88</v>
      </c>
      <c r="I280">
        <v>0</v>
      </c>
      <c r="J280">
        <v>0</v>
      </c>
      <c r="K280">
        <v>0</v>
      </c>
      <c r="L280">
        <v>0</v>
      </c>
      <c r="M280">
        <v>0.09</v>
      </c>
      <c r="N280">
        <v>0</v>
      </c>
    </row>
    <row r="281" spans="1:14">
      <c r="A281">
        <v>280</v>
      </c>
      <c r="B281" t="s">
        <v>20</v>
      </c>
      <c r="C281" t="s">
        <v>20</v>
      </c>
      <c r="D281">
        <v>0</v>
      </c>
      <c r="E281">
        <v>0.98</v>
      </c>
      <c r="F281">
        <v>0</v>
      </c>
      <c r="G281">
        <v>0</v>
      </c>
      <c r="H281">
        <v>0.02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39</v>
      </c>
      <c r="C282" t="s">
        <v>39</v>
      </c>
      <c r="D282">
        <v>0.01</v>
      </c>
      <c r="E282">
        <v>0</v>
      </c>
      <c r="F282">
        <v>0</v>
      </c>
      <c r="G282">
        <v>0.23</v>
      </c>
      <c r="H282">
        <v>0.01</v>
      </c>
      <c r="I282">
        <v>0</v>
      </c>
      <c r="J282">
        <v>0.21</v>
      </c>
      <c r="K282">
        <v>0</v>
      </c>
      <c r="L282">
        <v>0</v>
      </c>
      <c r="M282">
        <v>0.54</v>
      </c>
      <c r="N282">
        <v>0</v>
      </c>
    </row>
    <row r="283" spans="1:14">
      <c r="A283">
        <v>282</v>
      </c>
      <c r="B283" t="s">
        <v>25</v>
      </c>
      <c r="C283" t="s">
        <v>25</v>
      </c>
      <c r="D283">
        <v>0</v>
      </c>
      <c r="E283">
        <v>0</v>
      </c>
      <c r="F283">
        <v>0</v>
      </c>
      <c r="G283">
        <v>0</v>
      </c>
      <c r="H283">
        <v>0.97</v>
      </c>
      <c r="I283">
        <v>0</v>
      </c>
      <c r="J283">
        <v>0</v>
      </c>
      <c r="K283">
        <v>0</v>
      </c>
      <c r="L283">
        <v>0</v>
      </c>
      <c r="M283">
        <v>0.03</v>
      </c>
      <c r="N283">
        <v>0</v>
      </c>
    </row>
    <row r="284" spans="1:14">
      <c r="A284">
        <v>283</v>
      </c>
      <c r="B284" t="s">
        <v>53</v>
      </c>
      <c r="C284" t="s">
        <v>53</v>
      </c>
      <c r="D284">
        <v>0</v>
      </c>
      <c r="E284">
        <v>0</v>
      </c>
      <c r="F284">
        <v>0</v>
      </c>
      <c r="G284">
        <v>0.86</v>
      </c>
      <c r="H284">
        <v>0</v>
      </c>
      <c r="I284">
        <v>0</v>
      </c>
      <c r="J284">
        <v>0.1</v>
      </c>
      <c r="K284">
        <v>0</v>
      </c>
      <c r="L284">
        <v>0</v>
      </c>
      <c r="M284">
        <v>0.04</v>
      </c>
      <c r="N284">
        <v>0</v>
      </c>
    </row>
    <row r="285" spans="1:14">
      <c r="A285">
        <v>284</v>
      </c>
      <c r="B285" t="s">
        <v>25</v>
      </c>
      <c r="C285" t="s">
        <v>25</v>
      </c>
      <c r="D285">
        <v>0</v>
      </c>
      <c r="E285">
        <v>0</v>
      </c>
      <c r="F285">
        <v>0</v>
      </c>
      <c r="G285">
        <v>0</v>
      </c>
      <c r="H285">
        <v>0.98</v>
      </c>
      <c r="I285">
        <v>0</v>
      </c>
      <c r="J285">
        <v>0.01</v>
      </c>
      <c r="K285">
        <v>0</v>
      </c>
      <c r="L285">
        <v>0</v>
      </c>
      <c r="M285">
        <v>0.01</v>
      </c>
      <c r="N285">
        <v>0</v>
      </c>
    </row>
    <row r="286" spans="1:14">
      <c r="A286">
        <v>285</v>
      </c>
      <c r="B286" t="s">
        <v>39</v>
      </c>
      <c r="C286" t="s">
        <v>39</v>
      </c>
      <c r="D286">
        <v>0.01</v>
      </c>
      <c r="E286">
        <v>0.02</v>
      </c>
      <c r="F286">
        <v>0</v>
      </c>
      <c r="G286">
        <v>0</v>
      </c>
      <c r="H286">
        <v>0.11</v>
      </c>
      <c r="I286">
        <v>0</v>
      </c>
      <c r="J286">
        <v>0.2</v>
      </c>
      <c r="K286">
        <v>0</v>
      </c>
      <c r="L286">
        <v>0</v>
      </c>
      <c r="M286">
        <v>0.66</v>
      </c>
      <c r="N286">
        <v>0</v>
      </c>
    </row>
    <row r="287" spans="1:14">
      <c r="A287">
        <v>286</v>
      </c>
      <c r="B287" t="s">
        <v>25</v>
      </c>
      <c r="C287" t="s">
        <v>25</v>
      </c>
      <c r="D287">
        <v>0</v>
      </c>
      <c r="E287">
        <v>0</v>
      </c>
      <c r="F287">
        <v>0</v>
      </c>
      <c r="G287">
        <v>0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25</v>
      </c>
      <c r="C288" t="s">
        <v>25</v>
      </c>
      <c r="D288">
        <v>0</v>
      </c>
      <c r="E288">
        <v>0</v>
      </c>
      <c r="F288">
        <v>0</v>
      </c>
      <c r="G288">
        <v>0</v>
      </c>
      <c r="H288">
        <v>0.97</v>
      </c>
      <c r="I288">
        <v>0</v>
      </c>
      <c r="J288">
        <v>0.01</v>
      </c>
      <c r="K288">
        <v>0</v>
      </c>
      <c r="L288">
        <v>0</v>
      </c>
      <c r="M288">
        <v>0.02</v>
      </c>
      <c r="N288">
        <v>0</v>
      </c>
    </row>
    <row r="289" spans="1:14">
      <c r="A289">
        <v>288</v>
      </c>
      <c r="B289" t="s">
        <v>106</v>
      </c>
      <c r="C289" t="s">
        <v>106</v>
      </c>
      <c r="D289">
        <v>0</v>
      </c>
      <c r="E289">
        <v>0</v>
      </c>
      <c r="F289">
        <v>0</v>
      </c>
      <c r="G289">
        <v>0</v>
      </c>
      <c r="H289">
        <v>0.02</v>
      </c>
      <c r="I289">
        <v>0.98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>
      <c r="A290">
        <v>289</v>
      </c>
      <c r="B290" t="s">
        <v>53</v>
      </c>
      <c r="C290" t="s">
        <v>53</v>
      </c>
      <c r="D290">
        <v>0.03</v>
      </c>
      <c r="E290">
        <v>0</v>
      </c>
      <c r="F290">
        <v>0</v>
      </c>
      <c r="G290">
        <v>0.88</v>
      </c>
      <c r="H290">
        <v>0.05</v>
      </c>
      <c r="I290">
        <v>0</v>
      </c>
      <c r="J290">
        <v>0.01</v>
      </c>
      <c r="K290">
        <v>0</v>
      </c>
      <c r="L290">
        <v>0</v>
      </c>
      <c r="M290">
        <v>0.03</v>
      </c>
      <c r="N290">
        <v>0</v>
      </c>
    </row>
    <row r="291" spans="1:14">
      <c r="A291">
        <v>290</v>
      </c>
      <c r="B291" t="s">
        <v>20</v>
      </c>
      <c r="C291" t="s">
        <v>20</v>
      </c>
      <c r="D291">
        <v>0.01</v>
      </c>
      <c r="E291">
        <v>0.67</v>
      </c>
      <c r="F291">
        <v>0</v>
      </c>
      <c r="G291">
        <v>0</v>
      </c>
      <c r="H291">
        <v>0.23</v>
      </c>
      <c r="I291">
        <v>0</v>
      </c>
      <c r="J291">
        <v>0.09</v>
      </c>
      <c r="K291">
        <v>0</v>
      </c>
      <c r="L291">
        <v>0</v>
      </c>
      <c r="M291">
        <v>0</v>
      </c>
      <c r="N291">
        <v>0</v>
      </c>
    </row>
    <row r="292" spans="1:14">
      <c r="A292">
        <v>291</v>
      </c>
      <c r="B292" t="s">
        <v>20</v>
      </c>
      <c r="C292" t="s">
        <v>20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>
      <c r="A293">
        <v>292</v>
      </c>
      <c r="B293" t="s">
        <v>74</v>
      </c>
      <c r="C293" t="s">
        <v>74</v>
      </c>
      <c r="D293">
        <v>1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106</v>
      </c>
      <c r="C294" t="s">
        <v>106</v>
      </c>
      <c r="D294">
        <v>0</v>
      </c>
      <c r="E294">
        <v>0.24</v>
      </c>
      <c r="F294">
        <v>0</v>
      </c>
      <c r="G294">
        <v>0</v>
      </c>
      <c r="H294">
        <v>0.12</v>
      </c>
      <c r="I294">
        <v>0.62</v>
      </c>
      <c r="J294">
        <v>0</v>
      </c>
      <c r="K294">
        <v>0</v>
      </c>
      <c r="L294">
        <v>0</v>
      </c>
      <c r="M294">
        <v>0.02</v>
      </c>
      <c r="N294">
        <v>0</v>
      </c>
    </row>
    <row r="295" spans="1:14">
      <c r="A295">
        <v>294</v>
      </c>
      <c r="B295" t="s">
        <v>74</v>
      </c>
      <c r="C295" t="s">
        <v>74</v>
      </c>
      <c r="D295">
        <v>0.86</v>
      </c>
      <c r="E295">
        <v>0</v>
      </c>
      <c r="F295">
        <v>0</v>
      </c>
      <c r="G295">
        <v>0.02</v>
      </c>
      <c r="H295">
        <v>0.04</v>
      </c>
      <c r="I295">
        <v>0</v>
      </c>
      <c r="J295">
        <v>0.04</v>
      </c>
      <c r="K295">
        <v>0</v>
      </c>
      <c r="L295">
        <v>0.04</v>
      </c>
      <c r="M295">
        <v>0</v>
      </c>
      <c r="N295">
        <v>0</v>
      </c>
    </row>
    <row r="296" spans="1:14">
      <c r="A296">
        <v>295</v>
      </c>
      <c r="B296" t="s">
        <v>20</v>
      </c>
      <c r="C296" t="s">
        <v>20</v>
      </c>
      <c r="D296">
        <v>0</v>
      </c>
      <c r="E296">
        <v>0.93</v>
      </c>
      <c r="F296">
        <v>0</v>
      </c>
      <c r="G296">
        <v>0.01</v>
      </c>
      <c r="H296">
        <v>0.06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32</v>
      </c>
      <c r="C297" t="s">
        <v>32</v>
      </c>
      <c r="D297">
        <v>0</v>
      </c>
      <c r="E297">
        <v>0</v>
      </c>
      <c r="F297">
        <v>0</v>
      </c>
      <c r="G297">
        <v>0</v>
      </c>
      <c r="H297">
        <v>0.01</v>
      </c>
      <c r="I297">
        <v>0</v>
      </c>
      <c r="J297">
        <v>0.96</v>
      </c>
      <c r="K297">
        <v>0</v>
      </c>
      <c r="L297">
        <v>0</v>
      </c>
      <c r="M297">
        <v>0.03</v>
      </c>
      <c r="N297">
        <v>0</v>
      </c>
    </row>
    <row r="298" spans="1:14">
      <c r="A298">
        <v>297</v>
      </c>
      <c r="B298" t="s">
        <v>25</v>
      </c>
      <c r="C298" t="s">
        <v>25</v>
      </c>
      <c r="D298">
        <v>0</v>
      </c>
      <c r="E298">
        <v>0</v>
      </c>
      <c r="F298">
        <v>0</v>
      </c>
      <c r="G298">
        <v>0</v>
      </c>
      <c r="H298">
        <v>0.99</v>
      </c>
      <c r="I298">
        <v>0</v>
      </c>
      <c r="J298">
        <v>0.01</v>
      </c>
      <c r="K298">
        <v>0</v>
      </c>
      <c r="L298">
        <v>0</v>
      </c>
      <c r="M298">
        <v>0</v>
      </c>
      <c r="N298">
        <v>0</v>
      </c>
    </row>
    <row r="299" spans="1:14">
      <c r="A299">
        <v>298</v>
      </c>
      <c r="B299" t="s">
        <v>20</v>
      </c>
      <c r="C299" t="s">
        <v>20</v>
      </c>
      <c r="D299">
        <v>0</v>
      </c>
      <c r="E299">
        <v>1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1:14">
      <c r="A300">
        <v>299</v>
      </c>
      <c r="B300" t="s">
        <v>53</v>
      </c>
      <c r="C300" t="s">
        <v>53</v>
      </c>
      <c r="D300">
        <v>0.01</v>
      </c>
      <c r="E300">
        <v>0</v>
      </c>
      <c r="F300">
        <v>0</v>
      </c>
      <c r="G300">
        <v>0.99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>
      <c r="A301">
        <v>300</v>
      </c>
      <c r="B301" t="s">
        <v>74</v>
      </c>
      <c r="C301" t="s">
        <v>74</v>
      </c>
      <c r="D301">
        <v>0.98</v>
      </c>
      <c r="E301">
        <v>0</v>
      </c>
      <c r="F301">
        <v>0</v>
      </c>
      <c r="G301">
        <v>0</v>
      </c>
      <c r="H301">
        <v>0.02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>
      <c r="A302">
        <v>301</v>
      </c>
      <c r="B302" t="s">
        <v>25</v>
      </c>
      <c r="C302" t="s">
        <v>25</v>
      </c>
      <c r="D302">
        <v>0</v>
      </c>
      <c r="E302">
        <v>0.44</v>
      </c>
      <c r="F302">
        <v>0</v>
      </c>
      <c r="G302">
        <v>0</v>
      </c>
      <c r="H302">
        <v>0.56000000000000005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25</v>
      </c>
      <c r="C303" t="s">
        <v>25</v>
      </c>
      <c r="D303">
        <v>0.02</v>
      </c>
      <c r="E303">
        <v>0.24</v>
      </c>
      <c r="F303">
        <v>0</v>
      </c>
      <c r="G303">
        <v>0</v>
      </c>
      <c r="H303">
        <v>0.63</v>
      </c>
      <c r="I303">
        <v>0</v>
      </c>
      <c r="J303">
        <v>0.05</v>
      </c>
      <c r="K303">
        <v>0.05</v>
      </c>
      <c r="L303">
        <v>0</v>
      </c>
      <c r="M303">
        <v>0.01</v>
      </c>
      <c r="N303">
        <v>0</v>
      </c>
    </row>
    <row r="304" spans="1:14">
      <c r="A304">
        <v>303</v>
      </c>
      <c r="B304" t="s">
        <v>20</v>
      </c>
      <c r="C304" t="s">
        <v>20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106</v>
      </c>
      <c r="C305" t="s">
        <v>106</v>
      </c>
      <c r="D305">
        <v>0</v>
      </c>
      <c r="E305">
        <v>0</v>
      </c>
      <c r="F305">
        <v>0</v>
      </c>
      <c r="G305">
        <v>0.01</v>
      </c>
      <c r="H305">
        <v>0.05</v>
      </c>
      <c r="I305">
        <v>0.87</v>
      </c>
      <c r="J305">
        <v>0.01</v>
      </c>
      <c r="K305">
        <v>0.06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25</v>
      </c>
      <c r="C306" t="s">
        <v>25</v>
      </c>
      <c r="D306">
        <v>0</v>
      </c>
      <c r="E306">
        <v>0</v>
      </c>
      <c r="F306">
        <v>0</v>
      </c>
      <c r="G306">
        <v>0</v>
      </c>
      <c r="H306">
        <v>0.71</v>
      </c>
      <c r="I306">
        <v>0.28999999999999998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>
      <c r="A307">
        <v>306</v>
      </c>
      <c r="B307" t="s">
        <v>20</v>
      </c>
      <c r="C307" t="s">
        <v>20</v>
      </c>
      <c r="D307">
        <v>0</v>
      </c>
      <c r="E307">
        <v>0.98</v>
      </c>
      <c r="F307">
        <v>0</v>
      </c>
      <c r="G307">
        <v>0</v>
      </c>
      <c r="H307">
        <v>0</v>
      </c>
      <c r="I307">
        <v>0</v>
      </c>
      <c r="J307">
        <v>0.02</v>
      </c>
      <c r="K307">
        <v>0</v>
      </c>
      <c r="L307">
        <v>0</v>
      </c>
      <c r="M307">
        <v>0</v>
      </c>
      <c r="N307">
        <v>0</v>
      </c>
    </row>
    <row r="308" spans="1:14">
      <c r="A308">
        <v>307</v>
      </c>
      <c r="B308" t="s">
        <v>20</v>
      </c>
      <c r="C308" t="s">
        <v>20</v>
      </c>
      <c r="D308">
        <v>0</v>
      </c>
      <c r="E308">
        <v>1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4">
      <c r="A309">
        <v>308</v>
      </c>
      <c r="B309" t="s">
        <v>53</v>
      </c>
      <c r="C309" t="s">
        <v>53</v>
      </c>
      <c r="D309">
        <v>0</v>
      </c>
      <c r="E309">
        <v>0</v>
      </c>
      <c r="F309">
        <v>0</v>
      </c>
      <c r="G309">
        <v>0.84</v>
      </c>
      <c r="H309">
        <v>0.05</v>
      </c>
      <c r="I309">
        <v>0</v>
      </c>
      <c r="J309">
        <v>0.01</v>
      </c>
      <c r="K309">
        <v>0</v>
      </c>
      <c r="L309">
        <v>0.1</v>
      </c>
      <c r="M309">
        <v>0</v>
      </c>
      <c r="N309">
        <v>0</v>
      </c>
    </row>
    <row r="310" spans="1:14">
      <c r="A310">
        <v>309</v>
      </c>
      <c r="B310" t="s">
        <v>20</v>
      </c>
      <c r="C310" t="s">
        <v>20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74</v>
      </c>
      <c r="C311" t="s">
        <v>74</v>
      </c>
      <c r="D311">
        <v>0.63</v>
      </c>
      <c r="E311">
        <v>0.02</v>
      </c>
      <c r="F311">
        <v>0</v>
      </c>
      <c r="G311">
        <v>0</v>
      </c>
      <c r="H311">
        <v>0.24</v>
      </c>
      <c r="I311">
        <v>0</v>
      </c>
      <c r="J311">
        <v>0.06</v>
      </c>
      <c r="K311">
        <v>0</v>
      </c>
      <c r="L311">
        <v>0</v>
      </c>
      <c r="M311">
        <v>0.05</v>
      </c>
      <c r="N311">
        <v>0</v>
      </c>
    </row>
    <row r="312" spans="1:14">
      <c r="A312">
        <v>311</v>
      </c>
      <c r="B312" t="s">
        <v>32</v>
      </c>
      <c r="C312" t="s">
        <v>32</v>
      </c>
      <c r="D312">
        <v>0</v>
      </c>
      <c r="E312">
        <v>0</v>
      </c>
      <c r="F312">
        <v>0</v>
      </c>
      <c r="G312">
        <v>0</v>
      </c>
      <c r="H312">
        <v>0.06</v>
      </c>
      <c r="I312">
        <v>0</v>
      </c>
      <c r="J312">
        <v>0.94</v>
      </c>
      <c r="K312">
        <v>0</v>
      </c>
      <c r="L312">
        <v>0</v>
      </c>
      <c r="M312">
        <v>0</v>
      </c>
      <c r="N312">
        <v>0</v>
      </c>
    </row>
    <row r="313" spans="1:14">
      <c r="A313">
        <v>312</v>
      </c>
      <c r="B313" t="s">
        <v>32</v>
      </c>
      <c r="C313" t="s">
        <v>32</v>
      </c>
      <c r="D313">
        <v>0</v>
      </c>
      <c r="E313">
        <v>0</v>
      </c>
      <c r="F313">
        <v>0</v>
      </c>
      <c r="G313">
        <v>0.24</v>
      </c>
      <c r="H313">
        <v>0</v>
      </c>
      <c r="I313">
        <v>0</v>
      </c>
      <c r="J313">
        <v>0.76</v>
      </c>
      <c r="K313">
        <v>0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25</v>
      </c>
      <c r="C314" t="s">
        <v>25</v>
      </c>
      <c r="D314">
        <v>0</v>
      </c>
      <c r="E314">
        <v>0.38</v>
      </c>
      <c r="F314">
        <v>0</v>
      </c>
      <c r="G314">
        <v>0</v>
      </c>
      <c r="H314">
        <v>0.55000000000000004</v>
      </c>
      <c r="I314">
        <v>0</v>
      </c>
      <c r="J314">
        <v>7.0000000000000007E-2</v>
      </c>
      <c r="K314">
        <v>0</v>
      </c>
      <c r="L314">
        <v>0</v>
      </c>
      <c r="M314">
        <v>0</v>
      </c>
      <c r="N314">
        <v>0</v>
      </c>
    </row>
    <row r="315" spans="1:14">
      <c r="A315">
        <v>314</v>
      </c>
      <c r="B315" t="s">
        <v>20</v>
      </c>
      <c r="C315" t="s">
        <v>20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>
      <c r="A316">
        <v>315</v>
      </c>
      <c r="B316" t="s">
        <v>20</v>
      </c>
      <c r="C316" t="s">
        <v>20</v>
      </c>
      <c r="D316">
        <v>0</v>
      </c>
      <c r="E316">
        <v>0.98</v>
      </c>
      <c r="F316">
        <v>0</v>
      </c>
      <c r="G316">
        <v>0.01</v>
      </c>
      <c r="H316">
        <v>0.01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4">
      <c r="A317">
        <v>316</v>
      </c>
      <c r="B317" t="s">
        <v>20</v>
      </c>
      <c r="C317" t="s">
        <v>20</v>
      </c>
      <c r="D317">
        <v>0</v>
      </c>
      <c r="E317">
        <v>0.98</v>
      </c>
      <c r="F317">
        <v>0</v>
      </c>
      <c r="G317">
        <v>0</v>
      </c>
      <c r="H317">
        <v>0</v>
      </c>
      <c r="I317">
        <v>0</v>
      </c>
      <c r="J317">
        <v>0.02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20</v>
      </c>
      <c r="C318" t="s">
        <v>20</v>
      </c>
      <c r="D318">
        <v>0</v>
      </c>
      <c r="E318">
        <v>0.95</v>
      </c>
      <c r="F318">
        <v>0</v>
      </c>
      <c r="G318">
        <v>0</v>
      </c>
      <c r="H318">
        <v>0</v>
      </c>
      <c r="I318">
        <v>0</v>
      </c>
      <c r="J318">
        <v>0.05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20</v>
      </c>
      <c r="C319" t="s">
        <v>20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20</v>
      </c>
      <c r="C320" t="s">
        <v>20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25</v>
      </c>
      <c r="C321" t="s">
        <v>25</v>
      </c>
      <c r="D321">
        <v>0</v>
      </c>
      <c r="E321">
        <v>0</v>
      </c>
      <c r="F321">
        <v>0</v>
      </c>
      <c r="G321">
        <v>0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1:14">
      <c r="A322">
        <v>321</v>
      </c>
      <c r="B322" t="s">
        <v>32</v>
      </c>
      <c r="C322" t="s">
        <v>32</v>
      </c>
      <c r="D322">
        <v>0.24</v>
      </c>
      <c r="E322">
        <v>0</v>
      </c>
      <c r="F322">
        <v>0</v>
      </c>
      <c r="G322">
        <v>0</v>
      </c>
      <c r="H322">
        <v>0.01</v>
      </c>
      <c r="I322">
        <v>0</v>
      </c>
      <c r="J322">
        <v>0.64</v>
      </c>
      <c r="K322">
        <v>0</v>
      </c>
      <c r="L322">
        <v>0</v>
      </c>
      <c r="M322">
        <v>0.11</v>
      </c>
      <c r="N322">
        <v>0</v>
      </c>
    </row>
    <row r="323" spans="1:14">
      <c r="A323">
        <v>322</v>
      </c>
      <c r="B323" t="s">
        <v>53</v>
      </c>
      <c r="C323" t="s">
        <v>53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1:14">
      <c r="A324">
        <v>323</v>
      </c>
      <c r="B324" t="s">
        <v>20</v>
      </c>
      <c r="C324" t="s">
        <v>20</v>
      </c>
      <c r="D324">
        <v>0.03</v>
      </c>
      <c r="E324">
        <v>0.97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20</v>
      </c>
      <c r="C325" t="s">
        <v>20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</row>
    <row r="326" spans="1:14">
      <c r="A326">
        <v>325</v>
      </c>
      <c r="B326" t="s">
        <v>32</v>
      </c>
      <c r="C326" t="s">
        <v>32</v>
      </c>
      <c r="D326">
        <v>0.01</v>
      </c>
      <c r="E326">
        <v>0</v>
      </c>
      <c r="F326">
        <v>0</v>
      </c>
      <c r="G326">
        <v>0.02</v>
      </c>
      <c r="H326">
        <v>0.01</v>
      </c>
      <c r="I326">
        <v>0</v>
      </c>
      <c r="J326">
        <v>0.96</v>
      </c>
      <c r="K326">
        <v>0</v>
      </c>
      <c r="L326">
        <v>0</v>
      </c>
      <c r="M326">
        <v>0</v>
      </c>
      <c r="N326">
        <v>0</v>
      </c>
    </row>
    <row r="327" spans="1:14">
      <c r="A327">
        <v>326</v>
      </c>
      <c r="B327" t="s">
        <v>20</v>
      </c>
      <c r="C327" t="s">
        <v>20</v>
      </c>
      <c r="D327">
        <v>0</v>
      </c>
      <c r="E327">
        <v>0.95</v>
      </c>
      <c r="F327">
        <v>0</v>
      </c>
      <c r="G327">
        <v>0</v>
      </c>
      <c r="H327">
        <v>0</v>
      </c>
      <c r="I327">
        <v>0</v>
      </c>
      <c r="J327">
        <v>0.05</v>
      </c>
      <c r="K327">
        <v>0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127</v>
      </c>
      <c r="C328" t="s">
        <v>127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1</v>
      </c>
      <c r="M328">
        <v>0</v>
      </c>
      <c r="N328">
        <v>0</v>
      </c>
    </row>
    <row r="329" spans="1:14">
      <c r="A329">
        <v>328</v>
      </c>
      <c r="B329" t="s">
        <v>20</v>
      </c>
      <c r="C329" t="s">
        <v>20</v>
      </c>
      <c r="D329">
        <v>0</v>
      </c>
      <c r="E329">
        <v>0.93</v>
      </c>
      <c r="F329">
        <v>0</v>
      </c>
      <c r="G329">
        <v>0</v>
      </c>
      <c r="H329">
        <v>7.0000000000000007E-2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53</v>
      </c>
      <c r="C330" t="s">
        <v>53</v>
      </c>
      <c r="D330">
        <v>0</v>
      </c>
      <c r="E330">
        <v>0</v>
      </c>
      <c r="F330">
        <v>0</v>
      </c>
      <c r="G330">
        <v>0.94</v>
      </c>
      <c r="H330">
        <v>0</v>
      </c>
      <c r="I330">
        <v>0</v>
      </c>
      <c r="J330">
        <v>0</v>
      </c>
      <c r="K330">
        <v>0</v>
      </c>
      <c r="L330">
        <v>0.06</v>
      </c>
      <c r="M330">
        <v>0</v>
      </c>
      <c r="N330">
        <v>0</v>
      </c>
    </row>
    <row r="331" spans="1:14">
      <c r="A331">
        <v>330</v>
      </c>
      <c r="B331" t="s">
        <v>60</v>
      </c>
      <c r="C331" t="s">
        <v>60</v>
      </c>
      <c r="D331">
        <v>0.12</v>
      </c>
      <c r="E331">
        <v>0.04</v>
      </c>
      <c r="F331">
        <v>0.75</v>
      </c>
      <c r="G331">
        <v>0</v>
      </c>
      <c r="H331">
        <v>0</v>
      </c>
      <c r="I331">
        <v>0</v>
      </c>
      <c r="J331">
        <v>0.08</v>
      </c>
      <c r="K331">
        <v>0.01</v>
      </c>
      <c r="L331">
        <v>0</v>
      </c>
      <c r="M331">
        <v>0</v>
      </c>
      <c r="N331">
        <v>0</v>
      </c>
    </row>
    <row r="332" spans="1:14">
      <c r="A332">
        <v>331</v>
      </c>
      <c r="B332" t="s">
        <v>32</v>
      </c>
      <c r="C332" t="s">
        <v>32</v>
      </c>
      <c r="D332">
        <v>0</v>
      </c>
      <c r="E332">
        <v>0</v>
      </c>
      <c r="F332">
        <v>0</v>
      </c>
      <c r="G332">
        <v>0</v>
      </c>
      <c r="H332">
        <v>0.12</v>
      </c>
      <c r="I332">
        <v>0</v>
      </c>
      <c r="J332">
        <v>0.88</v>
      </c>
      <c r="K332">
        <v>0</v>
      </c>
      <c r="L332">
        <v>0</v>
      </c>
      <c r="M332">
        <v>0</v>
      </c>
      <c r="N332">
        <v>0</v>
      </c>
    </row>
    <row r="333" spans="1:14">
      <c r="A333">
        <v>332</v>
      </c>
      <c r="B333" t="s">
        <v>20</v>
      </c>
      <c r="C333" t="s">
        <v>20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25</v>
      </c>
      <c r="C334" t="s">
        <v>25</v>
      </c>
      <c r="D334">
        <v>0</v>
      </c>
      <c r="E334">
        <v>0</v>
      </c>
      <c r="F334">
        <v>0</v>
      </c>
      <c r="G334">
        <v>0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20</v>
      </c>
      <c r="C335" t="s">
        <v>20</v>
      </c>
      <c r="D335">
        <v>0</v>
      </c>
      <c r="E335">
        <v>0.79</v>
      </c>
      <c r="F335">
        <v>0</v>
      </c>
      <c r="G335">
        <v>0</v>
      </c>
      <c r="H335">
        <v>0.12</v>
      </c>
      <c r="I335">
        <v>0</v>
      </c>
      <c r="J335">
        <v>0.09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25</v>
      </c>
      <c r="C336" t="s">
        <v>25</v>
      </c>
      <c r="D336">
        <v>0.04</v>
      </c>
      <c r="E336">
        <v>0</v>
      </c>
      <c r="F336">
        <v>0</v>
      </c>
      <c r="G336">
        <v>0</v>
      </c>
      <c r="H336">
        <v>0.65</v>
      </c>
      <c r="I336">
        <v>0.2</v>
      </c>
      <c r="J336">
        <v>0.1</v>
      </c>
      <c r="K336">
        <v>0</v>
      </c>
      <c r="L336">
        <v>0.01</v>
      </c>
      <c r="M336">
        <v>0</v>
      </c>
      <c r="N336">
        <v>0</v>
      </c>
    </row>
    <row r="337" spans="1:14">
      <c r="A337">
        <v>336</v>
      </c>
      <c r="B337" t="s">
        <v>39</v>
      </c>
      <c r="C337" t="s">
        <v>39</v>
      </c>
      <c r="D337">
        <v>0.05</v>
      </c>
      <c r="E337">
        <v>0</v>
      </c>
      <c r="F337">
        <v>0</v>
      </c>
      <c r="G337">
        <v>0</v>
      </c>
      <c r="H337">
        <v>0.2</v>
      </c>
      <c r="I337">
        <v>0</v>
      </c>
      <c r="J337">
        <v>0.1</v>
      </c>
      <c r="K337">
        <v>0</v>
      </c>
      <c r="L337">
        <v>0</v>
      </c>
      <c r="M337">
        <v>0.65</v>
      </c>
      <c r="N337">
        <v>0</v>
      </c>
    </row>
    <row r="338" spans="1:14">
      <c r="A338">
        <v>337</v>
      </c>
      <c r="B338" t="s">
        <v>32</v>
      </c>
      <c r="C338" t="s">
        <v>32</v>
      </c>
      <c r="D338">
        <v>0.09</v>
      </c>
      <c r="E338">
        <v>0</v>
      </c>
      <c r="F338">
        <v>0</v>
      </c>
      <c r="G338">
        <v>0.03</v>
      </c>
      <c r="H338">
        <v>7.0000000000000007E-2</v>
      </c>
      <c r="I338">
        <v>0</v>
      </c>
      <c r="J338">
        <v>0.74</v>
      </c>
      <c r="K338">
        <v>0</v>
      </c>
      <c r="L338">
        <v>0</v>
      </c>
      <c r="M338">
        <v>0.06</v>
      </c>
      <c r="N338">
        <v>0.01</v>
      </c>
    </row>
    <row r="339" spans="1:14">
      <c r="A339">
        <v>338</v>
      </c>
      <c r="B339" t="s">
        <v>20</v>
      </c>
      <c r="C339" t="s">
        <v>20</v>
      </c>
      <c r="D339">
        <v>0.01</v>
      </c>
      <c r="E339">
        <v>0.98</v>
      </c>
      <c r="F339">
        <v>0</v>
      </c>
      <c r="G339">
        <v>0</v>
      </c>
      <c r="H339">
        <v>0.01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1:14">
      <c r="A340">
        <v>339</v>
      </c>
      <c r="B340" t="s">
        <v>25</v>
      </c>
      <c r="C340" t="s">
        <v>25</v>
      </c>
      <c r="D340">
        <v>0</v>
      </c>
      <c r="E340">
        <v>0</v>
      </c>
      <c r="F340">
        <v>0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1:14">
      <c r="A341">
        <v>340</v>
      </c>
      <c r="B341" t="s">
        <v>20</v>
      </c>
      <c r="C341" t="s">
        <v>20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60</v>
      </c>
      <c r="C342" t="s">
        <v>60</v>
      </c>
      <c r="D342">
        <v>0</v>
      </c>
      <c r="E342">
        <v>0</v>
      </c>
      <c r="F342">
        <v>0.98</v>
      </c>
      <c r="G342">
        <v>0</v>
      </c>
      <c r="H342">
        <v>0.01</v>
      </c>
      <c r="I342">
        <v>0</v>
      </c>
      <c r="J342">
        <v>0</v>
      </c>
      <c r="K342">
        <v>0</v>
      </c>
      <c r="L342">
        <v>0.01</v>
      </c>
      <c r="M342">
        <v>0</v>
      </c>
      <c r="N342">
        <v>0</v>
      </c>
    </row>
    <row r="343" spans="1:14">
      <c r="A343">
        <v>342</v>
      </c>
      <c r="B343" t="s">
        <v>25</v>
      </c>
      <c r="C343" t="s">
        <v>25</v>
      </c>
      <c r="D343">
        <v>0.06</v>
      </c>
      <c r="E343">
        <v>0</v>
      </c>
      <c r="F343">
        <v>0</v>
      </c>
      <c r="G343">
        <v>0</v>
      </c>
      <c r="H343">
        <v>0.83</v>
      </c>
      <c r="I343">
        <v>0</v>
      </c>
      <c r="J343">
        <v>0.05</v>
      </c>
      <c r="K343">
        <v>0.06</v>
      </c>
      <c r="L343">
        <v>0</v>
      </c>
      <c r="M343">
        <v>0</v>
      </c>
      <c r="N343">
        <v>0</v>
      </c>
    </row>
    <row r="344" spans="1:14">
      <c r="A344">
        <v>343</v>
      </c>
      <c r="B344" t="s">
        <v>25</v>
      </c>
      <c r="C344" t="s">
        <v>25</v>
      </c>
      <c r="D344">
        <v>0.01</v>
      </c>
      <c r="E344">
        <v>0.13</v>
      </c>
      <c r="F344">
        <v>0</v>
      </c>
      <c r="G344">
        <v>0</v>
      </c>
      <c r="H344">
        <v>0.64</v>
      </c>
      <c r="I344">
        <v>0.02</v>
      </c>
      <c r="J344">
        <v>0.11</v>
      </c>
      <c r="K344">
        <v>0</v>
      </c>
      <c r="L344">
        <v>0</v>
      </c>
      <c r="M344">
        <v>0.09</v>
      </c>
      <c r="N344">
        <v>0</v>
      </c>
    </row>
    <row r="345" spans="1:14">
      <c r="A345">
        <v>344</v>
      </c>
      <c r="B345" t="s">
        <v>32</v>
      </c>
      <c r="C345" t="s">
        <v>32</v>
      </c>
      <c r="D345">
        <v>0.2</v>
      </c>
      <c r="E345">
        <v>0</v>
      </c>
      <c r="F345">
        <v>0</v>
      </c>
      <c r="G345">
        <v>0</v>
      </c>
      <c r="H345">
        <v>0.11</v>
      </c>
      <c r="I345">
        <v>0</v>
      </c>
      <c r="J345">
        <v>0.68</v>
      </c>
      <c r="K345">
        <v>0</v>
      </c>
      <c r="L345">
        <v>0</v>
      </c>
      <c r="M345">
        <v>0.01</v>
      </c>
      <c r="N345">
        <v>0</v>
      </c>
    </row>
    <row r="346" spans="1:14">
      <c r="A346">
        <v>345</v>
      </c>
      <c r="B346" t="s">
        <v>106</v>
      </c>
      <c r="C346" t="s">
        <v>106</v>
      </c>
      <c r="D346">
        <v>0</v>
      </c>
      <c r="E346">
        <v>0.01</v>
      </c>
      <c r="F346">
        <v>0</v>
      </c>
      <c r="G346">
        <v>0</v>
      </c>
      <c r="H346">
        <v>0.19</v>
      </c>
      <c r="I346">
        <v>0.64</v>
      </c>
      <c r="J346">
        <v>0</v>
      </c>
      <c r="K346">
        <v>0</v>
      </c>
      <c r="L346">
        <v>0</v>
      </c>
      <c r="M346">
        <v>0.16</v>
      </c>
      <c r="N346">
        <v>0</v>
      </c>
    </row>
    <row r="347" spans="1:14">
      <c r="A347">
        <v>346</v>
      </c>
      <c r="B347" t="s">
        <v>20</v>
      </c>
      <c r="C347" t="s">
        <v>20</v>
      </c>
      <c r="D347">
        <v>0</v>
      </c>
      <c r="E347">
        <v>1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1:14">
      <c r="A348">
        <v>347</v>
      </c>
      <c r="B348" t="s">
        <v>74</v>
      </c>
      <c r="C348" t="s">
        <v>74</v>
      </c>
      <c r="D348">
        <v>0.86</v>
      </c>
      <c r="E348">
        <v>0</v>
      </c>
      <c r="F348">
        <v>0</v>
      </c>
      <c r="G348">
        <v>0</v>
      </c>
      <c r="H348">
        <v>0.06</v>
      </c>
      <c r="I348">
        <v>0</v>
      </c>
      <c r="J348">
        <v>0.06</v>
      </c>
      <c r="K348">
        <v>0.02</v>
      </c>
      <c r="L348">
        <v>0</v>
      </c>
      <c r="M348">
        <v>0</v>
      </c>
      <c r="N348">
        <v>0</v>
      </c>
    </row>
    <row r="349" spans="1:14">
      <c r="A349">
        <v>348</v>
      </c>
      <c r="B349" t="s">
        <v>32</v>
      </c>
      <c r="C349" t="s">
        <v>32</v>
      </c>
      <c r="D349">
        <v>0</v>
      </c>
      <c r="E349">
        <v>0.01</v>
      </c>
      <c r="F349">
        <v>0</v>
      </c>
      <c r="G349">
        <v>0</v>
      </c>
      <c r="H349">
        <v>7.0000000000000007E-2</v>
      </c>
      <c r="I349">
        <v>0</v>
      </c>
      <c r="J349">
        <v>0.92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25</v>
      </c>
      <c r="C350" t="s">
        <v>25</v>
      </c>
      <c r="D350">
        <v>0</v>
      </c>
      <c r="E350">
        <v>0</v>
      </c>
      <c r="F350">
        <v>0</v>
      </c>
      <c r="G350">
        <v>0</v>
      </c>
      <c r="H350">
        <v>0.99</v>
      </c>
      <c r="I350">
        <v>0</v>
      </c>
      <c r="J350">
        <v>0</v>
      </c>
      <c r="K350">
        <v>0</v>
      </c>
      <c r="L350">
        <v>0</v>
      </c>
      <c r="M350">
        <v>0.01</v>
      </c>
      <c r="N350">
        <v>0</v>
      </c>
    </row>
    <row r="351" spans="1:14">
      <c r="A351">
        <v>350</v>
      </c>
      <c r="B351" t="s">
        <v>20</v>
      </c>
      <c r="C351" t="s">
        <v>20</v>
      </c>
      <c r="D351">
        <v>0</v>
      </c>
      <c r="E351">
        <v>0.98</v>
      </c>
      <c r="F351">
        <v>0</v>
      </c>
      <c r="G351">
        <v>0</v>
      </c>
      <c r="H351">
        <v>0.02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20</v>
      </c>
      <c r="C352" t="s">
        <v>20</v>
      </c>
      <c r="D352">
        <v>0.02</v>
      </c>
      <c r="E352">
        <v>0.95</v>
      </c>
      <c r="F352">
        <v>0</v>
      </c>
      <c r="G352">
        <v>0</v>
      </c>
      <c r="H352">
        <v>0.03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14">
      <c r="A353">
        <v>352</v>
      </c>
      <c r="B353" t="s">
        <v>20</v>
      </c>
      <c r="C353" t="s">
        <v>20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>
      <c r="A354">
        <v>353</v>
      </c>
      <c r="B354" t="s">
        <v>20</v>
      </c>
      <c r="C354" t="s">
        <v>20</v>
      </c>
      <c r="D354">
        <v>0.03</v>
      </c>
      <c r="E354">
        <v>0.6</v>
      </c>
      <c r="F354">
        <v>0</v>
      </c>
      <c r="G354">
        <v>0</v>
      </c>
      <c r="H354">
        <v>0.03</v>
      </c>
      <c r="I354">
        <v>0</v>
      </c>
      <c r="J354">
        <v>0.33</v>
      </c>
      <c r="K354">
        <v>0.01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25</v>
      </c>
      <c r="C355" t="s">
        <v>25</v>
      </c>
      <c r="D355">
        <v>0</v>
      </c>
      <c r="E355">
        <v>0</v>
      </c>
      <c r="F355">
        <v>0</v>
      </c>
      <c r="G355">
        <v>0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55"/>
  <sheetViews>
    <sheetView workbookViewId="0">
      <selection activeCell="H33" sqref="H33"/>
    </sheetView>
  </sheetViews>
  <sheetFormatPr baseColWidth="10" defaultRowHeight="16"/>
  <sheetData>
    <row r="1" spans="1:25">
      <c r="A1" t="s">
        <v>413</v>
      </c>
      <c r="B1" t="s">
        <v>10</v>
      </c>
      <c r="C1" t="s">
        <v>422</v>
      </c>
      <c r="D1" t="s">
        <v>61</v>
      </c>
      <c r="E1" t="s">
        <v>270</v>
      </c>
      <c r="F1" t="s">
        <v>75</v>
      </c>
      <c r="G1" t="s">
        <v>26</v>
      </c>
      <c r="H1" t="s">
        <v>221</v>
      </c>
      <c r="I1" t="s">
        <v>45</v>
      </c>
      <c r="J1" t="s">
        <v>116</v>
      </c>
      <c r="K1" t="s">
        <v>21</v>
      </c>
      <c r="L1" t="s">
        <v>188</v>
      </c>
      <c r="M1" t="s">
        <v>40</v>
      </c>
      <c r="N1" t="s">
        <v>128</v>
      </c>
      <c r="O1" t="s">
        <v>107</v>
      </c>
      <c r="P1" t="s">
        <v>33</v>
      </c>
      <c r="Q1" t="s">
        <v>36</v>
      </c>
      <c r="R1" t="s">
        <v>119</v>
      </c>
      <c r="S1" t="s">
        <v>80</v>
      </c>
      <c r="T1" t="s">
        <v>416</v>
      </c>
      <c r="U1" t="s">
        <v>196</v>
      </c>
      <c r="V1" t="s">
        <v>54</v>
      </c>
      <c r="W1" t="s">
        <v>417</v>
      </c>
      <c r="X1" t="s">
        <v>67</v>
      </c>
      <c r="Y1" t="s">
        <v>85</v>
      </c>
    </row>
    <row r="2" spans="1:25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3</v>
      </c>
      <c r="B4" t="s">
        <v>21</v>
      </c>
      <c r="C4" t="s">
        <v>21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4</v>
      </c>
      <c r="B5" t="s">
        <v>26</v>
      </c>
      <c r="C5" t="s">
        <v>26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5</v>
      </c>
      <c r="B6" t="s">
        <v>33</v>
      </c>
      <c r="C6" t="s">
        <v>33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1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6</v>
      </c>
      <c r="B7" t="s">
        <v>36</v>
      </c>
      <c r="C7" t="s">
        <v>36</v>
      </c>
      <c r="D7">
        <v>0</v>
      </c>
      <c r="E7">
        <v>0</v>
      </c>
      <c r="F7">
        <v>0</v>
      </c>
      <c r="G7">
        <v>0.03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0.97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7</v>
      </c>
      <c r="B8" t="s">
        <v>40</v>
      </c>
      <c r="C8" t="s">
        <v>40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0.01</v>
      </c>
      <c r="M8">
        <v>0.99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8</v>
      </c>
      <c r="B9" t="s">
        <v>33</v>
      </c>
      <c r="C9" t="s">
        <v>33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9</v>
      </c>
      <c r="B10" t="s">
        <v>45</v>
      </c>
      <c r="C10" t="s">
        <v>45</v>
      </c>
      <c r="D10">
        <v>0</v>
      </c>
      <c r="E10">
        <v>0</v>
      </c>
      <c r="F10">
        <v>0</v>
      </c>
      <c r="G10">
        <v>0</v>
      </c>
      <c r="H10">
        <v>0</v>
      </c>
      <c r="I10">
        <v>0.98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0.02</v>
      </c>
    </row>
    <row r="11" spans="1:25">
      <c r="A11">
        <v>10</v>
      </c>
      <c r="B11" t="s">
        <v>21</v>
      </c>
      <c r="C11" t="s">
        <v>21</v>
      </c>
      <c r="D11">
        <v>0</v>
      </c>
      <c r="E11">
        <v>0</v>
      </c>
      <c r="F11">
        <v>0</v>
      </c>
      <c r="G11">
        <v>0</v>
      </c>
      <c r="H11">
        <v>0</v>
      </c>
      <c r="I11">
        <v>0.16</v>
      </c>
      <c r="J11">
        <v>0</v>
      </c>
      <c r="K11">
        <v>0.77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0.03</v>
      </c>
      <c r="Y11">
        <v>0.04</v>
      </c>
    </row>
    <row r="12" spans="1:25">
      <c r="A12">
        <v>11</v>
      </c>
      <c r="B12" t="s">
        <v>33</v>
      </c>
      <c r="C12" t="s">
        <v>33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12</v>
      </c>
      <c r="B13" t="s">
        <v>26</v>
      </c>
      <c r="C13" t="s">
        <v>26</v>
      </c>
      <c r="D13">
        <v>0</v>
      </c>
      <c r="E13">
        <v>0</v>
      </c>
      <c r="F13">
        <v>0</v>
      </c>
      <c r="G13">
        <v>0.97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0.03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13</v>
      </c>
      <c r="B14" t="s">
        <v>45</v>
      </c>
      <c r="C14" t="s">
        <v>45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14</v>
      </c>
      <c r="B15" t="s">
        <v>54</v>
      </c>
      <c r="C15" t="s">
        <v>54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</v>
      </c>
      <c r="W15">
        <v>0</v>
      </c>
      <c r="X15">
        <v>0</v>
      </c>
      <c r="Y15">
        <v>0</v>
      </c>
    </row>
    <row r="16" spans="1:25">
      <c r="A16">
        <v>15</v>
      </c>
      <c r="B16" t="s">
        <v>21</v>
      </c>
      <c r="C16" t="s">
        <v>21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16</v>
      </c>
      <c r="B17" t="s">
        <v>26</v>
      </c>
      <c r="C17" t="s">
        <v>26</v>
      </c>
      <c r="D17">
        <v>0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17</v>
      </c>
      <c r="B18" t="s">
        <v>61</v>
      </c>
      <c r="C18" t="s">
        <v>61</v>
      </c>
      <c r="D18">
        <v>0.98</v>
      </c>
      <c r="E18">
        <v>0</v>
      </c>
      <c r="F18">
        <v>0.01</v>
      </c>
      <c r="G18">
        <v>0</v>
      </c>
      <c r="H18">
        <v>0.01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18</v>
      </c>
      <c r="B19" t="s">
        <v>33</v>
      </c>
      <c r="C19" t="s">
        <v>33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19</v>
      </c>
      <c r="B20" t="s">
        <v>21</v>
      </c>
      <c r="C20" t="s">
        <v>21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0.98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0.02</v>
      </c>
      <c r="Y20">
        <v>0</v>
      </c>
    </row>
    <row r="21" spans="1:25">
      <c r="A21">
        <v>20</v>
      </c>
      <c r="B21" t="s">
        <v>67</v>
      </c>
      <c r="C21" t="s">
        <v>67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1</v>
      </c>
      <c r="Y21">
        <v>0</v>
      </c>
    </row>
    <row r="22" spans="1:25">
      <c r="A22">
        <v>21</v>
      </c>
      <c r="B22" t="s">
        <v>26</v>
      </c>
      <c r="C22" t="s">
        <v>26</v>
      </c>
      <c r="D22">
        <v>0</v>
      </c>
      <c r="E22">
        <v>0</v>
      </c>
      <c r="F22">
        <v>0</v>
      </c>
      <c r="G22">
        <v>0.94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0.01</v>
      </c>
      <c r="Q22">
        <v>0.05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22</v>
      </c>
      <c r="B23" t="s">
        <v>26</v>
      </c>
      <c r="C23" t="s">
        <v>26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23</v>
      </c>
      <c r="B24" t="s">
        <v>45</v>
      </c>
      <c r="C24" t="s">
        <v>45</v>
      </c>
      <c r="D24">
        <v>0</v>
      </c>
      <c r="E24">
        <v>0</v>
      </c>
      <c r="F24">
        <v>0</v>
      </c>
      <c r="G24">
        <v>0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24</v>
      </c>
      <c r="B25" t="s">
        <v>45</v>
      </c>
      <c r="C25" t="s">
        <v>45</v>
      </c>
      <c r="D25">
        <v>0</v>
      </c>
      <c r="E25">
        <v>0</v>
      </c>
      <c r="F25">
        <v>0</v>
      </c>
      <c r="G25">
        <v>0</v>
      </c>
      <c r="H25">
        <v>0</v>
      </c>
      <c r="I25">
        <v>0.97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0.03</v>
      </c>
    </row>
    <row r="26" spans="1:25">
      <c r="A26">
        <v>25</v>
      </c>
      <c r="B26" t="s">
        <v>75</v>
      </c>
      <c r="C26" t="s">
        <v>75</v>
      </c>
      <c r="D26">
        <v>0</v>
      </c>
      <c r="E26">
        <v>0</v>
      </c>
      <c r="F26">
        <v>1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26</v>
      </c>
      <c r="B27" t="s">
        <v>45</v>
      </c>
      <c r="C27" t="s">
        <v>45</v>
      </c>
      <c r="D27">
        <v>0</v>
      </c>
      <c r="E27">
        <v>0</v>
      </c>
      <c r="F27">
        <v>0</v>
      </c>
      <c r="G27">
        <v>0</v>
      </c>
      <c r="H27">
        <v>0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27</v>
      </c>
      <c r="B28" t="s">
        <v>80</v>
      </c>
      <c r="C28" t="s">
        <v>80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0.64</v>
      </c>
      <c r="T28">
        <v>0</v>
      </c>
      <c r="U28">
        <v>0</v>
      </c>
      <c r="V28">
        <v>0.36</v>
      </c>
      <c r="W28">
        <v>0</v>
      </c>
      <c r="X28">
        <v>0</v>
      </c>
      <c r="Y28">
        <v>0</v>
      </c>
    </row>
    <row r="29" spans="1:25">
      <c r="A29">
        <v>28</v>
      </c>
      <c r="B29" t="s">
        <v>26</v>
      </c>
      <c r="C29" t="s">
        <v>26</v>
      </c>
      <c r="D29">
        <v>0</v>
      </c>
      <c r="E29">
        <v>0</v>
      </c>
      <c r="F29">
        <v>0</v>
      </c>
      <c r="G29">
        <v>0.96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0.04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29</v>
      </c>
      <c r="B30" t="s">
        <v>26</v>
      </c>
      <c r="C30" t="s">
        <v>26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30</v>
      </c>
      <c r="B31" t="s">
        <v>85</v>
      </c>
      <c r="C31" t="s">
        <v>85</v>
      </c>
      <c r="D31">
        <v>0</v>
      </c>
      <c r="E31">
        <v>0</v>
      </c>
      <c r="F31">
        <v>0</v>
      </c>
      <c r="G31">
        <v>0</v>
      </c>
      <c r="H31">
        <v>0</v>
      </c>
      <c r="I31">
        <v>0.04</v>
      </c>
      <c r="J31">
        <v>0</v>
      </c>
      <c r="K31">
        <v>0.06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0.04</v>
      </c>
      <c r="Y31">
        <v>0.86</v>
      </c>
    </row>
    <row r="32" spans="1:25">
      <c r="A32">
        <v>31</v>
      </c>
      <c r="B32" t="s">
        <v>67</v>
      </c>
      <c r="C32" t="s">
        <v>67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0.09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0.91</v>
      </c>
      <c r="Y32">
        <v>0</v>
      </c>
    </row>
    <row r="33" spans="1:25">
      <c r="A33">
        <v>32</v>
      </c>
      <c r="B33" t="s">
        <v>21</v>
      </c>
      <c r="C33" t="s">
        <v>21</v>
      </c>
      <c r="D33">
        <v>0</v>
      </c>
      <c r="E33">
        <v>0</v>
      </c>
      <c r="F33">
        <v>0</v>
      </c>
      <c r="G33">
        <v>0</v>
      </c>
      <c r="H33">
        <v>0</v>
      </c>
      <c r="I33">
        <v>0.13</v>
      </c>
      <c r="J33">
        <v>0</v>
      </c>
      <c r="K33">
        <v>0.86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0.01</v>
      </c>
    </row>
    <row r="34" spans="1:25">
      <c r="A34">
        <v>33</v>
      </c>
      <c r="B34" t="s">
        <v>61</v>
      </c>
      <c r="C34" t="s">
        <v>61</v>
      </c>
      <c r="D34">
        <v>0.87</v>
      </c>
      <c r="E34">
        <v>0</v>
      </c>
      <c r="F34">
        <v>0.02</v>
      </c>
      <c r="G34">
        <v>0</v>
      </c>
      <c r="H34">
        <v>0</v>
      </c>
      <c r="I34">
        <v>0</v>
      </c>
      <c r="J34">
        <v>0</v>
      </c>
      <c r="K34">
        <v>0.03</v>
      </c>
      <c r="L34">
        <v>0</v>
      </c>
      <c r="M34">
        <v>0</v>
      </c>
      <c r="N34">
        <v>0.05</v>
      </c>
      <c r="O34">
        <v>0</v>
      </c>
      <c r="P34">
        <v>0</v>
      </c>
      <c r="Q34">
        <v>0.02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0.01</v>
      </c>
      <c r="Y34">
        <v>0</v>
      </c>
    </row>
    <row r="35" spans="1:25">
      <c r="A35">
        <v>34</v>
      </c>
      <c r="B35" t="s">
        <v>33</v>
      </c>
      <c r="C35" t="s">
        <v>33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35</v>
      </c>
      <c r="B36" t="s">
        <v>26</v>
      </c>
      <c r="C36" t="s">
        <v>26</v>
      </c>
      <c r="D36">
        <v>0</v>
      </c>
      <c r="E36">
        <v>0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36</v>
      </c>
      <c r="B37" t="s">
        <v>33</v>
      </c>
      <c r="C37" t="s">
        <v>33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37</v>
      </c>
      <c r="B38" t="s">
        <v>75</v>
      </c>
      <c r="C38" t="s">
        <v>75</v>
      </c>
      <c r="D38">
        <v>0</v>
      </c>
      <c r="E38">
        <v>0</v>
      </c>
      <c r="F38">
        <v>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38</v>
      </c>
      <c r="B39" t="s">
        <v>67</v>
      </c>
      <c r="C39" t="s">
        <v>67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1</v>
      </c>
      <c r="Y39">
        <v>0</v>
      </c>
    </row>
    <row r="40" spans="1:25">
      <c r="A40">
        <v>39</v>
      </c>
      <c r="B40" t="s">
        <v>45</v>
      </c>
      <c r="C40" t="s">
        <v>45</v>
      </c>
      <c r="D40">
        <v>0</v>
      </c>
      <c r="E40">
        <v>0</v>
      </c>
      <c r="F40">
        <v>0</v>
      </c>
      <c r="G40">
        <v>0</v>
      </c>
      <c r="H40">
        <v>0</v>
      </c>
      <c r="I40">
        <v>1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40</v>
      </c>
      <c r="B41" t="s">
        <v>26</v>
      </c>
      <c r="C41" t="s">
        <v>26</v>
      </c>
      <c r="D41">
        <v>0</v>
      </c>
      <c r="E41">
        <v>0</v>
      </c>
      <c r="F41">
        <v>0</v>
      </c>
      <c r="G41">
        <v>0.95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0.01</v>
      </c>
      <c r="Q41">
        <v>0.04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41</v>
      </c>
      <c r="B42" t="s">
        <v>45</v>
      </c>
      <c r="C42" t="s">
        <v>45</v>
      </c>
      <c r="D42">
        <v>0</v>
      </c>
      <c r="E42">
        <v>0</v>
      </c>
      <c r="F42">
        <v>0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42</v>
      </c>
      <c r="B43" t="s">
        <v>21</v>
      </c>
      <c r="C43" t="s">
        <v>21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0.99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0.01</v>
      </c>
      <c r="Y43">
        <v>0</v>
      </c>
    </row>
    <row r="44" spans="1:25">
      <c r="A44">
        <v>43</v>
      </c>
      <c r="B44" t="s">
        <v>33</v>
      </c>
      <c r="C44" t="s">
        <v>33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1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44</v>
      </c>
      <c r="B45" t="s">
        <v>21</v>
      </c>
      <c r="C45" t="s">
        <v>21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45</v>
      </c>
      <c r="B46" t="s">
        <v>33</v>
      </c>
      <c r="C46" t="s">
        <v>33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1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46</v>
      </c>
      <c r="B47" t="s">
        <v>107</v>
      </c>
      <c r="C47" t="s">
        <v>107</v>
      </c>
      <c r="D47">
        <v>0.01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0.02</v>
      </c>
      <c r="O47">
        <v>0.97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47</v>
      </c>
      <c r="B48" t="s">
        <v>33</v>
      </c>
      <c r="C48" t="s">
        <v>33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1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48</v>
      </c>
      <c r="B49" t="s">
        <v>33</v>
      </c>
      <c r="C49" t="s">
        <v>33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49</v>
      </c>
      <c r="B50" t="s">
        <v>80</v>
      </c>
      <c r="C50" t="s">
        <v>80</v>
      </c>
      <c r="D50">
        <v>0</v>
      </c>
      <c r="E50">
        <v>0</v>
      </c>
      <c r="F50">
        <v>0.03</v>
      </c>
      <c r="G50">
        <v>0</v>
      </c>
      <c r="H50">
        <v>0</v>
      </c>
      <c r="I50">
        <v>0.02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0.01</v>
      </c>
      <c r="Q50">
        <v>0</v>
      </c>
      <c r="R50">
        <v>0</v>
      </c>
      <c r="S50">
        <v>0.94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50</v>
      </c>
      <c r="B51" t="s">
        <v>116</v>
      </c>
      <c r="C51" t="s">
        <v>116</v>
      </c>
      <c r="D51">
        <v>0</v>
      </c>
      <c r="E51">
        <v>0.03</v>
      </c>
      <c r="F51">
        <v>0</v>
      </c>
      <c r="G51">
        <v>0.01</v>
      </c>
      <c r="H51">
        <v>0.01</v>
      </c>
      <c r="I51">
        <v>0</v>
      </c>
      <c r="J51">
        <v>0.85</v>
      </c>
      <c r="K51">
        <v>0</v>
      </c>
      <c r="L51">
        <v>0.04</v>
      </c>
      <c r="M51">
        <v>0.04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0.02</v>
      </c>
      <c r="V51">
        <v>0</v>
      </c>
      <c r="W51">
        <v>0</v>
      </c>
      <c r="X51">
        <v>0</v>
      </c>
      <c r="Y51">
        <v>0</v>
      </c>
    </row>
    <row r="52" spans="1:25">
      <c r="A52">
        <v>51</v>
      </c>
      <c r="B52" t="s">
        <v>119</v>
      </c>
      <c r="C52" t="s">
        <v>119</v>
      </c>
      <c r="D52">
        <v>0</v>
      </c>
      <c r="E52">
        <v>0</v>
      </c>
      <c r="F52">
        <v>0.08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0.92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52</v>
      </c>
      <c r="B53" t="s">
        <v>26</v>
      </c>
      <c r="C53" t="s">
        <v>26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53</v>
      </c>
      <c r="B54" t="s">
        <v>75</v>
      </c>
      <c r="C54" t="s">
        <v>75</v>
      </c>
      <c r="D54">
        <v>0</v>
      </c>
      <c r="E54">
        <v>0</v>
      </c>
      <c r="F54">
        <v>0.98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0.02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54</v>
      </c>
      <c r="B55" t="s">
        <v>33</v>
      </c>
      <c r="C55" t="s">
        <v>33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1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55</v>
      </c>
      <c r="B56" t="s">
        <v>45</v>
      </c>
      <c r="C56" t="s">
        <v>45</v>
      </c>
      <c r="D56">
        <v>0</v>
      </c>
      <c r="E56">
        <v>0</v>
      </c>
      <c r="F56">
        <v>0</v>
      </c>
      <c r="G56">
        <v>0</v>
      </c>
      <c r="H56">
        <v>0</v>
      </c>
      <c r="I56">
        <v>0.97</v>
      </c>
      <c r="J56">
        <v>0</v>
      </c>
      <c r="K56">
        <v>0.03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56</v>
      </c>
      <c r="B57" t="s">
        <v>128</v>
      </c>
      <c r="C57" t="s">
        <v>128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1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57</v>
      </c>
      <c r="B58" t="s">
        <v>116</v>
      </c>
      <c r="C58" t="s">
        <v>116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0.99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0.01</v>
      </c>
    </row>
    <row r="59" spans="1:25">
      <c r="A59">
        <v>58</v>
      </c>
      <c r="B59" t="s">
        <v>67</v>
      </c>
      <c r="C59" t="s">
        <v>67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1</v>
      </c>
      <c r="Y59">
        <v>0</v>
      </c>
    </row>
    <row r="60" spans="1:25">
      <c r="A60">
        <v>59</v>
      </c>
      <c r="B60" t="s">
        <v>26</v>
      </c>
      <c r="C60" t="s">
        <v>26</v>
      </c>
      <c r="D60">
        <v>0</v>
      </c>
      <c r="E60">
        <v>0</v>
      </c>
      <c r="F60">
        <v>0</v>
      </c>
      <c r="G60">
        <v>0.83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0.17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60</v>
      </c>
      <c r="B61" t="s">
        <v>75</v>
      </c>
      <c r="C61" t="s">
        <v>75</v>
      </c>
      <c r="D61">
        <v>0</v>
      </c>
      <c r="E61">
        <v>0</v>
      </c>
      <c r="F61">
        <v>0.9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0.1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61</v>
      </c>
      <c r="B62" t="s">
        <v>21</v>
      </c>
      <c r="C62" t="s">
        <v>21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62</v>
      </c>
      <c r="B63" t="s">
        <v>21</v>
      </c>
      <c r="C63" t="s">
        <v>21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1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63</v>
      </c>
      <c r="B64" t="s">
        <v>26</v>
      </c>
      <c r="C64" t="s">
        <v>26</v>
      </c>
      <c r="D64">
        <v>0</v>
      </c>
      <c r="E64">
        <v>0</v>
      </c>
      <c r="F64">
        <v>0</v>
      </c>
      <c r="G64">
        <v>0.96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0.04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64</v>
      </c>
      <c r="B65" t="s">
        <v>67</v>
      </c>
      <c r="C65" t="s">
        <v>67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0.01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0.99</v>
      </c>
      <c r="Y65">
        <v>0</v>
      </c>
    </row>
    <row r="66" spans="1:25">
      <c r="A66">
        <v>65</v>
      </c>
      <c r="B66" t="s">
        <v>33</v>
      </c>
      <c r="C66" t="s">
        <v>33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66</v>
      </c>
      <c r="B67" t="s">
        <v>21</v>
      </c>
      <c r="C67" t="s">
        <v>21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1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67</v>
      </c>
      <c r="B68" t="s">
        <v>36</v>
      </c>
      <c r="C68" t="s">
        <v>36</v>
      </c>
      <c r="D68">
        <v>0</v>
      </c>
      <c r="E68">
        <v>0</v>
      </c>
      <c r="F68">
        <v>0</v>
      </c>
      <c r="G68">
        <v>0.33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0.67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68</v>
      </c>
      <c r="B69" t="s">
        <v>119</v>
      </c>
      <c r="C69" t="s">
        <v>119</v>
      </c>
      <c r="D69">
        <v>0</v>
      </c>
      <c r="E69">
        <v>0</v>
      </c>
      <c r="F69">
        <v>0.28999999999999998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0.71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69</v>
      </c>
      <c r="B70" t="s">
        <v>33</v>
      </c>
      <c r="C70" t="s">
        <v>33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70</v>
      </c>
      <c r="B71" t="s">
        <v>54</v>
      </c>
      <c r="C71" t="s">
        <v>54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0.03</v>
      </c>
      <c r="T71">
        <v>0</v>
      </c>
      <c r="U71">
        <v>0.01</v>
      </c>
      <c r="V71">
        <v>0.96</v>
      </c>
      <c r="W71">
        <v>0</v>
      </c>
      <c r="X71">
        <v>0</v>
      </c>
      <c r="Y71">
        <v>0</v>
      </c>
    </row>
    <row r="72" spans="1:25">
      <c r="A72">
        <v>71</v>
      </c>
      <c r="B72" t="s">
        <v>75</v>
      </c>
      <c r="C72" t="s">
        <v>75</v>
      </c>
      <c r="D72">
        <v>0</v>
      </c>
      <c r="E72">
        <v>0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72</v>
      </c>
      <c r="B73" t="s">
        <v>33</v>
      </c>
      <c r="C73" t="s">
        <v>33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73</v>
      </c>
      <c r="B74" t="s">
        <v>67</v>
      </c>
      <c r="C74" t="s">
        <v>67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0.02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0.98</v>
      </c>
      <c r="Y74">
        <v>0</v>
      </c>
    </row>
    <row r="75" spans="1:25">
      <c r="A75">
        <v>74</v>
      </c>
      <c r="B75" t="s">
        <v>26</v>
      </c>
      <c r="C75" t="s">
        <v>26</v>
      </c>
      <c r="D75">
        <v>0</v>
      </c>
      <c r="E75">
        <v>0</v>
      </c>
      <c r="F75">
        <v>0</v>
      </c>
      <c r="G75">
        <v>0.97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0.03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75</v>
      </c>
      <c r="B76" t="s">
        <v>21</v>
      </c>
      <c r="C76" t="s">
        <v>21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1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76</v>
      </c>
      <c r="B77" t="s">
        <v>21</v>
      </c>
      <c r="C77" t="s">
        <v>21</v>
      </c>
      <c r="D77">
        <v>0</v>
      </c>
      <c r="E77">
        <v>0</v>
      </c>
      <c r="F77">
        <v>0</v>
      </c>
      <c r="G77">
        <v>0</v>
      </c>
      <c r="H77">
        <v>0</v>
      </c>
      <c r="I77">
        <v>0.01</v>
      </c>
      <c r="J77">
        <v>0</v>
      </c>
      <c r="K77">
        <v>0.99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77</v>
      </c>
      <c r="B78" t="s">
        <v>26</v>
      </c>
      <c r="C78" t="s">
        <v>26</v>
      </c>
      <c r="D78">
        <v>0</v>
      </c>
      <c r="E78">
        <v>0</v>
      </c>
      <c r="F78">
        <v>0</v>
      </c>
      <c r="G78">
        <v>0.98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0.02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78</v>
      </c>
      <c r="B79" t="s">
        <v>33</v>
      </c>
      <c r="C79" t="s">
        <v>33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79</v>
      </c>
      <c r="B80" t="s">
        <v>21</v>
      </c>
      <c r="C80" t="s">
        <v>21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80</v>
      </c>
      <c r="B81" t="s">
        <v>26</v>
      </c>
      <c r="C81" t="s">
        <v>26</v>
      </c>
      <c r="D81">
        <v>0</v>
      </c>
      <c r="E81">
        <v>0</v>
      </c>
      <c r="F81">
        <v>0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81</v>
      </c>
      <c r="B82" t="s">
        <v>26</v>
      </c>
      <c r="C82" t="s">
        <v>26</v>
      </c>
      <c r="D82">
        <v>0</v>
      </c>
      <c r="E82">
        <v>0</v>
      </c>
      <c r="F82">
        <v>0</v>
      </c>
      <c r="G82">
        <v>0.91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0.09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82</v>
      </c>
      <c r="B83" t="s">
        <v>85</v>
      </c>
      <c r="C83" t="s">
        <v>85</v>
      </c>
      <c r="D83">
        <v>0</v>
      </c>
      <c r="E83">
        <v>0</v>
      </c>
      <c r="F83">
        <v>0</v>
      </c>
      <c r="G83">
        <v>0</v>
      </c>
      <c r="H83">
        <v>0</v>
      </c>
      <c r="I83">
        <v>0.04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0.96</v>
      </c>
    </row>
    <row r="84" spans="1:25">
      <c r="A84">
        <v>83</v>
      </c>
      <c r="B84" t="s">
        <v>40</v>
      </c>
      <c r="C84" t="s">
        <v>40</v>
      </c>
      <c r="D84">
        <v>0</v>
      </c>
      <c r="E84">
        <v>0.04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0.05</v>
      </c>
      <c r="M84">
        <v>0.91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84</v>
      </c>
      <c r="B85" t="s">
        <v>26</v>
      </c>
      <c r="C85" t="s">
        <v>26</v>
      </c>
      <c r="D85">
        <v>0</v>
      </c>
      <c r="E85">
        <v>0</v>
      </c>
      <c r="F85">
        <v>0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85</v>
      </c>
      <c r="B86" t="s">
        <v>67</v>
      </c>
      <c r="C86" t="s">
        <v>67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1</v>
      </c>
      <c r="Y86">
        <v>0</v>
      </c>
    </row>
    <row r="87" spans="1:25">
      <c r="A87">
        <v>86</v>
      </c>
      <c r="B87" t="s">
        <v>45</v>
      </c>
      <c r="C87" t="s">
        <v>45</v>
      </c>
      <c r="D87">
        <v>0</v>
      </c>
      <c r="E87">
        <v>0</v>
      </c>
      <c r="F87">
        <v>0</v>
      </c>
      <c r="G87">
        <v>0</v>
      </c>
      <c r="H87">
        <v>0</v>
      </c>
      <c r="I87">
        <v>0.96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0.04</v>
      </c>
    </row>
    <row r="88" spans="1:25">
      <c r="A88">
        <v>87</v>
      </c>
      <c r="B88" t="s">
        <v>26</v>
      </c>
      <c r="C88" t="s">
        <v>26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88</v>
      </c>
      <c r="B89" t="s">
        <v>107</v>
      </c>
      <c r="C89" t="s">
        <v>107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0.01</v>
      </c>
      <c r="N89">
        <v>0</v>
      </c>
      <c r="O89">
        <v>0.99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89</v>
      </c>
      <c r="B90" t="s">
        <v>67</v>
      </c>
      <c r="C90" t="s">
        <v>67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0.04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0.96</v>
      </c>
      <c r="Y90">
        <v>0</v>
      </c>
    </row>
    <row r="91" spans="1:25">
      <c r="A91">
        <v>90</v>
      </c>
      <c r="B91" t="s">
        <v>45</v>
      </c>
      <c r="C91" t="s">
        <v>45</v>
      </c>
      <c r="D91">
        <v>0</v>
      </c>
      <c r="E91">
        <v>0</v>
      </c>
      <c r="F91">
        <v>0</v>
      </c>
      <c r="G91">
        <v>0</v>
      </c>
      <c r="H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91</v>
      </c>
      <c r="B92" t="s">
        <v>85</v>
      </c>
      <c r="C92" t="s">
        <v>85</v>
      </c>
      <c r="D92">
        <v>0</v>
      </c>
      <c r="E92">
        <v>0</v>
      </c>
      <c r="F92">
        <v>0</v>
      </c>
      <c r="G92">
        <v>0</v>
      </c>
      <c r="H92">
        <v>0</v>
      </c>
      <c r="I92">
        <v>0.22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0.78</v>
      </c>
    </row>
    <row r="93" spans="1:25">
      <c r="A93">
        <v>92</v>
      </c>
      <c r="B93" t="s">
        <v>33</v>
      </c>
      <c r="C93" t="s">
        <v>33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1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93</v>
      </c>
      <c r="B94" t="s">
        <v>21</v>
      </c>
      <c r="C94" t="s">
        <v>21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0.96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0.04</v>
      </c>
      <c r="Y94">
        <v>0</v>
      </c>
    </row>
    <row r="95" spans="1:25">
      <c r="A95">
        <v>94</v>
      </c>
      <c r="B95" t="s">
        <v>116</v>
      </c>
      <c r="C95" t="s">
        <v>116</v>
      </c>
      <c r="D95">
        <v>0</v>
      </c>
      <c r="E95">
        <v>0</v>
      </c>
      <c r="F95">
        <v>0</v>
      </c>
      <c r="G95">
        <v>0.01</v>
      </c>
      <c r="H95">
        <v>0.01</v>
      </c>
      <c r="I95">
        <v>0</v>
      </c>
      <c r="J95">
        <v>0.95</v>
      </c>
      <c r="K95">
        <v>0</v>
      </c>
      <c r="L95">
        <v>0</v>
      </c>
      <c r="M95">
        <v>0.03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95</v>
      </c>
      <c r="B96" t="s">
        <v>21</v>
      </c>
      <c r="C96" t="s">
        <v>21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1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96</v>
      </c>
      <c r="B97" t="s">
        <v>33</v>
      </c>
      <c r="C97" t="s">
        <v>33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97</v>
      </c>
      <c r="B98" t="s">
        <v>26</v>
      </c>
      <c r="C98" t="s">
        <v>26</v>
      </c>
      <c r="D98">
        <v>0</v>
      </c>
      <c r="E98">
        <v>0</v>
      </c>
      <c r="F98">
        <v>0</v>
      </c>
      <c r="G98">
        <v>0.99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0.01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98</v>
      </c>
      <c r="B99" t="s">
        <v>36</v>
      </c>
      <c r="C99" t="s">
        <v>36</v>
      </c>
      <c r="D99">
        <v>0</v>
      </c>
      <c r="E99">
        <v>0</v>
      </c>
      <c r="F99">
        <v>0</v>
      </c>
      <c r="G99">
        <v>0.01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0.99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99</v>
      </c>
      <c r="B100" t="s">
        <v>75</v>
      </c>
      <c r="C100" t="s">
        <v>75</v>
      </c>
      <c r="D100">
        <v>0</v>
      </c>
      <c r="E100">
        <v>0</v>
      </c>
      <c r="F100">
        <v>0.99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0.01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100</v>
      </c>
      <c r="B101" t="s">
        <v>33</v>
      </c>
      <c r="C101" t="s">
        <v>33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101</v>
      </c>
      <c r="B102" t="s">
        <v>33</v>
      </c>
      <c r="C102" t="s">
        <v>33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1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102</v>
      </c>
      <c r="B103" t="s">
        <v>21</v>
      </c>
      <c r="C103" t="s">
        <v>21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103</v>
      </c>
      <c r="B104" t="s">
        <v>67</v>
      </c>
      <c r="C104" t="s">
        <v>67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1</v>
      </c>
      <c r="Y104">
        <v>0</v>
      </c>
    </row>
    <row r="105" spans="1:25">
      <c r="A105">
        <v>104</v>
      </c>
      <c r="B105" t="s">
        <v>26</v>
      </c>
      <c r="C105" t="s">
        <v>26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105</v>
      </c>
      <c r="B106" t="s">
        <v>26</v>
      </c>
      <c r="C106" t="s">
        <v>26</v>
      </c>
      <c r="D106">
        <v>0</v>
      </c>
      <c r="E106">
        <v>0</v>
      </c>
      <c r="F106">
        <v>0</v>
      </c>
      <c r="G106">
        <v>0.99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0.01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106</v>
      </c>
      <c r="B107" t="s">
        <v>33</v>
      </c>
      <c r="C107" t="s">
        <v>33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107</v>
      </c>
      <c r="B108" t="s">
        <v>188</v>
      </c>
      <c r="C108" t="s">
        <v>188</v>
      </c>
      <c r="D108">
        <v>0.01</v>
      </c>
      <c r="E108">
        <v>0.01</v>
      </c>
      <c r="F108">
        <v>0</v>
      </c>
      <c r="G108">
        <v>0</v>
      </c>
      <c r="H108">
        <v>0.1</v>
      </c>
      <c r="I108">
        <v>0</v>
      </c>
      <c r="J108">
        <v>0</v>
      </c>
      <c r="K108">
        <v>0</v>
      </c>
      <c r="L108">
        <v>0.63</v>
      </c>
      <c r="M108">
        <v>0.02</v>
      </c>
      <c r="N108">
        <v>0</v>
      </c>
      <c r="O108">
        <v>0.01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0.06</v>
      </c>
      <c r="V108">
        <v>0</v>
      </c>
      <c r="W108">
        <v>0.16</v>
      </c>
      <c r="X108">
        <v>0</v>
      </c>
      <c r="Y108">
        <v>0</v>
      </c>
    </row>
    <row r="109" spans="1:25">
      <c r="A109">
        <v>108</v>
      </c>
      <c r="B109" t="s">
        <v>54</v>
      </c>
      <c r="C109" t="s">
        <v>54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0.14000000000000001</v>
      </c>
      <c r="T109">
        <v>0</v>
      </c>
      <c r="U109">
        <v>0</v>
      </c>
      <c r="V109">
        <v>0.86</v>
      </c>
      <c r="W109">
        <v>0</v>
      </c>
      <c r="X109">
        <v>0</v>
      </c>
      <c r="Y109">
        <v>0</v>
      </c>
    </row>
    <row r="110" spans="1:25">
      <c r="A110">
        <v>109</v>
      </c>
      <c r="B110" t="s">
        <v>188</v>
      </c>
      <c r="C110" t="s">
        <v>188</v>
      </c>
      <c r="D110">
        <v>0</v>
      </c>
      <c r="E110">
        <v>0.01</v>
      </c>
      <c r="F110">
        <v>0</v>
      </c>
      <c r="G110">
        <v>0</v>
      </c>
      <c r="H110">
        <v>0.02</v>
      </c>
      <c r="I110">
        <v>0</v>
      </c>
      <c r="J110">
        <v>0</v>
      </c>
      <c r="K110">
        <v>0</v>
      </c>
      <c r="L110">
        <v>0.53</v>
      </c>
      <c r="M110">
        <v>0.39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0.04</v>
      </c>
      <c r="V110">
        <v>0</v>
      </c>
      <c r="W110">
        <v>0.01</v>
      </c>
      <c r="X110">
        <v>0</v>
      </c>
      <c r="Y110">
        <v>0</v>
      </c>
    </row>
    <row r="111" spans="1:25">
      <c r="A111">
        <v>110</v>
      </c>
      <c r="B111" t="s">
        <v>21</v>
      </c>
      <c r="C111" t="s">
        <v>21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111</v>
      </c>
      <c r="B112" t="s">
        <v>26</v>
      </c>
      <c r="C112" t="s">
        <v>26</v>
      </c>
      <c r="D112">
        <v>0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112</v>
      </c>
      <c r="B113" t="s">
        <v>33</v>
      </c>
      <c r="C113" t="s">
        <v>33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113</v>
      </c>
      <c r="B114" t="s">
        <v>196</v>
      </c>
      <c r="C114" t="s">
        <v>196</v>
      </c>
      <c r="D114">
        <v>0</v>
      </c>
      <c r="E114">
        <v>0.08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0.09</v>
      </c>
      <c r="M114">
        <v>0.23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0.55000000000000004</v>
      </c>
      <c r="V114">
        <v>0</v>
      </c>
      <c r="W114">
        <v>0.05</v>
      </c>
      <c r="X114">
        <v>0</v>
      </c>
      <c r="Y114">
        <v>0</v>
      </c>
    </row>
    <row r="115" spans="1:25">
      <c r="A115">
        <v>114</v>
      </c>
      <c r="B115" t="s">
        <v>85</v>
      </c>
      <c r="C115" t="s">
        <v>85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0.23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0.77</v>
      </c>
    </row>
    <row r="116" spans="1:25">
      <c r="A116">
        <v>115</v>
      </c>
      <c r="B116" t="s">
        <v>85</v>
      </c>
      <c r="C116" t="s">
        <v>85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0.03</v>
      </c>
      <c r="J116">
        <v>0</v>
      </c>
      <c r="K116">
        <v>0.02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0.95</v>
      </c>
    </row>
    <row r="117" spans="1:25">
      <c r="A117">
        <v>116</v>
      </c>
      <c r="B117" t="s">
        <v>128</v>
      </c>
      <c r="C117" t="s">
        <v>128</v>
      </c>
      <c r="D117">
        <v>0</v>
      </c>
      <c r="E117">
        <v>0.02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0.96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0.02</v>
      </c>
      <c r="X117">
        <v>0</v>
      </c>
      <c r="Y117">
        <v>0</v>
      </c>
    </row>
    <row r="118" spans="1:25">
      <c r="A118">
        <v>117</v>
      </c>
      <c r="B118" t="s">
        <v>45</v>
      </c>
      <c r="C118" t="s">
        <v>45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0.93</v>
      </c>
      <c r="J118">
        <v>0</v>
      </c>
      <c r="K118">
        <v>0.01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0.06</v>
      </c>
    </row>
    <row r="119" spans="1:25">
      <c r="A119">
        <v>118</v>
      </c>
      <c r="B119" t="s">
        <v>21</v>
      </c>
      <c r="C119" t="s">
        <v>21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119</v>
      </c>
      <c r="B120" t="s">
        <v>45</v>
      </c>
      <c r="C120" t="s">
        <v>45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0.92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0.08</v>
      </c>
    </row>
    <row r="121" spans="1:25">
      <c r="A121">
        <v>120</v>
      </c>
      <c r="B121" t="s">
        <v>80</v>
      </c>
      <c r="C121" t="s">
        <v>80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0.77</v>
      </c>
      <c r="T121">
        <v>0.01</v>
      </c>
      <c r="U121">
        <v>0</v>
      </c>
      <c r="V121">
        <v>0.22</v>
      </c>
      <c r="W121">
        <v>0</v>
      </c>
      <c r="X121">
        <v>0</v>
      </c>
      <c r="Y121">
        <v>0</v>
      </c>
    </row>
    <row r="122" spans="1:25">
      <c r="A122">
        <v>121</v>
      </c>
      <c r="B122" t="s">
        <v>36</v>
      </c>
      <c r="C122" t="s">
        <v>36</v>
      </c>
      <c r="D122">
        <v>0</v>
      </c>
      <c r="E122">
        <v>0</v>
      </c>
      <c r="F122">
        <v>0</v>
      </c>
      <c r="G122">
        <v>0.28000000000000003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0.72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122</v>
      </c>
      <c r="B123" t="s">
        <v>21</v>
      </c>
      <c r="C123" t="s">
        <v>21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123</v>
      </c>
      <c r="B124" t="s">
        <v>21</v>
      </c>
      <c r="C124" t="s">
        <v>21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124</v>
      </c>
      <c r="B125" t="s">
        <v>26</v>
      </c>
      <c r="C125" t="s">
        <v>26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125</v>
      </c>
      <c r="B126" t="s">
        <v>33</v>
      </c>
      <c r="C126" t="s">
        <v>33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1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126</v>
      </c>
      <c r="B127" t="s">
        <v>26</v>
      </c>
      <c r="C127" t="s">
        <v>26</v>
      </c>
      <c r="D127">
        <v>0</v>
      </c>
      <c r="E127">
        <v>0</v>
      </c>
      <c r="F127">
        <v>0</v>
      </c>
      <c r="G127">
        <v>0.99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0.01</v>
      </c>
    </row>
    <row r="128" spans="1:25">
      <c r="A128">
        <v>127</v>
      </c>
      <c r="B128" t="s">
        <v>75</v>
      </c>
      <c r="C128" t="s">
        <v>75</v>
      </c>
      <c r="D128">
        <v>0</v>
      </c>
      <c r="E128">
        <v>0</v>
      </c>
      <c r="F128">
        <v>0.99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0.01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128</v>
      </c>
      <c r="B129" t="s">
        <v>128</v>
      </c>
      <c r="C129" t="s">
        <v>128</v>
      </c>
      <c r="D129">
        <v>0.01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0.98</v>
      </c>
      <c r="O129">
        <v>0</v>
      </c>
      <c r="P129">
        <v>0</v>
      </c>
      <c r="Q129">
        <v>0.01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129</v>
      </c>
      <c r="B130" t="s">
        <v>21</v>
      </c>
      <c r="C130" t="s">
        <v>21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0.66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0.34</v>
      </c>
      <c r="Y130">
        <v>0</v>
      </c>
    </row>
    <row r="131" spans="1:25">
      <c r="A131">
        <v>130</v>
      </c>
      <c r="B131" t="s">
        <v>26</v>
      </c>
      <c r="C131" t="s">
        <v>26</v>
      </c>
      <c r="D131">
        <v>0</v>
      </c>
      <c r="E131">
        <v>0</v>
      </c>
      <c r="F131">
        <v>0</v>
      </c>
      <c r="G131">
        <v>0.96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0.04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131</v>
      </c>
      <c r="B132" t="s">
        <v>119</v>
      </c>
      <c r="C132" t="s">
        <v>119</v>
      </c>
      <c r="D132">
        <v>0</v>
      </c>
      <c r="E132">
        <v>0</v>
      </c>
      <c r="F132">
        <v>0.17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0.83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132</v>
      </c>
      <c r="B133" t="s">
        <v>33</v>
      </c>
      <c r="C133" t="s">
        <v>33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133</v>
      </c>
      <c r="B134" t="s">
        <v>116</v>
      </c>
      <c r="C134" t="s">
        <v>116</v>
      </c>
      <c r="D134">
        <v>0</v>
      </c>
      <c r="E134">
        <v>0</v>
      </c>
      <c r="F134">
        <v>0</v>
      </c>
      <c r="G134">
        <v>0.01</v>
      </c>
      <c r="H134">
        <v>0</v>
      </c>
      <c r="I134">
        <v>0</v>
      </c>
      <c r="J134">
        <v>0.98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0.01</v>
      </c>
      <c r="V134">
        <v>0</v>
      </c>
      <c r="W134">
        <v>0</v>
      </c>
      <c r="X134">
        <v>0</v>
      </c>
      <c r="Y134">
        <v>0</v>
      </c>
    </row>
    <row r="135" spans="1:25">
      <c r="A135">
        <v>134</v>
      </c>
      <c r="B135" t="s">
        <v>221</v>
      </c>
      <c r="C135" t="s">
        <v>221</v>
      </c>
      <c r="D135">
        <v>0</v>
      </c>
      <c r="E135">
        <v>0.01</v>
      </c>
      <c r="F135">
        <v>0</v>
      </c>
      <c r="G135">
        <v>0.01</v>
      </c>
      <c r="H135">
        <v>0.81</v>
      </c>
      <c r="I135">
        <v>0</v>
      </c>
      <c r="J135">
        <v>0.01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0.15</v>
      </c>
      <c r="X135">
        <v>0</v>
      </c>
      <c r="Y135">
        <v>0.01</v>
      </c>
    </row>
    <row r="136" spans="1:25">
      <c r="A136">
        <v>135</v>
      </c>
      <c r="B136" t="s">
        <v>67</v>
      </c>
      <c r="C136" t="s">
        <v>67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0.01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0.99</v>
      </c>
      <c r="Y136">
        <v>0</v>
      </c>
    </row>
    <row r="137" spans="1:25">
      <c r="A137">
        <v>136</v>
      </c>
      <c r="B137" t="s">
        <v>61</v>
      </c>
      <c r="C137" t="s">
        <v>61</v>
      </c>
      <c r="D137">
        <v>0.9</v>
      </c>
      <c r="E137">
        <v>0</v>
      </c>
      <c r="F137">
        <v>0.02</v>
      </c>
      <c r="G137">
        <v>0</v>
      </c>
      <c r="H137">
        <v>0</v>
      </c>
      <c r="I137">
        <v>0</v>
      </c>
      <c r="J137">
        <v>0</v>
      </c>
      <c r="K137">
        <v>0.02</v>
      </c>
      <c r="L137">
        <v>0</v>
      </c>
      <c r="M137">
        <v>0</v>
      </c>
      <c r="N137">
        <v>0.05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0.01</v>
      </c>
      <c r="Y137">
        <v>0</v>
      </c>
    </row>
    <row r="138" spans="1:25">
      <c r="A138">
        <v>137</v>
      </c>
      <c r="B138" t="s">
        <v>26</v>
      </c>
      <c r="C138" t="s">
        <v>26</v>
      </c>
      <c r="D138">
        <v>0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138</v>
      </c>
      <c r="B139" t="s">
        <v>80</v>
      </c>
      <c r="C139" t="s">
        <v>80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0.96</v>
      </c>
      <c r="T139">
        <v>0</v>
      </c>
      <c r="U139">
        <v>0</v>
      </c>
      <c r="V139">
        <v>0.04</v>
      </c>
      <c r="W139">
        <v>0</v>
      </c>
      <c r="X139">
        <v>0</v>
      </c>
      <c r="Y139">
        <v>0</v>
      </c>
    </row>
    <row r="140" spans="1:25">
      <c r="A140">
        <v>139</v>
      </c>
      <c r="B140" t="s">
        <v>85</v>
      </c>
      <c r="C140" t="s">
        <v>85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0.04</v>
      </c>
      <c r="J140">
        <v>0.01</v>
      </c>
      <c r="K140">
        <v>0.19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0.02</v>
      </c>
      <c r="X140">
        <v>0</v>
      </c>
      <c r="Y140">
        <v>0.74</v>
      </c>
    </row>
    <row r="141" spans="1:25">
      <c r="A141">
        <v>140</v>
      </c>
      <c r="B141" t="s">
        <v>45</v>
      </c>
      <c r="C141" t="s">
        <v>45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0.97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0.03</v>
      </c>
    </row>
    <row r="142" spans="1:25">
      <c r="A142">
        <v>141</v>
      </c>
      <c r="B142" t="s">
        <v>85</v>
      </c>
      <c r="C142" t="s">
        <v>85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0.11</v>
      </c>
      <c r="J142">
        <v>0</v>
      </c>
      <c r="K142">
        <v>0.15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0.74</v>
      </c>
    </row>
    <row r="143" spans="1:25">
      <c r="A143">
        <v>142</v>
      </c>
      <c r="B143" t="s">
        <v>26</v>
      </c>
      <c r="C143" t="s">
        <v>26</v>
      </c>
      <c r="D143">
        <v>0</v>
      </c>
      <c r="E143">
        <v>0</v>
      </c>
      <c r="F143">
        <v>0</v>
      </c>
      <c r="G143">
        <v>0.93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7.0000000000000007E-2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143</v>
      </c>
      <c r="B144" t="s">
        <v>119</v>
      </c>
      <c r="C144" t="s">
        <v>119</v>
      </c>
      <c r="D144">
        <v>0</v>
      </c>
      <c r="E144">
        <v>0</v>
      </c>
      <c r="F144">
        <v>0.25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0.75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144</v>
      </c>
      <c r="B145" t="s">
        <v>67</v>
      </c>
      <c r="C145" t="s">
        <v>67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0.03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0.97</v>
      </c>
      <c r="Y145">
        <v>0</v>
      </c>
    </row>
    <row r="146" spans="1:25">
      <c r="A146">
        <v>145</v>
      </c>
      <c r="B146" t="s">
        <v>107</v>
      </c>
      <c r="C146" t="s">
        <v>107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146</v>
      </c>
      <c r="B147" t="s">
        <v>33</v>
      </c>
      <c r="C147" t="s">
        <v>33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1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147</v>
      </c>
      <c r="B148" t="s">
        <v>67</v>
      </c>
      <c r="C148" t="s">
        <v>67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0.01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0.99</v>
      </c>
      <c r="Y148">
        <v>0</v>
      </c>
    </row>
    <row r="149" spans="1:25">
      <c r="A149">
        <v>148</v>
      </c>
      <c r="B149" t="s">
        <v>54</v>
      </c>
      <c r="C149" t="s">
        <v>54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0.01</v>
      </c>
      <c r="T149">
        <v>0</v>
      </c>
      <c r="U149">
        <v>0.02</v>
      </c>
      <c r="V149">
        <v>0.97</v>
      </c>
      <c r="W149">
        <v>0</v>
      </c>
      <c r="X149">
        <v>0</v>
      </c>
      <c r="Y149">
        <v>0</v>
      </c>
    </row>
    <row r="150" spans="1:25">
      <c r="A150">
        <v>149</v>
      </c>
      <c r="B150" t="s">
        <v>80</v>
      </c>
      <c r="C150" t="s">
        <v>80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0.98</v>
      </c>
      <c r="T150">
        <v>0</v>
      </c>
      <c r="U150">
        <v>0</v>
      </c>
      <c r="V150">
        <v>0.02</v>
      </c>
      <c r="W150">
        <v>0</v>
      </c>
      <c r="X150">
        <v>0</v>
      </c>
      <c r="Y150">
        <v>0</v>
      </c>
    </row>
    <row r="151" spans="1:25">
      <c r="A151">
        <v>150</v>
      </c>
      <c r="B151" t="s">
        <v>33</v>
      </c>
      <c r="C151" t="s">
        <v>33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1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151</v>
      </c>
      <c r="B152" t="s">
        <v>128</v>
      </c>
      <c r="C152" t="s">
        <v>128</v>
      </c>
      <c r="D152">
        <v>0</v>
      </c>
      <c r="E152">
        <v>0.02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0.97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0.01</v>
      </c>
      <c r="X152">
        <v>0</v>
      </c>
      <c r="Y152">
        <v>0</v>
      </c>
    </row>
    <row r="153" spans="1:25">
      <c r="A153">
        <v>152</v>
      </c>
      <c r="B153" t="s">
        <v>26</v>
      </c>
      <c r="C153" t="s">
        <v>26</v>
      </c>
      <c r="D153">
        <v>0</v>
      </c>
      <c r="E153">
        <v>0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153</v>
      </c>
      <c r="B154" t="s">
        <v>67</v>
      </c>
      <c r="C154" t="s">
        <v>67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0.04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0.96</v>
      </c>
      <c r="Y154">
        <v>0</v>
      </c>
    </row>
    <row r="155" spans="1:25">
      <c r="A155">
        <v>154</v>
      </c>
      <c r="B155" t="s">
        <v>128</v>
      </c>
      <c r="C155" t="s">
        <v>128</v>
      </c>
      <c r="D155">
        <v>0</v>
      </c>
      <c r="E155">
        <v>0</v>
      </c>
      <c r="F155">
        <v>0.01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0.99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155</v>
      </c>
      <c r="B156" t="s">
        <v>40</v>
      </c>
      <c r="C156" t="s">
        <v>40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0.04</v>
      </c>
      <c r="M156">
        <v>0.94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0.01</v>
      </c>
      <c r="V156">
        <v>0</v>
      </c>
      <c r="W156">
        <v>0.01</v>
      </c>
      <c r="X156">
        <v>0</v>
      </c>
      <c r="Y156">
        <v>0</v>
      </c>
    </row>
    <row r="157" spans="1:25">
      <c r="A157">
        <v>156</v>
      </c>
      <c r="B157" t="s">
        <v>188</v>
      </c>
      <c r="C157" t="s">
        <v>188</v>
      </c>
      <c r="D157">
        <v>0</v>
      </c>
      <c r="E157">
        <v>0.03</v>
      </c>
      <c r="F157">
        <v>0</v>
      </c>
      <c r="G157">
        <v>0</v>
      </c>
      <c r="H157">
        <v>0.23</v>
      </c>
      <c r="I157">
        <v>0</v>
      </c>
      <c r="J157">
        <v>0</v>
      </c>
      <c r="K157">
        <v>0</v>
      </c>
      <c r="L157">
        <v>0.63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0.11</v>
      </c>
      <c r="V157">
        <v>0</v>
      </c>
      <c r="W157">
        <v>0</v>
      </c>
      <c r="X157">
        <v>0</v>
      </c>
      <c r="Y157">
        <v>0</v>
      </c>
    </row>
    <row r="158" spans="1:25">
      <c r="A158">
        <v>157</v>
      </c>
      <c r="B158" t="s">
        <v>221</v>
      </c>
      <c r="C158" t="s">
        <v>221</v>
      </c>
      <c r="D158">
        <v>0</v>
      </c>
      <c r="E158">
        <v>0.11</v>
      </c>
      <c r="F158">
        <v>0</v>
      </c>
      <c r="G158">
        <v>0</v>
      </c>
      <c r="H158">
        <v>0.61</v>
      </c>
      <c r="I158">
        <v>0</v>
      </c>
      <c r="J158">
        <v>0</v>
      </c>
      <c r="K158">
        <v>0</v>
      </c>
      <c r="L158">
        <v>0.13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0.15</v>
      </c>
      <c r="V158">
        <v>0</v>
      </c>
      <c r="W158">
        <v>0</v>
      </c>
      <c r="X158">
        <v>0</v>
      </c>
      <c r="Y158">
        <v>0</v>
      </c>
    </row>
    <row r="159" spans="1:25">
      <c r="A159">
        <v>158</v>
      </c>
      <c r="B159" t="s">
        <v>21</v>
      </c>
      <c r="C159" t="s">
        <v>21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159</v>
      </c>
      <c r="B160" t="s">
        <v>80</v>
      </c>
      <c r="C160" t="s">
        <v>80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0.93</v>
      </c>
      <c r="T160">
        <v>0</v>
      </c>
      <c r="U160">
        <v>0</v>
      </c>
      <c r="V160">
        <v>7.0000000000000007E-2</v>
      </c>
      <c r="W160">
        <v>0</v>
      </c>
      <c r="X160">
        <v>0</v>
      </c>
      <c r="Y160">
        <v>0</v>
      </c>
    </row>
    <row r="161" spans="1:25">
      <c r="A161">
        <v>160</v>
      </c>
      <c r="B161" t="s">
        <v>26</v>
      </c>
      <c r="C161" t="s">
        <v>26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161</v>
      </c>
      <c r="B162" t="s">
        <v>107</v>
      </c>
      <c r="C162" t="s">
        <v>107</v>
      </c>
      <c r="D162">
        <v>0</v>
      </c>
      <c r="E162">
        <v>0</v>
      </c>
      <c r="F162">
        <v>0.02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0.97</v>
      </c>
      <c r="P162">
        <v>0</v>
      </c>
      <c r="Q162">
        <v>0</v>
      </c>
      <c r="R162">
        <v>0</v>
      </c>
      <c r="S162">
        <v>0.01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162</v>
      </c>
      <c r="B163" t="s">
        <v>40</v>
      </c>
      <c r="C163" t="s">
        <v>40</v>
      </c>
      <c r="D163">
        <v>0</v>
      </c>
      <c r="E163">
        <v>0.04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0.03</v>
      </c>
      <c r="M163">
        <v>0.92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0.01</v>
      </c>
      <c r="V163">
        <v>0</v>
      </c>
      <c r="W163">
        <v>0</v>
      </c>
      <c r="X163">
        <v>0</v>
      </c>
      <c r="Y163">
        <v>0</v>
      </c>
    </row>
    <row r="164" spans="1:25">
      <c r="A164">
        <v>163</v>
      </c>
      <c r="B164" t="s">
        <v>26</v>
      </c>
      <c r="C164" t="s">
        <v>26</v>
      </c>
      <c r="D164">
        <v>0</v>
      </c>
      <c r="E164">
        <v>0</v>
      </c>
      <c r="F164">
        <v>0</v>
      </c>
      <c r="G164">
        <v>0.98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0.02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164</v>
      </c>
      <c r="B165" t="s">
        <v>116</v>
      </c>
      <c r="C165" t="s">
        <v>116</v>
      </c>
      <c r="D165">
        <v>0</v>
      </c>
      <c r="E165">
        <v>0</v>
      </c>
      <c r="F165">
        <v>0</v>
      </c>
      <c r="G165">
        <v>0</v>
      </c>
      <c r="H165">
        <v>0.01</v>
      </c>
      <c r="I165">
        <v>0</v>
      </c>
      <c r="J165">
        <v>0.98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0.01</v>
      </c>
      <c r="W165">
        <v>0</v>
      </c>
      <c r="X165">
        <v>0</v>
      </c>
      <c r="Y165">
        <v>0</v>
      </c>
    </row>
    <row r="166" spans="1:25">
      <c r="A166">
        <v>165</v>
      </c>
      <c r="B166" t="s">
        <v>54</v>
      </c>
      <c r="C166" t="s">
        <v>54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0.33</v>
      </c>
      <c r="T166">
        <v>0</v>
      </c>
      <c r="U166">
        <v>0</v>
      </c>
      <c r="V166">
        <v>0.67</v>
      </c>
      <c r="W166">
        <v>0</v>
      </c>
      <c r="X166">
        <v>0</v>
      </c>
      <c r="Y166">
        <v>0</v>
      </c>
    </row>
    <row r="167" spans="1:25">
      <c r="A167">
        <v>166</v>
      </c>
      <c r="B167" t="s">
        <v>45</v>
      </c>
      <c r="C167" t="s">
        <v>45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0.89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0.11</v>
      </c>
    </row>
    <row r="168" spans="1:25">
      <c r="A168">
        <v>167</v>
      </c>
      <c r="B168" t="s">
        <v>221</v>
      </c>
      <c r="C168" t="s">
        <v>221</v>
      </c>
      <c r="D168">
        <v>0</v>
      </c>
      <c r="E168">
        <v>0.05</v>
      </c>
      <c r="F168">
        <v>0</v>
      </c>
      <c r="G168">
        <v>0</v>
      </c>
      <c r="H168">
        <v>0.73</v>
      </c>
      <c r="I168">
        <v>0</v>
      </c>
      <c r="J168">
        <v>0</v>
      </c>
      <c r="K168">
        <v>0</v>
      </c>
      <c r="L168">
        <v>0.2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0.02</v>
      </c>
      <c r="V168">
        <v>0</v>
      </c>
      <c r="W168">
        <v>0</v>
      </c>
      <c r="X168">
        <v>0</v>
      </c>
      <c r="Y168">
        <v>0</v>
      </c>
    </row>
    <row r="169" spans="1:25">
      <c r="A169">
        <v>168</v>
      </c>
      <c r="B169" t="s">
        <v>26</v>
      </c>
      <c r="C169" t="s">
        <v>26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169</v>
      </c>
      <c r="B170" t="s">
        <v>26</v>
      </c>
      <c r="C170" t="s">
        <v>26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170</v>
      </c>
      <c r="B171" t="s">
        <v>26</v>
      </c>
      <c r="C171" t="s">
        <v>26</v>
      </c>
      <c r="D171">
        <v>0</v>
      </c>
      <c r="E171">
        <v>0</v>
      </c>
      <c r="F171">
        <v>0</v>
      </c>
      <c r="G171">
        <v>0.91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0.09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>
      <c r="A172">
        <v>171</v>
      </c>
      <c r="B172" t="s">
        <v>26</v>
      </c>
      <c r="C172" t="s">
        <v>26</v>
      </c>
      <c r="D172">
        <v>0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>
      <c r="A173">
        <v>172</v>
      </c>
      <c r="B173" t="s">
        <v>26</v>
      </c>
      <c r="C173" t="s">
        <v>26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>
      <c r="A174">
        <v>173</v>
      </c>
      <c r="B174" t="s">
        <v>80</v>
      </c>
      <c r="C174" t="s">
        <v>80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>
      <c r="A175">
        <v>174</v>
      </c>
      <c r="B175" t="s">
        <v>67</v>
      </c>
      <c r="C175" t="s">
        <v>67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1</v>
      </c>
      <c r="Y175">
        <v>0</v>
      </c>
    </row>
    <row r="176" spans="1:25">
      <c r="A176">
        <v>175</v>
      </c>
      <c r="B176" t="s">
        <v>196</v>
      </c>
      <c r="C176" t="s">
        <v>196</v>
      </c>
      <c r="D176">
        <v>0</v>
      </c>
      <c r="E176">
        <v>0</v>
      </c>
      <c r="F176">
        <v>0</v>
      </c>
      <c r="G176">
        <v>0</v>
      </c>
      <c r="H176">
        <v>0.02</v>
      </c>
      <c r="I176">
        <v>0</v>
      </c>
      <c r="J176">
        <v>0.01</v>
      </c>
      <c r="K176">
        <v>0</v>
      </c>
      <c r="L176">
        <v>0.01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0.96</v>
      </c>
      <c r="V176">
        <v>0</v>
      </c>
      <c r="W176">
        <v>0</v>
      </c>
      <c r="X176">
        <v>0</v>
      </c>
      <c r="Y176">
        <v>0</v>
      </c>
    </row>
    <row r="177" spans="1:25">
      <c r="A177">
        <v>176</v>
      </c>
      <c r="B177" t="s">
        <v>45</v>
      </c>
      <c r="C177" t="s">
        <v>45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1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>
      <c r="A178">
        <v>177</v>
      </c>
      <c r="B178" t="s">
        <v>116</v>
      </c>
      <c r="C178" t="s">
        <v>116</v>
      </c>
      <c r="D178">
        <v>0</v>
      </c>
      <c r="E178">
        <v>0</v>
      </c>
      <c r="F178">
        <v>0</v>
      </c>
      <c r="G178">
        <v>0.01</v>
      </c>
      <c r="H178">
        <v>0</v>
      </c>
      <c r="I178">
        <v>0</v>
      </c>
      <c r="J178">
        <v>0.97</v>
      </c>
      <c r="K178">
        <v>0</v>
      </c>
      <c r="L178">
        <v>0</v>
      </c>
      <c r="M178">
        <v>0.02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>
      <c r="A179">
        <v>178</v>
      </c>
      <c r="B179" t="s">
        <v>26</v>
      </c>
      <c r="C179" t="s">
        <v>26</v>
      </c>
      <c r="D179">
        <v>0</v>
      </c>
      <c r="E179">
        <v>0</v>
      </c>
      <c r="F179">
        <v>0</v>
      </c>
      <c r="G179">
        <v>0.99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0.01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>
      <c r="A180">
        <v>179</v>
      </c>
      <c r="B180" t="s">
        <v>67</v>
      </c>
      <c r="C180" t="s">
        <v>67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1</v>
      </c>
      <c r="Y180">
        <v>0</v>
      </c>
    </row>
    <row r="181" spans="1:25">
      <c r="A181">
        <v>180</v>
      </c>
      <c r="B181" t="s">
        <v>67</v>
      </c>
      <c r="C181" t="s">
        <v>67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0</v>
      </c>
    </row>
    <row r="182" spans="1:25">
      <c r="A182">
        <v>181</v>
      </c>
      <c r="B182" t="s">
        <v>107</v>
      </c>
      <c r="C182" t="s">
        <v>107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1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>
      <c r="A183">
        <v>182</v>
      </c>
      <c r="B183" t="s">
        <v>21</v>
      </c>
      <c r="C183" t="s">
        <v>21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0.99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0.01</v>
      </c>
      <c r="Y183">
        <v>0</v>
      </c>
    </row>
    <row r="184" spans="1:25">
      <c r="A184">
        <v>183</v>
      </c>
      <c r="B184" t="s">
        <v>80</v>
      </c>
      <c r="C184" t="s">
        <v>80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0.97</v>
      </c>
      <c r="T184">
        <v>0</v>
      </c>
      <c r="U184">
        <v>0</v>
      </c>
      <c r="V184">
        <v>0.03</v>
      </c>
      <c r="W184">
        <v>0</v>
      </c>
      <c r="X184">
        <v>0</v>
      </c>
      <c r="Y184">
        <v>0</v>
      </c>
    </row>
    <row r="185" spans="1:25">
      <c r="A185">
        <v>184</v>
      </c>
      <c r="B185" t="s">
        <v>270</v>
      </c>
      <c r="C185" t="s">
        <v>270</v>
      </c>
      <c r="D185">
        <v>0</v>
      </c>
      <c r="E185">
        <v>0.5</v>
      </c>
      <c r="F185">
        <v>0</v>
      </c>
      <c r="G185">
        <v>0</v>
      </c>
      <c r="H185">
        <v>7.0000000000000007E-2</v>
      </c>
      <c r="I185">
        <v>0</v>
      </c>
      <c r="J185">
        <v>0</v>
      </c>
      <c r="K185">
        <v>0</v>
      </c>
      <c r="L185">
        <v>0.3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0.1</v>
      </c>
      <c r="V185">
        <v>0</v>
      </c>
      <c r="W185">
        <v>0.03</v>
      </c>
      <c r="X185">
        <v>0</v>
      </c>
      <c r="Y185">
        <v>0</v>
      </c>
    </row>
    <row r="186" spans="1:25">
      <c r="A186">
        <v>185</v>
      </c>
      <c r="B186" t="s">
        <v>33</v>
      </c>
      <c r="C186" t="s">
        <v>33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1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>
      <c r="A187">
        <v>186</v>
      </c>
      <c r="B187" t="s">
        <v>26</v>
      </c>
      <c r="C187" t="s">
        <v>26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>
      <c r="A188">
        <v>187</v>
      </c>
      <c r="B188" t="s">
        <v>188</v>
      </c>
      <c r="C188" t="s">
        <v>188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0.88</v>
      </c>
      <c r="M188">
        <v>0.01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0.03</v>
      </c>
      <c r="V188">
        <v>0</v>
      </c>
      <c r="W188">
        <v>0.08</v>
      </c>
      <c r="X188">
        <v>0</v>
      </c>
      <c r="Y188">
        <v>0</v>
      </c>
    </row>
    <row r="189" spans="1:25">
      <c r="A189">
        <v>188</v>
      </c>
      <c r="B189" t="s">
        <v>188</v>
      </c>
      <c r="C189" t="s">
        <v>188</v>
      </c>
      <c r="D189">
        <v>0</v>
      </c>
      <c r="E189">
        <v>0.03</v>
      </c>
      <c r="F189">
        <v>0</v>
      </c>
      <c r="G189">
        <v>0</v>
      </c>
      <c r="H189">
        <v>0.03</v>
      </c>
      <c r="I189">
        <v>0</v>
      </c>
      <c r="J189">
        <v>0</v>
      </c>
      <c r="K189">
        <v>0</v>
      </c>
      <c r="L189">
        <v>0.81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0.13</v>
      </c>
      <c r="V189">
        <v>0</v>
      </c>
      <c r="W189">
        <v>0</v>
      </c>
      <c r="X189">
        <v>0</v>
      </c>
      <c r="Y189">
        <v>0</v>
      </c>
    </row>
    <row r="190" spans="1:25">
      <c r="A190">
        <v>189</v>
      </c>
      <c r="B190" t="s">
        <v>67</v>
      </c>
      <c r="C190" t="s">
        <v>67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1</v>
      </c>
      <c r="Y190">
        <v>0</v>
      </c>
    </row>
    <row r="191" spans="1:25">
      <c r="A191">
        <v>190</v>
      </c>
      <c r="B191" t="s">
        <v>45</v>
      </c>
      <c r="C191" t="s">
        <v>45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>
      <c r="A192">
        <v>191</v>
      </c>
      <c r="B192" t="s">
        <v>26</v>
      </c>
      <c r="C192" t="s">
        <v>26</v>
      </c>
      <c r="D192">
        <v>0</v>
      </c>
      <c r="E192">
        <v>0</v>
      </c>
      <c r="F192">
        <v>0</v>
      </c>
      <c r="G192">
        <v>0.8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0.2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>
      <c r="A193">
        <v>192</v>
      </c>
      <c r="B193" t="s">
        <v>188</v>
      </c>
      <c r="C193" t="s">
        <v>188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0.59</v>
      </c>
      <c r="M193">
        <v>0.02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7.0000000000000007E-2</v>
      </c>
      <c r="V193">
        <v>0</v>
      </c>
      <c r="W193">
        <v>0.32</v>
      </c>
      <c r="X193">
        <v>0</v>
      </c>
      <c r="Y193">
        <v>0</v>
      </c>
    </row>
    <row r="194" spans="1:25">
      <c r="A194">
        <v>193</v>
      </c>
      <c r="B194" t="s">
        <v>270</v>
      </c>
      <c r="C194" t="s">
        <v>270</v>
      </c>
      <c r="D194">
        <v>0</v>
      </c>
      <c r="E194">
        <v>0.62</v>
      </c>
      <c r="F194">
        <v>0</v>
      </c>
      <c r="G194">
        <v>0</v>
      </c>
      <c r="H194">
        <v>0.21</v>
      </c>
      <c r="I194">
        <v>0</v>
      </c>
      <c r="J194">
        <v>0</v>
      </c>
      <c r="K194">
        <v>0</v>
      </c>
      <c r="L194">
        <v>0.06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0.11</v>
      </c>
      <c r="V194">
        <v>0</v>
      </c>
      <c r="W194">
        <v>0</v>
      </c>
      <c r="X194">
        <v>0</v>
      </c>
      <c r="Y194">
        <v>0</v>
      </c>
    </row>
    <row r="195" spans="1:25">
      <c r="A195">
        <v>194</v>
      </c>
      <c r="B195" t="s">
        <v>26</v>
      </c>
      <c r="C195" t="s">
        <v>26</v>
      </c>
      <c r="D195">
        <v>0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>
      <c r="A196">
        <v>195</v>
      </c>
      <c r="B196" t="s">
        <v>21</v>
      </c>
      <c r="C196" t="s">
        <v>21</v>
      </c>
      <c r="D196">
        <v>0</v>
      </c>
      <c r="E196">
        <v>0</v>
      </c>
      <c r="F196">
        <v>0.01</v>
      </c>
      <c r="G196">
        <v>0</v>
      </c>
      <c r="H196">
        <v>0</v>
      </c>
      <c r="I196">
        <v>0</v>
      </c>
      <c r="J196">
        <v>0</v>
      </c>
      <c r="K196">
        <v>0.8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0.19</v>
      </c>
      <c r="Y196">
        <v>0</v>
      </c>
    </row>
    <row r="197" spans="1:25">
      <c r="A197">
        <v>196</v>
      </c>
      <c r="B197" t="s">
        <v>45</v>
      </c>
      <c r="C197" t="s">
        <v>45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1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>
      <c r="A198">
        <v>197</v>
      </c>
      <c r="B198" t="s">
        <v>40</v>
      </c>
      <c r="C198" t="s">
        <v>40</v>
      </c>
      <c r="D198">
        <v>0</v>
      </c>
      <c r="E198">
        <v>0.01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0.1</v>
      </c>
      <c r="M198">
        <v>0.89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>
      <c r="A199">
        <v>198</v>
      </c>
      <c r="B199" t="s">
        <v>33</v>
      </c>
      <c r="C199" t="s">
        <v>33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>
      <c r="A200">
        <v>199</v>
      </c>
      <c r="B200" t="s">
        <v>33</v>
      </c>
      <c r="C200" t="s">
        <v>33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1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>
      <c r="A201">
        <v>200</v>
      </c>
      <c r="B201" t="s">
        <v>21</v>
      </c>
      <c r="C201" t="s">
        <v>21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>
      <c r="A202">
        <v>201</v>
      </c>
      <c r="B202" t="s">
        <v>67</v>
      </c>
      <c r="C202" t="s">
        <v>67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1</v>
      </c>
      <c r="Y202">
        <v>0</v>
      </c>
    </row>
    <row r="203" spans="1:25">
      <c r="A203">
        <v>202</v>
      </c>
      <c r="B203" t="s">
        <v>80</v>
      </c>
      <c r="C203" t="s">
        <v>80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>
      <c r="A204">
        <v>203</v>
      </c>
      <c r="B204" t="s">
        <v>33</v>
      </c>
      <c r="C204" t="s">
        <v>33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1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>
      <c r="A205">
        <v>204</v>
      </c>
      <c r="B205" t="s">
        <v>21</v>
      </c>
      <c r="C205" t="s">
        <v>21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>
      <c r="A206">
        <v>205</v>
      </c>
      <c r="B206" t="s">
        <v>21</v>
      </c>
      <c r="C206" t="s">
        <v>21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1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>
      <c r="A207">
        <v>206</v>
      </c>
      <c r="B207" t="s">
        <v>26</v>
      </c>
      <c r="C207" t="s">
        <v>26</v>
      </c>
      <c r="D207">
        <v>0</v>
      </c>
      <c r="E207">
        <v>0</v>
      </c>
      <c r="F207">
        <v>0</v>
      </c>
      <c r="G207">
        <v>0.96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0.04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>
      <c r="A208">
        <v>207</v>
      </c>
      <c r="B208" t="s">
        <v>26</v>
      </c>
      <c r="C208" t="s">
        <v>26</v>
      </c>
      <c r="D208">
        <v>0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>
      <c r="A209">
        <v>208</v>
      </c>
      <c r="B209" t="s">
        <v>26</v>
      </c>
      <c r="C209" t="s">
        <v>26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>
      <c r="A210">
        <v>209</v>
      </c>
      <c r="B210" t="s">
        <v>33</v>
      </c>
      <c r="C210" t="s">
        <v>33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</row>
    <row r="211" spans="1:25">
      <c r="A211">
        <v>210</v>
      </c>
      <c r="B211" t="s">
        <v>26</v>
      </c>
      <c r="C211" t="s">
        <v>26</v>
      </c>
      <c r="D211">
        <v>0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>
      <c r="A212">
        <v>211</v>
      </c>
      <c r="B212" t="s">
        <v>21</v>
      </c>
      <c r="C212" t="s">
        <v>21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1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>
      <c r="A213">
        <v>212</v>
      </c>
      <c r="B213" t="s">
        <v>26</v>
      </c>
      <c r="C213" t="s">
        <v>26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>
      <c r="A214">
        <v>213</v>
      </c>
      <c r="B214" t="s">
        <v>116</v>
      </c>
      <c r="C214" t="s">
        <v>116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>
      <c r="A215">
        <v>214</v>
      </c>
      <c r="B215" t="s">
        <v>26</v>
      </c>
      <c r="C215" t="s">
        <v>26</v>
      </c>
      <c r="D215">
        <v>0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>
      <c r="A216">
        <v>215</v>
      </c>
      <c r="B216" t="s">
        <v>270</v>
      </c>
      <c r="C216" t="s">
        <v>270</v>
      </c>
      <c r="D216">
        <v>0</v>
      </c>
      <c r="E216">
        <v>0.64</v>
      </c>
      <c r="F216">
        <v>0</v>
      </c>
      <c r="G216">
        <v>0</v>
      </c>
      <c r="H216">
        <v>0.05</v>
      </c>
      <c r="I216">
        <v>0</v>
      </c>
      <c r="J216">
        <v>0</v>
      </c>
      <c r="K216">
        <v>0</v>
      </c>
      <c r="L216">
        <v>0</v>
      </c>
      <c r="M216">
        <v>0.28999999999999998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0.01</v>
      </c>
      <c r="V216">
        <v>0</v>
      </c>
      <c r="W216">
        <v>0.01</v>
      </c>
      <c r="X216">
        <v>0</v>
      </c>
      <c r="Y216">
        <v>0</v>
      </c>
    </row>
    <row r="217" spans="1:25">
      <c r="A217">
        <v>216</v>
      </c>
      <c r="B217" t="s">
        <v>26</v>
      </c>
      <c r="C217" t="s">
        <v>26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>
      <c r="A218">
        <v>217</v>
      </c>
      <c r="B218" t="s">
        <v>75</v>
      </c>
      <c r="C218" t="s">
        <v>75</v>
      </c>
      <c r="D218">
        <v>0</v>
      </c>
      <c r="E218">
        <v>0</v>
      </c>
      <c r="F218">
        <v>1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>
      <c r="A219">
        <v>218</v>
      </c>
      <c r="B219" t="s">
        <v>221</v>
      </c>
      <c r="C219" t="s">
        <v>221</v>
      </c>
      <c r="D219">
        <v>0</v>
      </c>
      <c r="E219">
        <v>0</v>
      </c>
      <c r="F219">
        <v>0</v>
      </c>
      <c r="G219">
        <v>0</v>
      </c>
      <c r="H219">
        <v>0.75</v>
      </c>
      <c r="I219">
        <v>0</v>
      </c>
      <c r="J219">
        <v>0</v>
      </c>
      <c r="K219">
        <v>0</v>
      </c>
      <c r="L219">
        <v>0.22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0.03</v>
      </c>
      <c r="V219">
        <v>0</v>
      </c>
      <c r="W219">
        <v>0</v>
      </c>
      <c r="X219">
        <v>0</v>
      </c>
      <c r="Y219">
        <v>0</v>
      </c>
    </row>
    <row r="220" spans="1:25">
      <c r="A220">
        <v>219</v>
      </c>
      <c r="B220" t="s">
        <v>33</v>
      </c>
      <c r="C220" t="s">
        <v>33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1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</row>
    <row r="221" spans="1:25">
      <c r="A221">
        <v>220</v>
      </c>
      <c r="B221" t="s">
        <v>196</v>
      </c>
      <c r="C221" t="s">
        <v>196</v>
      </c>
      <c r="D221">
        <v>0.01</v>
      </c>
      <c r="E221">
        <v>0</v>
      </c>
      <c r="F221">
        <v>0</v>
      </c>
      <c r="G221">
        <v>0</v>
      </c>
      <c r="H221">
        <v>0.03</v>
      </c>
      <c r="I221">
        <v>0</v>
      </c>
      <c r="J221">
        <v>0</v>
      </c>
      <c r="K221">
        <v>0</v>
      </c>
      <c r="L221">
        <v>0</v>
      </c>
      <c r="M221">
        <v>0.01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0.93</v>
      </c>
      <c r="V221">
        <v>0</v>
      </c>
      <c r="W221">
        <v>0.02</v>
      </c>
      <c r="X221">
        <v>0</v>
      </c>
      <c r="Y221">
        <v>0</v>
      </c>
    </row>
    <row r="222" spans="1:25">
      <c r="A222">
        <v>221</v>
      </c>
      <c r="B222" t="s">
        <v>188</v>
      </c>
      <c r="C222" t="s">
        <v>188</v>
      </c>
      <c r="D222">
        <v>0</v>
      </c>
      <c r="E222">
        <v>0.12</v>
      </c>
      <c r="F222">
        <v>0</v>
      </c>
      <c r="G222">
        <v>0</v>
      </c>
      <c r="H222">
        <v>0.12</v>
      </c>
      <c r="I222">
        <v>0</v>
      </c>
      <c r="J222">
        <v>0</v>
      </c>
      <c r="K222">
        <v>0</v>
      </c>
      <c r="L222">
        <v>0.62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0.14000000000000001</v>
      </c>
      <c r="V222">
        <v>0</v>
      </c>
      <c r="W222">
        <v>0</v>
      </c>
      <c r="X222">
        <v>0</v>
      </c>
      <c r="Y222">
        <v>0</v>
      </c>
    </row>
    <row r="223" spans="1:25">
      <c r="A223">
        <v>222</v>
      </c>
      <c r="B223" t="s">
        <v>128</v>
      </c>
      <c r="C223" t="s">
        <v>128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1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>
      <c r="A224">
        <v>223</v>
      </c>
      <c r="B224" t="s">
        <v>26</v>
      </c>
      <c r="C224" t="s">
        <v>26</v>
      </c>
      <c r="D224">
        <v>0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>
      <c r="A225">
        <v>224</v>
      </c>
      <c r="B225" t="s">
        <v>21</v>
      </c>
      <c r="C225" t="s">
        <v>21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1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>
      <c r="A226">
        <v>225</v>
      </c>
      <c r="B226" t="s">
        <v>54</v>
      </c>
      <c r="C226" t="s">
        <v>54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0.17</v>
      </c>
      <c r="T226">
        <v>0</v>
      </c>
      <c r="U226">
        <v>0</v>
      </c>
      <c r="V226">
        <v>0.83</v>
      </c>
      <c r="W226">
        <v>0</v>
      </c>
      <c r="X226">
        <v>0</v>
      </c>
      <c r="Y226">
        <v>0</v>
      </c>
    </row>
    <row r="227" spans="1:25">
      <c r="A227">
        <v>226</v>
      </c>
      <c r="B227" t="s">
        <v>45</v>
      </c>
      <c r="C227" t="s">
        <v>45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>
      <c r="A228">
        <v>227</v>
      </c>
      <c r="B228" t="s">
        <v>128</v>
      </c>
      <c r="C228" t="s">
        <v>128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1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</row>
    <row r="229" spans="1:25">
      <c r="A229">
        <v>228</v>
      </c>
      <c r="B229" t="s">
        <v>128</v>
      </c>
      <c r="C229" t="s">
        <v>128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>
      <c r="A230">
        <v>229</v>
      </c>
      <c r="B230" t="s">
        <v>54</v>
      </c>
      <c r="C230" t="s">
        <v>54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0.02</v>
      </c>
      <c r="O230">
        <v>0</v>
      </c>
      <c r="P230">
        <v>0</v>
      </c>
      <c r="Q230">
        <v>0</v>
      </c>
      <c r="R230">
        <v>0</v>
      </c>
      <c r="S230">
        <v>0.32</v>
      </c>
      <c r="T230">
        <v>0</v>
      </c>
      <c r="U230">
        <v>0</v>
      </c>
      <c r="V230">
        <v>0.66</v>
      </c>
      <c r="W230">
        <v>0</v>
      </c>
      <c r="X230">
        <v>0</v>
      </c>
      <c r="Y230">
        <v>0</v>
      </c>
    </row>
    <row r="231" spans="1:25">
      <c r="A231">
        <v>230</v>
      </c>
      <c r="B231" t="s">
        <v>67</v>
      </c>
      <c r="C231" t="s">
        <v>67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1</v>
      </c>
      <c r="Y231">
        <v>0</v>
      </c>
    </row>
    <row r="232" spans="1:25">
      <c r="A232">
        <v>231</v>
      </c>
      <c r="B232" t="s">
        <v>45</v>
      </c>
      <c r="C232" t="s">
        <v>45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0.75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0.25</v>
      </c>
    </row>
    <row r="233" spans="1:25">
      <c r="A233">
        <v>232</v>
      </c>
      <c r="B233" t="s">
        <v>26</v>
      </c>
      <c r="C233" t="s">
        <v>26</v>
      </c>
      <c r="D233">
        <v>0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>
      <c r="A234">
        <v>233</v>
      </c>
      <c r="B234" t="s">
        <v>33</v>
      </c>
      <c r="C234" t="s">
        <v>33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</row>
    <row r="235" spans="1:25">
      <c r="A235">
        <v>234</v>
      </c>
      <c r="B235" t="s">
        <v>21</v>
      </c>
      <c r="C235" t="s">
        <v>21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7.0000000000000007E-2</v>
      </c>
      <c r="J235">
        <v>0</v>
      </c>
      <c r="K235">
        <v>0.78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0.09</v>
      </c>
      <c r="Y235">
        <v>0.06</v>
      </c>
    </row>
    <row r="236" spans="1:25">
      <c r="A236">
        <v>235</v>
      </c>
      <c r="B236" t="s">
        <v>116</v>
      </c>
      <c r="C236" t="s">
        <v>116</v>
      </c>
      <c r="D236">
        <v>0</v>
      </c>
      <c r="E236">
        <v>0.01</v>
      </c>
      <c r="F236">
        <v>0</v>
      </c>
      <c r="G236">
        <v>0.01</v>
      </c>
      <c r="H236">
        <v>0.01</v>
      </c>
      <c r="I236">
        <v>0</v>
      </c>
      <c r="J236">
        <v>0.92</v>
      </c>
      <c r="K236">
        <v>0</v>
      </c>
      <c r="L236">
        <v>0.03</v>
      </c>
      <c r="M236">
        <v>0.01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0.01</v>
      </c>
      <c r="V236">
        <v>0</v>
      </c>
      <c r="W236">
        <v>0</v>
      </c>
      <c r="X236">
        <v>0</v>
      </c>
      <c r="Y236">
        <v>0</v>
      </c>
    </row>
    <row r="237" spans="1:25">
      <c r="A237">
        <v>236</v>
      </c>
      <c r="B237" t="s">
        <v>128</v>
      </c>
      <c r="C237" t="s">
        <v>128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0.99</v>
      </c>
      <c r="O237">
        <v>0</v>
      </c>
      <c r="P237">
        <v>0.01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>
      <c r="A238">
        <v>237</v>
      </c>
      <c r="B238" t="s">
        <v>54</v>
      </c>
      <c r="C238" t="s">
        <v>54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7.0000000000000007E-2</v>
      </c>
      <c r="T238">
        <v>0</v>
      </c>
      <c r="U238">
        <v>0</v>
      </c>
      <c r="V238">
        <v>0.93</v>
      </c>
      <c r="W238">
        <v>0</v>
      </c>
      <c r="X238">
        <v>0</v>
      </c>
      <c r="Y238">
        <v>0</v>
      </c>
    </row>
    <row r="239" spans="1:25">
      <c r="A239">
        <v>238</v>
      </c>
      <c r="B239" t="s">
        <v>26</v>
      </c>
      <c r="C239" t="s">
        <v>26</v>
      </c>
      <c r="D239">
        <v>0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>
      <c r="A240">
        <v>239</v>
      </c>
      <c r="B240" t="s">
        <v>26</v>
      </c>
      <c r="C240" t="s">
        <v>26</v>
      </c>
      <c r="D240">
        <v>0</v>
      </c>
      <c r="E240">
        <v>0</v>
      </c>
      <c r="F240">
        <v>0</v>
      </c>
      <c r="G240">
        <v>0.97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0.03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>
      <c r="A241">
        <v>240</v>
      </c>
      <c r="B241" t="s">
        <v>33</v>
      </c>
      <c r="C241" t="s">
        <v>33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>
      <c r="A242">
        <v>241</v>
      </c>
      <c r="B242" t="s">
        <v>40</v>
      </c>
      <c r="C242" t="s">
        <v>40</v>
      </c>
      <c r="D242">
        <v>0</v>
      </c>
      <c r="E242">
        <v>0.02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0.04</v>
      </c>
      <c r="M242">
        <v>0.93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0.01</v>
      </c>
      <c r="V242">
        <v>0</v>
      </c>
      <c r="W242">
        <v>0</v>
      </c>
      <c r="X242">
        <v>0</v>
      </c>
      <c r="Y242">
        <v>0</v>
      </c>
    </row>
    <row r="243" spans="1:25">
      <c r="A243">
        <v>242</v>
      </c>
      <c r="B243" t="s">
        <v>75</v>
      </c>
      <c r="C243" t="s">
        <v>75</v>
      </c>
      <c r="D243">
        <v>0</v>
      </c>
      <c r="E243">
        <v>0</v>
      </c>
      <c r="F243">
        <v>0.96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0.02</v>
      </c>
      <c r="S243">
        <v>0</v>
      </c>
      <c r="T243">
        <v>0.02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>
      <c r="A244">
        <v>243</v>
      </c>
      <c r="B244" t="s">
        <v>75</v>
      </c>
      <c r="C244" t="s">
        <v>75</v>
      </c>
      <c r="D244">
        <v>0</v>
      </c>
      <c r="E244">
        <v>0</v>
      </c>
      <c r="F244">
        <v>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>
      <c r="A245">
        <v>244</v>
      </c>
      <c r="B245" t="s">
        <v>33</v>
      </c>
      <c r="C245" t="s">
        <v>33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1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>
      <c r="A246">
        <v>245</v>
      </c>
      <c r="B246" t="s">
        <v>21</v>
      </c>
      <c r="C246" t="s">
        <v>21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1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</row>
    <row r="247" spans="1:25">
      <c r="A247">
        <v>246</v>
      </c>
      <c r="B247" t="s">
        <v>21</v>
      </c>
      <c r="C247" t="s">
        <v>21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0.98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0.02</v>
      </c>
      <c r="Y247">
        <v>0</v>
      </c>
    </row>
    <row r="248" spans="1:25">
      <c r="A248">
        <v>247</v>
      </c>
      <c r="B248" t="s">
        <v>26</v>
      </c>
      <c r="C248" t="s">
        <v>26</v>
      </c>
      <c r="D248">
        <v>0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>
      <c r="A249">
        <v>248</v>
      </c>
      <c r="B249" t="s">
        <v>26</v>
      </c>
      <c r="C249" t="s">
        <v>26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>
      <c r="A250">
        <v>249</v>
      </c>
      <c r="B250" t="s">
        <v>270</v>
      </c>
      <c r="C250" t="s">
        <v>270</v>
      </c>
      <c r="D250">
        <v>0</v>
      </c>
      <c r="E250">
        <v>0.52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0.01</v>
      </c>
      <c r="M250">
        <v>0.47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>
      <c r="A251">
        <v>250</v>
      </c>
      <c r="B251" t="s">
        <v>67</v>
      </c>
      <c r="C251" t="s">
        <v>67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0.04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0.96</v>
      </c>
      <c r="Y251">
        <v>0</v>
      </c>
    </row>
    <row r="252" spans="1:25">
      <c r="A252">
        <v>251</v>
      </c>
      <c r="B252" t="s">
        <v>67</v>
      </c>
      <c r="C252" t="s">
        <v>67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1</v>
      </c>
      <c r="Y252">
        <v>0</v>
      </c>
    </row>
    <row r="253" spans="1:25">
      <c r="A253">
        <v>252</v>
      </c>
      <c r="B253" t="s">
        <v>26</v>
      </c>
      <c r="C253" t="s">
        <v>26</v>
      </c>
      <c r="D253">
        <v>0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</row>
    <row r="254" spans="1:25">
      <c r="A254">
        <v>253</v>
      </c>
      <c r="B254" t="s">
        <v>26</v>
      </c>
      <c r="C254" t="s">
        <v>26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>
      <c r="A255">
        <v>254</v>
      </c>
      <c r="B255" t="s">
        <v>33</v>
      </c>
      <c r="C255" t="s">
        <v>33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>
      <c r="A256">
        <v>255</v>
      </c>
      <c r="B256" t="s">
        <v>270</v>
      </c>
      <c r="C256" t="s">
        <v>270</v>
      </c>
      <c r="D256">
        <v>0.01</v>
      </c>
      <c r="E256">
        <v>0.7</v>
      </c>
      <c r="F256">
        <v>0.01</v>
      </c>
      <c r="G256">
        <v>0</v>
      </c>
      <c r="H256">
        <v>0.05</v>
      </c>
      <c r="I256">
        <v>0</v>
      </c>
      <c r="J256">
        <v>0.01</v>
      </c>
      <c r="K256">
        <v>0</v>
      </c>
      <c r="L256">
        <v>0.01</v>
      </c>
      <c r="M256">
        <v>0.04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0.16</v>
      </c>
      <c r="X256">
        <v>0</v>
      </c>
      <c r="Y256">
        <v>0.01</v>
      </c>
    </row>
    <row r="257" spans="1:25">
      <c r="A257">
        <v>256</v>
      </c>
      <c r="B257" t="s">
        <v>26</v>
      </c>
      <c r="C257" t="s">
        <v>26</v>
      </c>
      <c r="D257">
        <v>0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>
      <c r="A258">
        <v>257</v>
      </c>
      <c r="B258" t="s">
        <v>33</v>
      </c>
      <c r="C258" t="s">
        <v>33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1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>
      <c r="A259">
        <v>258</v>
      </c>
      <c r="B259" t="s">
        <v>67</v>
      </c>
      <c r="C259" t="s">
        <v>67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1</v>
      </c>
      <c r="Y259">
        <v>0</v>
      </c>
    </row>
    <row r="260" spans="1:25">
      <c r="A260">
        <v>259</v>
      </c>
      <c r="B260" t="s">
        <v>26</v>
      </c>
      <c r="C260" t="s">
        <v>26</v>
      </c>
      <c r="D260">
        <v>0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>
      <c r="A261">
        <v>260</v>
      </c>
      <c r="B261" t="s">
        <v>270</v>
      </c>
      <c r="C261" t="s">
        <v>270</v>
      </c>
      <c r="D261">
        <v>0</v>
      </c>
      <c r="E261">
        <v>0.48</v>
      </c>
      <c r="F261">
        <v>0</v>
      </c>
      <c r="G261">
        <v>0</v>
      </c>
      <c r="H261">
        <v>0.09</v>
      </c>
      <c r="I261">
        <v>0</v>
      </c>
      <c r="J261">
        <v>0</v>
      </c>
      <c r="K261">
        <v>0</v>
      </c>
      <c r="L261">
        <v>0.09</v>
      </c>
      <c r="M261">
        <v>0.04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0.3</v>
      </c>
      <c r="V261">
        <v>0</v>
      </c>
      <c r="W261">
        <v>0</v>
      </c>
      <c r="X261">
        <v>0</v>
      </c>
      <c r="Y261">
        <v>0</v>
      </c>
    </row>
    <row r="262" spans="1:25">
      <c r="A262">
        <v>261</v>
      </c>
      <c r="B262" t="s">
        <v>67</v>
      </c>
      <c r="C262" t="s">
        <v>67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1</v>
      </c>
      <c r="Y262">
        <v>0</v>
      </c>
    </row>
    <row r="263" spans="1:25">
      <c r="A263">
        <v>262</v>
      </c>
      <c r="B263" t="s">
        <v>36</v>
      </c>
      <c r="C263" t="s">
        <v>36</v>
      </c>
      <c r="D263">
        <v>0</v>
      </c>
      <c r="E263">
        <v>0</v>
      </c>
      <c r="F263">
        <v>0</v>
      </c>
      <c r="G263">
        <v>0.2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0.8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>
      <c r="A264">
        <v>263</v>
      </c>
      <c r="B264" t="s">
        <v>26</v>
      </c>
      <c r="C264" t="s">
        <v>26</v>
      </c>
      <c r="D264">
        <v>0</v>
      </c>
      <c r="E264">
        <v>0</v>
      </c>
      <c r="F264">
        <v>0</v>
      </c>
      <c r="G264">
        <v>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>
      <c r="A265">
        <v>264</v>
      </c>
      <c r="B265" t="s">
        <v>33</v>
      </c>
      <c r="C265" t="s">
        <v>33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1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>
      <c r="A266">
        <v>265</v>
      </c>
      <c r="B266" t="s">
        <v>26</v>
      </c>
      <c r="C266" t="s">
        <v>26</v>
      </c>
      <c r="D266">
        <v>0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>
      <c r="A267">
        <v>266</v>
      </c>
      <c r="B267" t="s">
        <v>188</v>
      </c>
      <c r="C267" t="s">
        <v>188</v>
      </c>
      <c r="D267">
        <v>0</v>
      </c>
      <c r="E267">
        <v>0.04</v>
      </c>
      <c r="F267">
        <v>0</v>
      </c>
      <c r="G267">
        <v>0</v>
      </c>
      <c r="H267">
        <v>0.08</v>
      </c>
      <c r="I267">
        <v>0</v>
      </c>
      <c r="J267">
        <v>0</v>
      </c>
      <c r="K267">
        <v>0</v>
      </c>
      <c r="L267">
        <v>0.83</v>
      </c>
      <c r="M267">
        <v>0.04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0.01</v>
      </c>
      <c r="V267">
        <v>0</v>
      </c>
      <c r="W267">
        <v>0</v>
      </c>
      <c r="X267">
        <v>0</v>
      </c>
      <c r="Y267">
        <v>0</v>
      </c>
    </row>
    <row r="268" spans="1:25">
      <c r="A268">
        <v>267</v>
      </c>
      <c r="B268" t="s">
        <v>75</v>
      </c>
      <c r="C268" t="s">
        <v>75</v>
      </c>
      <c r="D268">
        <v>0</v>
      </c>
      <c r="E268">
        <v>0</v>
      </c>
      <c r="F268">
        <v>0.99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0.01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>
      <c r="A269">
        <v>268</v>
      </c>
      <c r="B269" t="s">
        <v>196</v>
      </c>
      <c r="C269" t="s">
        <v>196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0.01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0.99</v>
      </c>
      <c r="V269">
        <v>0</v>
      </c>
      <c r="W269">
        <v>0</v>
      </c>
      <c r="X269">
        <v>0</v>
      </c>
      <c r="Y269">
        <v>0</v>
      </c>
    </row>
    <row r="270" spans="1:25">
      <c r="A270">
        <v>269</v>
      </c>
      <c r="B270" t="s">
        <v>21</v>
      </c>
      <c r="C270" t="s">
        <v>21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1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>
      <c r="A271">
        <v>270</v>
      </c>
      <c r="B271" t="s">
        <v>80</v>
      </c>
      <c r="C271" t="s">
        <v>80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0.94</v>
      </c>
      <c r="T271">
        <v>0</v>
      </c>
      <c r="U271">
        <v>0</v>
      </c>
      <c r="V271">
        <v>0.06</v>
      </c>
      <c r="W271">
        <v>0</v>
      </c>
      <c r="X271">
        <v>0</v>
      </c>
      <c r="Y271">
        <v>0</v>
      </c>
    </row>
    <row r="272" spans="1:25">
      <c r="A272">
        <v>271</v>
      </c>
      <c r="B272" t="s">
        <v>36</v>
      </c>
      <c r="C272" t="s">
        <v>36</v>
      </c>
      <c r="D272">
        <v>0</v>
      </c>
      <c r="E272">
        <v>0</v>
      </c>
      <c r="F272">
        <v>0</v>
      </c>
      <c r="G272">
        <v>0.02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0.98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>
      <c r="A273">
        <v>272</v>
      </c>
      <c r="B273" t="s">
        <v>26</v>
      </c>
      <c r="C273" t="s">
        <v>26</v>
      </c>
      <c r="D273">
        <v>0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>
      <c r="A274">
        <v>273</v>
      </c>
      <c r="B274" t="s">
        <v>116</v>
      </c>
      <c r="C274" t="s">
        <v>116</v>
      </c>
      <c r="D274">
        <v>0.01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0.98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0.01</v>
      </c>
      <c r="V274">
        <v>0</v>
      </c>
      <c r="W274">
        <v>0</v>
      </c>
      <c r="X274">
        <v>0</v>
      </c>
      <c r="Y274">
        <v>0</v>
      </c>
    </row>
    <row r="275" spans="1:25">
      <c r="A275">
        <v>274</v>
      </c>
      <c r="B275" t="s">
        <v>85</v>
      </c>
      <c r="C275" t="s">
        <v>85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0.01</v>
      </c>
      <c r="J275">
        <v>0</v>
      </c>
      <c r="K275">
        <v>0.06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0.02</v>
      </c>
      <c r="Y275">
        <v>0.91</v>
      </c>
    </row>
    <row r="276" spans="1:25">
      <c r="A276">
        <v>275</v>
      </c>
      <c r="B276" t="s">
        <v>54</v>
      </c>
      <c r="C276" t="s">
        <v>54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0.39</v>
      </c>
      <c r="T276">
        <v>0</v>
      </c>
      <c r="U276">
        <v>0</v>
      </c>
      <c r="V276">
        <v>0.61</v>
      </c>
      <c r="W276">
        <v>0</v>
      </c>
      <c r="X276">
        <v>0</v>
      </c>
      <c r="Y276">
        <v>0</v>
      </c>
    </row>
    <row r="277" spans="1:25">
      <c r="A277">
        <v>276</v>
      </c>
      <c r="B277" t="s">
        <v>21</v>
      </c>
      <c r="C277" t="s">
        <v>21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>
      <c r="A278">
        <v>277</v>
      </c>
      <c r="B278" t="s">
        <v>33</v>
      </c>
      <c r="C278" t="s">
        <v>33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>
      <c r="A279">
        <v>278</v>
      </c>
      <c r="B279" t="s">
        <v>61</v>
      </c>
      <c r="C279" t="s">
        <v>61</v>
      </c>
      <c r="D279">
        <v>1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>
      <c r="A280">
        <v>279</v>
      </c>
      <c r="B280" t="s">
        <v>26</v>
      </c>
      <c r="C280" t="s">
        <v>26</v>
      </c>
      <c r="D280">
        <v>0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>
      <c r="A281">
        <v>280</v>
      </c>
      <c r="B281" t="s">
        <v>45</v>
      </c>
      <c r="C281" t="s">
        <v>45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0.97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0.03</v>
      </c>
    </row>
    <row r="282" spans="1:25">
      <c r="A282">
        <v>281</v>
      </c>
      <c r="B282" t="s">
        <v>221</v>
      </c>
      <c r="C282" t="s">
        <v>221</v>
      </c>
      <c r="D282">
        <v>0</v>
      </c>
      <c r="E282">
        <v>0.01</v>
      </c>
      <c r="F282">
        <v>0</v>
      </c>
      <c r="G282">
        <v>0</v>
      </c>
      <c r="H282">
        <v>0.95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0.04</v>
      </c>
      <c r="X282">
        <v>0</v>
      </c>
      <c r="Y282">
        <v>0</v>
      </c>
    </row>
    <row r="283" spans="1:25">
      <c r="A283">
        <v>282</v>
      </c>
      <c r="B283" t="s">
        <v>26</v>
      </c>
      <c r="C283" t="s">
        <v>26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>
      <c r="A284">
        <v>283</v>
      </c>
      <c r="B284" t="s">
        <v>54</v>
      </c>
      <c r="C284" t="s">
        <v>54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0.24</v>
      </c>
      <c r="T284">
        <v>0</v>
      </c>
      <c r="U284">
        <v>0</v>
      </c>
      <c r="V284">
        <v>0.76</v>
      </c>
      <c r="W284">
        <v>0</v>
      </c>
      <c r="X284">
        <v>0</v>
      </c>
      <c r="Y284">
        <v>0</v>
      </c>
    </row>
    <row r="285" spans="1:25">
      <c r="A285">
        <v>284</v>
      </c>
      <c r="B285" t="s">
        <v>26</v>
      </c>
      <c r="C285" t="s">
        <v>26</v>
      </c>
      <c r="D285">
        <v>0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>
      <c r="A286">
        <v>285</v>
      </c>
      <c r="B286" t="s">
        <v>196</v>
      </c>
      <c r="C286" t="s">
        <v>196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0.01</v>
      </c>
      <c r="M286">
        <v>0.1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0.61</v>
      </c>
      <c r="V286">
        <v>0</v>
      </c>
      <c r="W286">
        <v>0.28000000000000003</v>
      </c>
      <c r="X286">
        <v>0</v>
      </c>
      <c r="Y286">
        <v>0</v>
      </c>
    </row>
    <row r="287" spans="1:25">
      <c r="A287">
        <v>286</v>
      </c>
      <c r="B287" t="s">
        <v>26</v>
      </c>
      <c r="C287" t="s">
        <v>26</v>
      </c>
      <c r="D287">
        <v>0</v>
      </c>
      <c r="E287">
        <v>0</v>
      </c>
      <c r="F287">
        <v>0</v>
      </c>
      <c r="G287">
        <v>0.87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0.13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>
      <c r="A288">
        <v>287</v>
      </c>
      <c r="B288" t="s">
        <v>26</v>
      </c>
      <c r="C288" t="s">
        <v>26</v>
      </c>
      <c r="D288">
        <v>0</v>
      </c>
      <c r="E288">
        <v>0</v>
      </c>
      <c r="F288">
        <v>0</v>
      </c>
      <c r="G288">
        <v>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>
      <c r="A289">
        <v>288</v>
      </c>
      <c r="B289" t="s">
        <v>107</v>
      </c>
      <c r="C289" t="s">
        <v>107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>
      <c r="A290">
        <v>289</v>
      </c>
      <c r="B290" t="s">
        <v>80</v>
      </c>
      <c r="C290" t="s">
        <v>80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0.61</v>
      </c>
      <c r="T290">
        <v>0</v>
      </c>
      <c r="U290">
        <v>0</v>
      </c>
      <c r="V290">
        <v>0.39</v>
      </c>
      <c r="W290">
        <v>0</v>
      </c>
      <c r="X290">
        <v>0</v>
      </c>
      <c r="Y290">
        <v>0</v>
      </c>
    </row>
    <row r="291" spans="1:25">
      <c r="A291">
        <v>290</v>
      </c>
      <c r="B291" t="s">
        <v>45</v>
      </c>
      <c r="C291" t="s">
        <v>45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0.94</v>
      </c>
      <c r="J291">
        <v>0</v>
      </c>
      <c r="K291">
        <v>0.05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0.01</v>
      </c>
    </row>
    <row r="292" spans="1:25">
      <c r="A292">
        <v>291</v>
      </c>
      <c r="B292" t="s">
        <v>67</v>
      </c>
      <c r="C292" t="s">
        <v>67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0.04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0.96</v>
      </c>
      <c r="Y292">
        <v>0</v>
      </c>
    </row>
    <row r="293" spans="1:25">
      <c r="A293">
        <v>292</v>
      </c>
      <c r="B293" t="s">
        <v>75</v>
      </c>
      <c r="C293" t="s">
        <v>75</v>
      </c>
      <c r="D293">
        <v>0</v>
      </c>
      <c r="E293">
        <v>0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>
      <c r="A294">
        <v>293</v>
      </c>
      <c r="B294" t="s">
        <v>107</v>
      </c>
      <c r="C294" t="s">
        <v>107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0.01</v>
      </c>
      <c r="N294">
        <v>0</v>
      </c>
      <c r="O294">
        <v>0.99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>
      <c r="A295">
        <v>294</v>
      </c>
      <c r="B295" t="s">
        <v>75</v>
      </c>
      <c r="C295" t="s">
        <v>75</v>
      </c>
      <c r="D295">
        <v>0</v>
      </c>
      <c r="E295">
        <v>0</v>
      </c>
      <c r="F295">
        <v>1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>
      <c r="A296">
        <v>295</v>
      </c>
      <c r="B296" t="s">
        <v>21</v>
      </c>
      <c r="C296" t="s">
        <v>21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0.93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0.05</v>
      </c>
      <c r="Y296">
        <v>0.02</v>
      </c>
    </row>
    <row r="297" spans="1:25">
      <c r="A297">
        <v>296</v>
      </c>
      <c r="B297" t="s">
        <v>33</v>
      </c>
      <c r="C297" t="s">
        <v>33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1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>
      <c r="A298">
        <v>297</v>
      </c>
      <c r="B298" t="s">
        <v>26</v>
      </c>
      <c r="C298" t="s">
        <v>26</v>
      </c>
      <c r="D298">
        <v>0</v>
      </c>
      <c r="E298">
        <v>0</v>
      </c>
      <c r="F298">
        <v>0</v>
      </c>
      <c r="G298">
        <v>0.96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0.04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>
      <c r="A299">
        <v>298</v>
      </c>
      <c r="B299" t="s">
        <v>67</v>
      </c>
      <c r="C299" t="s">
        <v>67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0.45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0.55000000000000004</v>
      </c>
      <c r="Y299">
        <v>0</v>
      </c>
    </row>
    <row r="300" spans="1:25">
      <c r="A300">
        <v>299</v>
      </c>
      <c r="B300" t="s">
        <v>54</v>
      </c>
      <c r="C300" t="s">
        <v>54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0.1</v>
      </c>
      <c r="T300">
        <v>0</v>
      </c>
      <c r="U300">
        <v>0</v>
      </c>
      <c r="V300">
        <v>0.9</v>
      </c>
      <c r="W300">
        <v>0</v>
      </c>
      <c r="X300">
        <v>0</v>
      </c>
      <c r="Y300">
        <v>0</v>
      </c>
    </row>
    <row r="301" spans="1:25">
      <c r="A301">
        <v>300</v>
      </c>
      <c r="B301" t="s">
        <v>75</v>
      </c>
      <c r="C301" t="s">
        <v>75</v>
      </c>
      <c r="D301">
        <v>0</v>
      </c>
      <c r="E301">
        <v>0</v>
      </c>
      <c r="F301">
        <v>1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>
      <c r="A302">
        <v>301</v>
      </c>
      <c r="B302" t="s">
        <v>26</v>
      </c>
      <c r="C302" t="s">
        <v>26</v>
      </c>
      <c r="D302">
        <v>0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>
      <c r="A303">
        <v>302</v>
      </c>
      <c r="B303" t="s">
        <v>26</v>
      </c>
      <c r="C303" t="s">
        <v>26</v>
      </c>
      <c r="D303">
        <v>0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>
      <c r="A304">
        <v>303</v>
      </c>
      <c r="B304" t="s">
        <v>21</v>
      </c>
      <c r="C304" t="s">
        <v>21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0.01</v>
      </c>
      <c r="J304">
        <v>0</v>
      </c>
      <c r="K304">
        <v>0.99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>
      <c r="A305">
        <v>304</v>
      </c>
      <c r="B305" t="s">
        <v>107</v>
      </c>
      <c r="C305" t="s">
        <v>107</v>
      </c>
      <c r="D305">
        <v>0</v>
      </c>
      <c r="E305">
        <v>0</v>
      </c>
      <c r="F305">
        <v>0.03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0.96</v>
      </c>
      <c r="P305">
        <v>0</v>
      </c>
      <c r="Q305">
        <v>0</v>
      </c>
      <c r="R305">
        <v>0</v>
      </c>
      <c r="S305">
        <v>0.01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>
      <c r="A306">
        <v>305</v>
      </c>
      <c r="B306" t="s">
        <v>26</v>
      </c>
      <c r="C306" t="s">
        <v>26</v>
      </c>
      <c r="D306">
        <v>0</v>
      </c>
      <c r="E306">
        <v>0</v>
      </c>
      <c r="F306">
        <v>0</v>
      </c>
      <c r="G306">
        <v>0.98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0.01</v>
      </c>
      <c r="P306">
        <v>0</v>
      </c>
      <c r="Q306">
        <v>0.01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>
      <c r="A307">
        <v>306</v>
      </c>
      <c r="B307" t="s">
        <v>21</v>
      </c>
      <c r="C307" t="s">
        <v>21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>
      <c r="A308">
        <v>307</v>
      </c>
      <c r="B308" t="s">
        <v>67</v>
      </c>
      <c r="C308" t="s">
        <v>67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1</v>
      </c>
      <c r="Y308">
        <v>0</v>
      </c>
    </row>
    <row r="309" spans="1:25">
      <c r="A309">
        <v>308</v>
      </c>
      <c r="B309" t="s">
        <v>54</v>
      </c>
      <c r="C309" t="s">
        <v>54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0.38</v>
      </c>
      <c r="T309">
        <v>0</v>
      </c>
      <c r="U309">
        <v>0</v>
      </c>
      <c r="V309">
        <v>0.62</v>
      </c>
      <c r="W309">
        <v>0</v>
      </c>
      <c r="X309">
        <v>0</v>
      </c>
      <c r="Y309">
        <v>0</v>
      </c>
    </row>
    <row r="310" spans="1:25">
      <c r="A310">
        <v>309</v>
      </c>
      <c r="B310" t="s">
        <v>21</v>
      </c>
      <c r="C310" t="s">
        <v>21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0.98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0.02</v>
      </c>
      <c r="Y310">
        <v>0</v>
      </c>
    </row>
    <row r="311" spans="1:25">
      <c r="A311">
        <v>310</v>
      </c>
      <c r="B311" t="s">
        <v>119</v>
      </c>
      <c r="C311" t="s">
        <v>119</v>
      </c>
      <c r="D311">
        <v>0</v>
      </c>
      <c r="E311">
        <v>0</v>
      </c>
      <c r="F311">
        <v>0.15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0.85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>
      <c r="A312">
        <v>311</v>
      </c>
      <c r="B312" t="s">
        <v>33</v>
      </c>
      <c r="C312" t="s">
        <v>33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1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>
      <c r="A313">
        <v>312</v>
      </c>
      <c r="B313" t="s">
        <v>33</v>
      </c>
      <c r="C313" t="s">
        <v>33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1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>
      <c r="A314">
        <v>313</v>
      </c>
      <c r="B314" t="s">
        <v>26</v>
      </c>
      <c r="C314" t="s">
        <v>26</v>
      </c>
      <c r="D314">
        <v>0</v>
      </c>
      <c r="E314">
        <v>0</v>
      </c>
      <c r="F314">
        <v>0</v>
      </c>
      <c r="G314">
        <v>0.99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0.01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>
      <c r="A315">
        <v>314</v>
      </c>
      <c r="B315" t="s">
        <v>21</v>
      </c>
      <c r="C315" t="s">
        <v>21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0.65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0.35</v>
      </c>
      <c r="Y315">
        <v>0</v>
      </c>
    </row>
    <row r="316" spans="1:25">
      <c r="A316">
        <v>315</v>
      </c>
      <c r="B316" t="s">
        <v>67</v>
      </c>
      <c r="C316" t="s">
        <v>67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0.02</v>
      </c>
      <c r="J316">
        <v>0</v>
      </c>
      <c r="K316">
        <v>0.45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0.53</v>
      </c>
      <c r="Y316">
        <v>0</v>
      </c>
    </row>
    <row r="317" spans="1:25">
      <c r="A317">
        <v>316</v>
      </c>
      <c r="B317" t="s">
        <v>21</v>
      </c>
      <c r="C317" t="s">
        <v>21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1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>
      <c r="A318">
        <v>317</v>
      </c>
      <c r="B318" t="s">
        <v>21</v>
      </c>
      <c r="C318" t="s">
        <v>21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>
      <c r="A319">
        <v>318</v>
      </c>
      <c r="B319" t="s">
        <v>45</v>
      </c>
      <c r="C319" t="s">
        <v>45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0.92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0.08</v>
      </c>
    </row>
    <row r="320" spans="1:25">
      <c r="A320">
        <v>319</v>
      </c>
      <c r="B320" t="s">
        <v>21</v>
      </c>
      <c r="C320" t="s">
        <v>21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1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>
      <c r="A321">
        <v>320</v>
      </c>
      <c r="B321" t="s">
        <v>36</v>
      </c>
      <c r="C321" t="s">
        <v>36</v>
      </c>
      <c r="D321">
        <v>0</v>
      </c>
      <c r="E321">
        <v>0</v>
      </c>
      <c r="F321">
        <v>0</v>
      </c>
      <c r="G321">
        <v>0.4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0.6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>
      <c r="A322">
        <v>321</v>
      </c>
      <c r="B322" t="s">
        <v>33</v>
      </c>
      <c r="C322" t="s">
        <v>33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>
      <c r="A323">
        <v>322</v>
      </c>
      <c r="B323" t="s">
        <v>54</v>
      </c>
      <c r="C323" t="s">
        <v>54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0.16</v>
      </c>
      <c r="T323">
        <v>0</v>
      </c>
      <c r="U323">
        <v>0</v>
      </c>
      <c r="V323">
        <v>0.84</v>
      </c>
      <c r="W323">
        <v>0</v>
      </c>
      <c r="X323">
        <v>0</v>
      </c>
      <c r="Y323">
        <v>0</v>
      </c>
    </row>
    <row r="324" spans="1:25">
      <c r="A324">
        <v>323</v>
      </c>
      <c r="B324" t="s">
        <v>45</v>
      </c>
      <c r="C324" t="s">
        <v>45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0.85</v>
      </c>
      <c r="J324">
        <v>0</v>
      </c>
      <c r="K324">
        <v>0.04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0.11</v>
      </c>
      <c r="Y324">
        <v>0</v>
      </c>
    </row>
    <row r="325" spans="1:25">
      <c r="A325">
        <v>324</v>
      </c>
      <c r="B325" t="s">
        <v>21</v>
      </c>
      <c r="C325" t="s">
        <v>21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1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>
      <c r="A326">
        <v>325</v>
      </c>
      <c r="B326" t="s">
        <v>33</v>
      </c>
      <c r="C326" t="s">
        <v>33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1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>
      <c r="A327">
        <v>326</v>
      </c>
      <c r="B327" t="s">
        <v>21</v>
      </c>
      <c r="C327" t="s">
        <v>21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>
      <c r="A328">
        <v>327</v>
      </c>
      <c r="B328" t="s">
        <v>128</v>
      </c>
      <c r="C328" t="s">
        <v>128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1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>
      <c r="A329">
        <v>328</v>
      </c>
      <c r="B329" t="s">
        <v>45</v>
      </c>
      <c r="C329" t="s">
        <v>45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1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>
      <c r="A330">
        <v>329</v>
      </c>
      <c r="B330" t="s">
        <v>80</v>
      </c>
      <c r="C330" t="s">
        <v>80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0.68</v>
      </c>
      <c r="T330">
        <v>0.01</v>
      </c>
      <c r="U330">
        <v>0</v>
      </c>
      <c r="V330">
        <v>0.31</v>
      </c>
      <c r="W330">
        <v>0</v>
      </c>
      <c r="X330">
        <v>0</v>
      </c>
      <c r="Y330">
        <v>0</v>
      </c>
    </row>
    <row r="331" spans="1:25">
      <c r="A331">
        <v>330</v>
      </c>
      <c r="B331" t="s">
        <v>61</v>
      </c>
      <c r="C331" t="s">
        <v>61</v>
      </c>
      <c r="D331">
        <v>1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</row>
    <row r="332" spans="1:25">
      <c r="A332">
        <v>331</v>
      </c>
      <c r="B332" t="s">
        <v>33</v>
      </c>
      <c r="C332" t="s">
        <v>33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>
      <c r="A333">
        <v>332</v>
      </c>
      <c r="B333" t="s">
        <v>21</v>
      </c>
      <c r="C333" t="s">
        <v>21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</row>
    <row r="334" spans="1:25">
      <c r="A334">
        <v>333</v>
      </c>
      <c r="B334" t="s">
        <v>36</v>
      </c>
      <c r="C334" t="s">
        <v>36</v>
      </c>
      <c r="D334">
        <v>0</v>
      </c>
      <c r="E334">
        <v>0</v>
      </c>
      <c r="F334">
        <v>0</v>
      </c>
      <c r="G334">
        <v>0.37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0.63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>
      <c r="A335">
        <v>334</v>
      </c>
      <c r="B335" t="s">
        <v>21</v>
      </c>
      <c r="C335" t="s">
        <v>21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0.99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0.01</v>
      </c>
    </row>
    <row r="336" spans="1:25">
      <c r="A336">
        <v>335</v>
      </c>
      <c r="B336" t="s">
        <v>26</v>
      </c>
      <c r="C336" t="s">
        <v>26</v>
      </c>
      <c r="D336">
        <v>0</v>
      </c>
      <c r="E336">
        <v>0</v>
      </c>
      <c r="F336">
        <v>0</v>
      </c>
      <c r="G336">
        <v>0.93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7.0000000000000007E-2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>
      <c r="A337">
        <v>336</v>
      </c>
      <c r="B337" t="s">
        <v>40</v>
      </c>
      <c r="C337" t="s">
        <v>40</v>
      </c>
      <c r="D337">
        <v>0</v>
      </c>
      <c r="E337">
        <v>0.37</v>
      </c>
      <c r="F337">
        <v>0</v>
      </c>
      <c r="G337">
        <v>0</v>
      </c>
      <c r="H337">
        <v>0.03</v>
      </c>
      <c r="I337">
        <v>0</v>
      </c>
      <c r="J337">
        <v>0</v>
      </c>
      <c r="K337">
        <v>0</v>
      </c>
      <c r="L337">
        <v>0.01</v>
      </c>
      <c r="M337">
        <v>0.59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</row>
    <row r="338" spans="1:25">
      <c r="A338">
        <v>337</v>
      </c>
      <c r="B338" t="s">
        <v>33</v>
      </c>
      <c r="C338" t="s">
        <v>33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1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</row>
    <row r="339" spans="1:25">
      <c r="A339">
        <v>338</v>
      </c>
      <c r="B339" t="s">
        <v>45</v>
      </c>
      <c r="C339" t="s">
        <v>45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0.98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0.02</v>
      </c>
    </row>
    <row r="340" spans="1:25">
      <c r="A340">
        <v>339</v>
      </c>
      <c r="B340" t="s">
        <v>36</v>
      </c>
      <c r="C340" t="s">
        <v>36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1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>
      <c r="A341">
        <v>340</v>
      </c>
      <c r="B341" t="s">
        <v>21</v>
      </c>
      <c r="C341" t="s">
        <v>21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</row>
    <row r="342" spans="1:25">
      <c r="A342">
        <v>341</v>
      </c>
      <c r="B342" t="s">
        <v>61</v>
      </c>
      <c r="C342" t="s">
        <v>61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>
      <c r="A343">
        <v>342</v>
      </c>
      <c r="B343" t="s">
        <v>26</v>
      </c>
      <c r="C343" t="s">
        <v>26</v>
      </c>
      <c r="D343">
        <v>0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>
      <c r="A344">
        <v>343</v>
      </c>
      <c r="B344" t="s">
        <v>26</v>
      </c>
      <c r="C344" t="s">
        <v>26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>
      <c r="A345">
        <v>344</v>
      </c>
      <c r="B345" t="s">
        <v>33</v>
      </c>
      <c r="C345" t="s">
        <v>33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1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>
      <c r="A346">
        <v>345</v>
      </c>
      <c r="B346" t="s">
        <v>107</v>
      </c>
      <c r="C346" t="s">
        <v>107</v>
      </c>
      <c r="D346">
        <v>0</v>
      </c>
      <c r="E346">
        <v>0.01</v>
      </c>
      <c r="F346">
        <v>0</v>
      </c>
      <c r="G346">
        <v>0</v>
      </c>
      <c r="H346">
        <v>0.02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0.96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0.01</v>
      </c>
      <c r="V346">
        <v>0</v>
      </c>
      <c r="W346">
        <v>0</v>
      </c>
      <c r="X346">
        <v>0</v>
      </c>
      <c r="Y346">
        <v>0</v>
      </c>
    </row>
    <row r="347" spans="1:25">
      <c r="A347">
        <v>346</v>
      </c>
      <c r="B347" t="s">
        <v>67</v>
      </c>
      <c r="C347" t="s">
        <v>67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0.02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0.98</v>
      </c>
      <c r="Y347">
        <v>0</v>
      </c>
    </row>
    <row r="348" spans="1:25">
      <c r="A348">
        <v>347</v>
      </c>
      <c r="B348" t="s">
        <v>75</v>
      </c>
      <c r="C348" t="s">
        <v>75</v>
      </c>
      <c r="D348">
        <v>0</v>
      </c>
      <c r="E348">
        <v>0</v>
      </c>
      <c r="F348">
        <v>1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</row>
    <row r="349" spans="1:25">
      <c r="A349">
        <v>348</v>
      </c>
      <c r="B349" t="s">
        <v>33</v>
      </c>
      <c r="C349" t="s">
        <v>33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</row>
    <row r="350" spans="1:25">
      <c r="A350">
        <v>349</v>
      </c>
      <c r="B350" t="s">
        <v>26</v>
      </c>
      <c r="C350" t="s">
        <v>26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>
      <c r="A351">
        <v>350</v>
      </c>
      <c r="B351" t="s">
        <v>21</v>
      </c>
      <c r="C351" t="s">
        <v>21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</row>
    <row r="352" spans="1:25">
      <c r="A352">
        <v>351</v>
      </c>
      <c r="B352" t="s">
        <v>85</v>
      </c>
      <c r="C352" t="s">
        <v>85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0.04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0.01</v>
      </c>
      <c r="Y352">
        <v>0.95</v>
      </c>
    </row>
    <row r="353" spans="1:25">
      <c r="A353">
        <v>352</v>
      </c>
      <c r="B353" t="s">
        <v>67</v>
      </c>
      <c r="C353" t="s">
        <v>67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1</v>
      </c>
      <c r="Y353">
        <v>0</v>
      </c>
    </row>
    <row r="354" spans="1:25">
      <c r="A354">
        <v>353</v>
      </c>
      <c r="B354" t="s">
        <v>85</v>
      </c>
      <c r="C354" t="s">
        <v>85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0.04</v>
      </c>
      <c r="J354">
        <v>0</v>
      </c>
      <c r="K354">
        <v>0.02</v>
      </c>
      <c r="L354">
        <v>0</v>
      </c>
      <c r="M354">
        <v>0</v>
      </c>
      <c r="N354">
        <v>0.01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0.01</v>
      </c>
      <c r="X354">
        <v>0</v>
      </c>
      <c r="Y354">
        <v>0.92</v>
      </c>
    </row>
    <row r="355" spans="1:25">
      <c r="A355">
        <v>354</v>
      </c>
      <c r="B355" t="s">
        <v>26</v>
      </c>
      <c r="C355" t="s">
        <v>26</v>
      </c>
      <c r="D355">
        <v>0</v>
      </c>
      <c r="E355">
        <v>0</v>
      </c>
      <c r="F355">
        <v>0</v>
      </c>
      <c r="G355">
        <v>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355"/>
  <sheetViews>
    <sheetView workbookViewId="0">
      <selection activeCell="E17" sqref="E17"/>
    </sheetView>
  </sheetViews>
  <sheetFormatPr baseColWidth="10" defaultRowHeight="16"/>
  <sheetData>
    <row r="1" spans="1:52">
      <c r="A1" t="s">
        <v>413</v>
      </c>
      <c r="B1" t="s">
        <v>13</v>
      </c>
      <c r="C1" t="s">
        <v>421</v>
      </c>
      <c r="D1" t="s">
        <v>110</v>
      </c>
      <c r="E1" t="s">
        <v>62</v>
      </c>
      <c r="F1" t="s">
        <v>167</v>
      </c>
      <c r="G1" t="s">
        <v>27</v>
      </c>
      <c r="H1" t="s">
        <v>320</v>
      </c>
      <c r="I1" t="s">
        <v>120</v>
      </c>
      <c r="J1" t="s">
        <v>95</v>
      </c>
      <c r="K1" t="s">
        <v>123</v>
      </c>
      <c r="L1" t="s">
        <v>418</v>
      </c>
      <c r="M1" t="s">
        <v>171</v>
      </c>
      <c r="N1" t="s">
        <v>76</v>
      </c>
      <c r="O1" t="s">
        <v>34</v>
      </c>
      <c r="P1" t="s">
        <v>43</v>
      </c>
      <c r="Q1" t="s">
        <v>97</v>
      </c>
      <c r="R1" t="s">
        <v>247</v>
      </c>
      <c r="S1" t="s">
        <v>37</v>
      </c>
      <c r="T1" t="s">
        <v>134</v>
      </c>
      <c r="U1" t="s">
        <v>46</v>
      </c>
      <c r="V1" t="s">
        <v>312</v>
      </c>
      <c r="W1" t="s">
        <v>51</v>
      </c>
      <c r="X1" t="s">
        <v>89</v>
      </c>
      <c r="Y1" t="s">
        <v>65</v>
      </c>
      <c r="Z1" t="s">
        <v>29</v>
      </c>
      <c r="AA1" t="s">
        <v>22</v>
      </c>
      <c r="AB1" t="s">
        <v>68</v>
      </c>
      <c r="AC1" t="s">
        <v>338</v>
      </c>
      <c r="AD1" t="s">
        <v>86</v>
      </c>
      <c r="AE1" t="s">
        <v>271</v>
      </c>
      <c r="AF1" t="s">
        <v>159</v>
      </c>
      <c r="AG1" t="s">
        <v>41</v>
      </c>
      <c r="AH1" t="s">
        <v>78</v>
      </c>
      <c r="AI1" t="s">
        <v>117</v>
      </c>
      <c r="AJ1" t="s">
        <v>129</v>
      </c>
      <c r="AK1" t="s">
        <v>224</v>
      </c>
      <c r="AL1" t="s">
        <v>229</v>
      </c>
      <c r="AM1" t="s">
        <v>81</v>
      </c>
      <c r="AN1" t="s">
        <v>206</v>
      </c>
      <c r="AO1" t="s">
        <v>113</v>
      </c>
      <c r="AP1" t="s">
        <v>189</v>
      </c>
      <c r="AQ1" t="s">
        <v>263</v>
      </c>
      <c r="AR1" t="s">
        <v>197</v>
      </c>
      <c r="AS1" t="s">
        <v>145</v>
      </c>
      <c r="AT1" t="s">
        <v>55</v>
      </c>
      <c r="AU1" t="s">
        <v>253</v>
      </c>
      <c r="AV1" t="s">
        <v>222</v>
      </c>
      <c r="AW1" t="s">
        <v>108</v>
      </c>
      <c r="AX1" t="s">
        <v>419</v>
      </c>
      <c r="AY1" t="s">
        <v>342</v>
      </c>
      <c r="AZ1" t="s">
        <v>251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0.10199999999999999</v>
      </c>
      <c r="Z2">
        <v>1E-3</v>
      </c>
      <c r="AA2">
        <v>0.89700000000000002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29</v>
      </c>
      <c r="C4" t="s">
        <v>29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5.1999999999999998E-2</v>
      </c>
      <c r="Y4">
        <v>1E-3</v>
      </c>
      <c r="Z4">
        <v>0.92100000000000004</v>
      </c>
      <c r="AA4">
        <v>2.5999999999999999E-2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27</v>
      </c>
      <c r="C5" t="s">
        <v>27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34</v>
      </c>
      <c r="C6" t="s">
        <v>34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37</v>
      </c>
      <c r="C7" t="s">
        <v>37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0.99099999999999999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8.9999999999999993E-3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41</v>
      </c>
      <c r="C8" t="s">
        <v>41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2.3E-2</v>
      </c>
      <c r="AG8">
        <v>0.89100000000000001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8.5999999999999993E-2</v>
      </c>
    </row>
    <row r="9" spans="1:52">
      <c r="A9">
        <v>8</v>
      </c>
      <c r="B9" t="s">
        <v>43</v>
      </c>
      <c r="C9" t="s">
        <v>43</v>
      </c>
      <c r="D9">
        <v>0.10299999999999999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0.33700000000000002</v>
      </c>
      <c r="P9">
        <v>0.56000000000000005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46</v>
      </c>
      <c r="C10" t="s">
        <v>46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0.66500000000000004</v>
      </c>
      <c r="V10">
        <v>1E-3</v>
      </c>
      <c r="W10">
        <v>0.33400000000000002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29</v>
      </c>
      <c r="C11" t="s">
        <v>29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0.28399999999999997</v>
      </c>
      <c r="Z11">
        <v>0.71599999999999997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34</v>
      </c>
      <c r="C12" t="s">
        <v>34</v>
      </c>
      <c r="D12">
        <v>0.124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0.876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27</v>
      </c>
      <c r="C13" t="s">
        <v>27</v>
      </c>
      <c r="D13">
        <v>0</v>
      </c>
      <c r="E13">
        <v>0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51</v>
      </c>
      <c r="C14" t="s">
        <v>51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55</v>
      </c>
      <c r="C15" t="s">
        <v>55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1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22</v>
      </c>
      <c r="C16" t="s">
        <v>22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1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27</v>
      </c>
      <c r="C17" t="s">
        <v>27</v>
      </c>
      <c r="D17">
        <v>0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62</v>
      </c>
      <c r="C18" t="s">
        <v>62</v>
      </c>
      <c r="D18">
        <v>0</v>
      </c>
      <c r="E18">
        <v>0.999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1E-3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34</v>
      </c>
      <c r="C19" t="s">
        <v>34</v>
      </c>
      <c r="D19">
        <v>1.2999999999999999E-2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0.98699999999999999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65</v>
      </c>
      <c r="C20" t="s">
        <v>65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1E-3</v>
      </c>
      <c r="T20">
        <v>0</v>
      </c>
      <c r="U20">
        <v>0</v>
      </c>
      <c r="V20">
        <v>0</v>
      </c>
      <c r="W20">
        <v>0</v>
      </c>
      <c r="X20">
        <v>0</v>
      </c>
      <c r="Y20">
        <v>0.99399999999999999</v>
      </c>
      <c r="Z20">
        <v>0</v>
      </c>
      <c r="AA20">
        <v>5.0000000000000001E-3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68</v>
      </c>
      <c r="C21" t="s">
        <v>68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0.77100000000000002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0.22900000000000001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27</v>
      </c>
      <c r="C22" t="s">
        <v>27</v>
      </c>
      <c r="D22">
        <v>0</v>
      </c>
      <c r="E22">
        <v>0</v>
      </c>
      <c r="F22">
        <v>0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27</v>
      </c>
      <c r="C23" t="s">
        <v>27</v>
      </c>
      <c r="D23">
        <v>0</v>
      </c>
      <c r="E23">
        <v>0</v>
      </c>
      <c r="F23">
        <v>0</v>
      </c>
      <c r="G23">
        <v>0.999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1E-3</v>
      </c>
      <c r="AZ23">
        <v>0</v>
      </c>
    </row>
    <row r="24" spans="1:52">
      <c r="A24">
        <v>23</v>
      </c>
      <c r="B24" t="s">
        <v>46</v>
      </c>
      <c r="C24" t="s">
        <v>46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0.97699999999999998</v>
      </c>
      <c r="V24">
        <v>0</v>
      </c>
      <c r="W24">
        <v>2.1999999999999999E-2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1E-3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51</v>
      </c>
      <c r="C25" t="s">
        <v>51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0.128</v>
      </c>
      <c r="V25">
        <v>0</v>
      </c>
      <c r="W25">
        <v>0.872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76</v>
      </c>
      <c r="C26" t="s">
        <v>76</v>
      </c>
      <c r="D26">
        <v>0</v>
      </c>
      <c r="E26">
        <v>0</v>
      </c>
      <c r="F26">
        <v>0</v>
      </c>
      <c r="G26">
        <v>0</v>
      </c>
      <c r="H26">
        <v>5.0000000000000001E-3</v>
      </c>
      <c r="I26">
        <v>0</v>
      </c>
      <c r="J26">
        <v>3.0000000000000001E-3</v>
      </c>
      <c r="K26">
        <v>1.4E-2</v>
      </c>
      <c r="L26">
        <v>0</v>
      </c>
      <c r="M26">
        <v>0</v>
      </c>
      <c r="N26">
        <v>0.96799999999999997</v>
      </c>
      <c r="O26">
        <v>0</v>
      </c>
      <c r="P26">
        <v>0</v>
      </c>
      <c r="Q26">
        <v>0</v>
      </c>
      <c r="R26">
        <v>0</v>
      </c>
      <c r="S26">
        <v>0</v>
      </c>
      <c r="T26">
        <v>0.01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78</v>
      </c>
      <c r="C27" t="s">
        <v>78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1E-3</v>
      </c>
      <c r="W27">
        <v>0.08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0.91900000000000004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81</v>
      </c>
      <c r="C28" t="s">
        <v>81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0.38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0.61</v>
      </c>
      <c r="AN28">
        <v>1E-3</v>
      </c>
      <c r="AO28">
        <v>8.0000000000000002E-3</v>
      </c>
      <c r="AP28">
        <v>0</v>
      </c>
      <c r="AQ28">
        <v>0</v>
      </c>
      <c r="AR28">
        <v>0</v>
      </c>
      <c r="AS28">
        <v>1E-3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27</v>
      </c>
      <c r="C29" t="s">
        <v>27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27</v>
      </c>
      <c r="C30" t="s">
        <v>27</v>
      </c>
      <c r="D30">
        <v>0</v>
      </c>
      <c r="E30">
        <v>0</v>
      </c>
      <c r="F30">
        <v>0</v>
      </c>
      <c r="G30">
        <v>0.99399999999999999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6.0000000000000001E-3</v>
      </c>
      <c r="AZ30">
        <v>0</v>
      </c>
    </row>
    <row r="31" spans="1:52">
      <c r="A31">
        <v>30</v>
      </c>
      <c r="B31" t="s">
        <v>86</v>
      </c>
      <c r="C31" t="s">
        <v>86</v>
      </c>
      <c r="D31">
        <v>0</v>
      </c>
      <c r="E31">
        <v>0</v>
      </c>
      <c r="F31">
        <v>0</v>
      </c>
      <c r="G31">
        <v>1E-3</v>
      </c>
      <c r="H31">
        <v>0</v>
      </c>
      <c r="I31">
        <v>0</v>
      </c>
      <c r="J31">
        <v>0</v>
      </c>
      <c r="K31">
        <v>0</v>
      </c>
      <c r="L31">
        <v>0</v>
      </c>
      <c r="M31">
        <v>6.0000000000000001E-3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0.98399999999999999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8.9999999999999993E-3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68</v>
      </c>
      <c r="C32" t="s">
        <v>68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0.81200000000000006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0.188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89</v>
      </c>
      <c r="C33" t="s">
        <v>89</v>
      </c>
      <c r="D33">
        <v>0</v>
      </c>
      <c r="E33">
        <v>0</v>
      </c>
      <c r="F33">
        <v>0</v>
      </c>
      <c r="G33">
        <v>0</v>
      </c>
      <c r="H33">
        <v>0</v>
      </c>
      <c r="I33">
        <v>4.0000000000000001E-3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1E-3</v>
      </c>
      <c r="X33">
        <v>0.97499999999999998</v>
      </c>
      <c r="Y33">
        <v>8.9999999999999993E-3</v>
      </c>
      <c r="Z33">
        <v>6.0000000000000001E-3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1E-3</v>
      </c>
      <c r="AG33">
        <v>2E-3</v>
      </c>
      <c r="AH33">
        <v>0</v>
      </c>
      <c r="AI33">
        <v>1E-3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1E-3</v>
      </c>
      <c r="AY33">
        <v>0</v>
      </c>
      <c r="AZ33">
        <v>0</v>
      </c>
    </row>
    <row r="34" spans="1:52">
      <c r="A34">
        <v>33</v>
      </c>
      <c r="B34" t="s">
        <v>62</v>
      </c>
      <c r="C34" t="s">
        <v>62</v>
      </c>
      <c r="D34">
        <v>0</v>
      </c>
      <c r="E34">
        <v>0.93</v>
      </c>
      <c r="F34">
        <v>0</v>
      </c>
      <c r="G34">
        <v>0</v>
      </c>
      <c r="H34">
        <v>1.4999999999999999E-2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1.9E-2</v>
      </c>
      <c r="R34">
        <v>0</v>
      </c>
      <c r="S34">
        <v>0</v>
      </c>
      <c r="T34">
        <v>0</v>
      </c>
      <c r="U34">
        <v>0</v>
      </c>
      <c r="V34">
        <v>1.2999999999999999E-2</v>
      </c>
      <c r="W34">
        <v>0</v>
      </c>
      <c r="X34">
        <v>0</v>
      </c>
      <c r="Y34">
        <v>1E-3</v>
      </c>
      <c r="Z34">
        <v>0</v>
      </c>
      <c r="AA34">
        <v>0</v>
      </c>
      <c r="AB34">
        <v>1.4999999999999999E-2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7.0000000000000001E-3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34</v>
      </c>
      <c r="C35" t="s">
        <v>34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1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27</v>
      </c>
      <c r="C36" t="s">
        <v>27</v>
      </c>
      <c r="D36">
        <v>0</v>
      </c>
      <c r="E36">
        <v>0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34</v>
      </c>
      <c r="C37" t="s">
        <v>34</v>
      </c>
      <c r="D37">
        <v>1E-3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0.99</v>
      </c>
      <c r="P37">
        <v>8.9999999999999993E-3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95</v>
      </c>
      <c r="C38" t="s">
        <v>95</v>
      </c>
      <c r="D38">
        <v>0</v>
      </c>
      <c r="E38">
        <v>0</v>
      </c>
      <c r="F38">
        <v>0</v>
      </c>
      <c r="G38">
        <v>0</v>
      </c>
      <c r="H38">
        <v>3.2000000000000001E-2</v>
      </c>
      <c r="I38">
        <v>0</v>
      </c>
      <c r="J38">
        <v>0.94299999999999995</v>
      </c>
      <c r="K38">
        <v>6.0000000000000001E-3</v>
      </c>
      <c r="L38">
        <v>0</v>
      </c>
      <c r="M38">
        <v>0</v>
      </c>
      <c r="N38">
        <v>8.0000000000000002E-3</v>
      </c>
      <c r="O38">
        <v>0</v>
      </c>
      <c r="P38">
        <v>0</v>
      </c>
      <c r="Q38">
        <v>0</v>
      </c>
      <c r="R38">
        <v>0</v>
      </c>
      <c r="S38">
        <v>0</v>
      </c>
      <c r="T38">
        <v>1.0999999999999999E-2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97</v>
      </c>
      <c r="C39" t="s">
        <v>97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46</v>
      </c>
      <c r="C40" t="s">
        <v>46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0.98899999999999999</v>
      </c>
      <c r="V40">
        <v>0</v>
      </c>
      <c r="W40">
        <v>1.0999999999999999E-2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27</v>
      </c>
      <c r="C41" t="s">
        <v>27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51</v>
      </c>
      <c r="C42" t="s">
        <v>51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65</v>
      </c>
      <c r="C43" t="s">
        <v>65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0.995</v>
      </c>
      <c r="Z43">
        <v>5.0000000000000001E-3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34</v>
      </c>
      <c r="C44" t="s">
        <v>34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29</v>
      </c>
      <c r="C45" t="s">
        <v>29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2.3E-2</v>
      </c>
      <c r="Z45">
        <v>0.58299999999999996</v>
      </c>
      <c r="AA45">
        <v>0.39400000000000002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34</v>
      </c>
      <c r="C46" t="s">
        <v>34</v>
      </c>
      <c r="D46">
        <v>4.9000000000000002E-2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0.95</v>
      </c>
      <c r="P46">
        <v>1E-3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108</v>
      </c>
      <c r="C47" t="s">
        <v>108</v>
      </c>
      <c r="D47">
        <v>0</v>
      </c>
      <c r="E47">
        <v>5.0000000000000001E-3</v>
      </c>
      <c r="F47">
        <v>0</v>
      </c>
      <c r="G47">
        <v>0</v>
      </c>
      <c r="H47">
        <v>6.0000000000000001E-3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3.0000000000000001E-3</v>
      </c>
      <c r="R47">
        <v>0</v>
      </c>
      <c r="S47">
        <v>5.0000000000000001E-3</v>
      </c>
      <c r="T47">
        <v>2E-3</v>
      </c>
      <c r="U47">
        <v>0</v>
      </c>
      <c r="V47">
        <v>3.0000000000000001E-3</v>
      </c>
      <c r="W47">
        <v>1E-3</v>
      </c>
      <c r="X47">
        <v>0</v>
      </c>
      <c r="Y47">
        <v>0.01</v>
      </c>
      <c r="Z47">
        <v>0</v>
      </c>
      <c r="AA47">
        <v>1E-3</v>
      </c>
      <c r="AB47">
        <v>1E-3</v>
      </c>
      <c r="AC47">
        <v>1E-3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0.96199999999999997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110</v>
      </c>
      <c r="C48" t="s">
        <v>110</v>
      </c>
      <c r="D48">
        <v>0.629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0.21</v>
      </c>
      <c r="P48">
        <v>0.161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34</v>
      </c>
      <c r="C49" t="s">
        <v>34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113</v>
      </c>
      <c r="C50" t="s">
        <v>113</v>
      </c>
      <c r="D50">
        <v>0</v>
      </c>
      <c r="E50">
        <v>0</v>
      </c>
      <c r="F50">
        <v>0</v>
      </c>
      <c r="G50">
        <v>0</v>
      </c>
      <c r="H50">
        <v>2E-3</v>
      </c>
      <c r="I50">
        <v>0</v>
      </c>
      <c r="J50">
        <v>0</v>
      </c>
      <c r="K50">
        <v>1E-3</v>
      </c>
      <c r="L50">
        <v>0</v>
      </c>
      <c r="M50">
        <v>0</v>
      </c>
      <c r="N50">
        <v>0</v>
      </c>
      <c r="O50">
        <v>0</v>
      </c>
      <c r="P50">
        <v>0</v>
      </c>
      <c r="Q50">
        <v>1E-3</v>
      </c>
      <c r="R50">
        <v>0</v>
      </c>
      <c r="S50">
        <v>0</v>
      </c>
      <c r="T50">
        <v>1E-3</v>
      </c>
      <c r="U50">
        <v>0</v>
      </c>
      <c r="V50">
        <v>1E-3</v>
      </c>
      <c r="W50">
        <v>0</v>
      </c>
      <c r="X50">
        <v>0</v>
      </c>
      <c r="Y50">
        <v>0</v>
      </c>
      <c r="Z50">
        <v>1E-3</v>
      </c>
      <c r="AA50">
        <v>0</v>
      </c>
      <c r="AB50">
        <v>2E-3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1E-3</v>
      </c>
      <c r="AL50">
        <v>0</v>
      </c>
      <c r="AM50">
        <v>0</v>
      </c>
      <c r="AN50">
        <v>1.4E-2</v>
      </c>
      <c r="AO50">
        <v>0.97599999999999998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117</v>
      </c>
      <c r="C51" t="s">
        <v>117</v>
      </c>
      <c r="D51">
        <v>0</v>
      </c>
      <c r="E51">
        <v>0</v>
      </c>
      <c r="F51">
        <v>0</v>
      </c>
      <c r="G51">
        <v>0</v>
      </c>
      <c r="H51">
        <v>0</v>
      </c>
      <c r="I51">
        <v>1.2E-2</v>
      </c>
      <c r="J51">
        <v>0</v>
      </c>
      <c r="K51">
        <v>0</v>
      </c>
      <c r="L51">
        <v>1E-3</v>
      </c>
      <c r="M51">
        <v>0</v>
      </c>
      <c r="N51">
        <v>0</v>
      </c>
      <c r="O51">
        <v>0</v>
      </c>
      <c r="P51">
        <v>0</v>
      </c>
      <c r="Q51">
        <v>8.9999999999999993E-3</v>
      </c>
      <c r="R51">
        <v>0</v>
      </c>
      <c r="S51">
        <v>0</v>
      </c>
      <c r="T51">
        <v>0</v>
      </c>
      <c r="U51">
        <v>0</v>
      </c>
      <c r="V51">
        <v>0</v>
      </c>
      <c r="W51">
        <v>7.0000000000000001E-3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6.0000000000000001E-3</v>
      </c>
      <c r="AF51">
        <v>2E-3</v>
      </c>
      <c r="AG51">
        <v>0</v>
      </c>
      <c r="AH51">
        <v>0</v>
      </c>
      <c r="AI51">
        <v>0.94699999999999995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4.0000000000000001E-3</v>
      </c>
      <c r="AR51">
        <v>7.0000000000000001E-3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4.0000000000000001E-3</v>
      </c>
      <c r="AY51">
        <v>0</v>
      </c>
      <c r="AZ51">
        <v>1E-3</v>
      </c>
    </row>
    <row r="52" spans="1:52">
      <c r="A52">
        <v>51</v>
      </c>
      <c r="B52" t="s">
        <v>120</v>
      </c>
      <c r="C52" t="s">
        <v>120</v>
      </c>
      <c r="D52">
        <v>0</v>
      </c>
      <c r="E52">
        <v>0</v>
      </c>
      <c r="F52">
        <v>0</v>
      </c>
      <c r="G52">
        <v>0</v>
      </c>
      <c r="H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27</v>
      </c>
      <c r="C53" t="s">
        <v>27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123</v>
      </c>
      <c r="C54" t="s">
        <v>123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2E-3</v>
      </c>
      <c r="K54">
        <v>0.998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34</v>
      </c>
      <c r="C55" t="s">
        <v>34</v>
      </c>
      <c r="D55">
        <v>1.7999999999999999E-2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0.98199999999999998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51</v>
      </c>
      <c r="C56" t="s">
        <v>51</v>
      </c>
      <c r="D56">
        <v>0</v>
      </c>
      <c r="E56">
        <v>0</v>
      </c>
      <c r="F56">
        <v>0</v>
      </c>
      <c r="G56">
        <v>0</v>
      </c>
      <c r="H56">
        <v>0</v>
      </c>
      <c r="I56">
        <v>4.0000000000000001E-3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2E-3</v>
      </c>
      <c r="V56">
        <v>9.1999999999999998E-2</v>
      </c>
      <c r="W56">
        <v>0.89700000000000002</v>
      </c>
      <c r="X56">
        <v>1E-3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3.0000000000000001E-3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1E-3</v>
      </c>
      <c r="AY56">
        <v>0</v>
      </c>
      <c r="AZ56">
        <v>0</v>
      </c>
    </row>
    <row r="57" spans="1:52">
      <c r="A57">
        <v>56</v>
      </c>
      <c r="B57" t="s">
        <v>129</v>
      </c>
      <c r="C57" t="s">
        <v>129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1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117</v>
      </c>
      <c r="C58" t="s">
        <v>117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1E-3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0.998</v>
      </c>
      <c r="AJ58">
        <v>1E-3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68</v>
      </c>
      <c r="C59" t="s">
        <v>68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0.79600000000000004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0.20399999999999999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27</v>
      </c>
      <c r="C60" t="s">
        <v>27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134</v>
      </c>
      <c r="C61" t="s">
        <v>134</v>
      </c>
      <c r="D61">
        <v>0</v>
      </c>
      <c r="E61">
        <v>0</v>
      </c>
      <c r="F61">
        <v>0</v>
      </c>
      <c r="G61">
        <v>0</v>
      </c>
      <c r="H61">
        <v>4.2000000000000003E-2</v>
      </c>
      <c r="I61">
        <v>0</v>
      </c>
      <c r="J61">
        <v>0</v>
      </c>
      <c r="K61">
        <v>3.9E-2</v>
      </c>
      <c r="L61">
        <v>1.0999999999999999E-2</v>
      </c>
      <c r="M61">
        <v>0</v>
      </c>
      <c r="N61">
        <v>8.1000000000000003E-2</v>
      </c>
      <c r="O61">
        <v>0</v>
      </c>
      <c r="P61">
        <v>0</v>
      </c>
      <c r="Q61">
        <v>0</v>
      </c>
      <c r="R61">
        <v>0</v>
      </c>
      <c r="S61">
        <v>0</v>
      </c>
      <c r="T61">
        <v>0.81799999999999995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1E-3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2E-3</v>
      </c>
      <c r="AK61">
        <v>0</v>
      </c>
      <c r="AL61">
        <v>0</v>
      </c>
      <c r="AM61">
        <v>0</v>
      </c>
      <c r="AN61">
        <v>0</v>
      </c>
      <c r="AO61">
        <v>3.0000000000000001E-3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3.0000000000000001E-3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29</v>
      </c>
      <c r="C62" t="s">
        <v>29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6.0000000000000001E-3</v>
      </c>
      <c r="M62">
        <v>2E-3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7.0999999999999994E-2</v>
      </c>
      <c r="Y62">
        <v>1.2999999999999999E-2</v>
      </c>
      <c r="Z62">
        <v>0.79</v>
      </c>
      <c r="AA62">
        <v>0.11600000000000001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2E-3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22</v>
      </c>
      <c r="C63" t="s">
        <v>22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27</v>
      </c>
      <c r="C64" t="s">
        <v>27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68</v>
      </c>
      <c r="C65" t="s">
        <v>68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0.92800000000000005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7.1999999999999995E-2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34</v>
      </c>
      <c r="C66" t="s">
        <v>34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1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65</v>
      </c>
      <c r="C67" t="s">
        <v>65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0.89200000000000002</v>
      </c>
      <c r="Z67">
        <v>7.4999999999999997E-2</v>
      </c>
      <c r="AA67">
        <v>3.3000000000000002E-2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37</v>
      </c>
      <c r="C68" t="s">
        <v>37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0.95199999999999996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4.8000000000000001E-2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120</v>
      </c>
      <c r="C69" t="s">
        <v>120</v>
      </c>
      <c r="D69">
        <v>0</v>
      </c>
      <c r="E69">
        <v>0</v>
      </c>
      <c r="F69">
        <v>1E-3</v>
      </c>
      <c r="G69">
        <v>1E-3</v>
      </c>
      <c r="H69">
        <v>0</v>
      </c>
      <c r="I69">
        <v>0.91500000000000004</v>
      </c>
      <c r="J69">
        <v>1E-3</v>
      </c>
      <c r="K69">
        <v>1E-3</v>
      </c>
      <c r="L69">
        <v>2.5000000000000001E-2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7.0000000000000001E-3</v>
      </c>
      <c r="W69">
        <v>3.0000000000000001E-3</v>
      </c>
      <c r="X69">
        <v>1.2999999999999999E-2</v>
      </c>
      <c r="Y69">
        <v>0</v>
      </c>
      <c r="Z69">
        <v>0</v>
      </c>
      <c r="AA69">
        <v>0</v>
      </c>
      <c r="AB69">
        <v>1.7999999999999999E-2</v>
      </c>
      <c r="AC69">
        <v>0</v>
      </c>
      <c r="AD69">
        <v>1E-3</v>
      </c>
      <c r="AE69">
        <v>5.0000000000000001E-3</v>
      </c>
      <c r="AF69">
        <v>0</v>
      </c>
      <c r="AG69">
        <v>1E-3</v>
      </c>
      <c r="AH69">
        <v>0</v>
      </c>
      <c r="AI69">
        <v>3.0000000000000001E-3</v>
      </c>
      <c r="AJ69">
        <v>0</v>
      </c>
      <c r="AK69">
        <v>1E-3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4.0000000000000001E-3</v>
      </c>
      <c r="AY69">
        <v>0</v>
      </c>
      <c r="AZ69">
        <v>0</v>
      </c>
    </row>
    <row r="70" spans="1:52">
      <c r="A70">
        <v>69</v>
      </c>
      <c r="B70" t="s">
        <v>34</v>
      </c>
      <c r="C70" t="s">
        <v>34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1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145</v>
      </c>
      <c r="C71" t="s">
        <v>145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0.79700000000000004</v>
      </c>
      <c r="AT71">
        <v>0</v>
      </c>
      <c r="AU71">
        <v>0.20300000000000001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134</v>
      </c>
      <c r="C72" t="s">
        <v>134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1E-3</v>
      </c>
      <c r="O72">
        <v>0</v>
      </c>
      <c r="P72">
        <v>0</v>
      </c>
      <c r="Q72">
        <v>0</v>
      </c>
      <c r="R72">
        <v>0</v>
      </c>
      <c r="S72">
        <v>0</v>
      </c>
      <c r="T72">
        <v>0.999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34</v>
      </c>
      <c r="C73" t="s">
        <v>34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68</v>
      </c>
      <c r="C74" t="s">
        <v>68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8.9999999999999993E-3</v>
      </c>
      <c r="R74">
        <v>0</v>
      </c>
      <c r="S74">
        <v>0</v>
      </c>
      <c r="T74">
        <v>0</v>
      </c>
      <c r="U74">
        <v>0</v>
      </c>
      <c r="V74">
        <v>2E-3</v>
      </c>
      <c r="W74">
        <v>0</v>
      </c>
      <c r="X74">
        <v>0</v>
      </c>
      <c r="Y74">
        <v>0</v>
      </c>
      <c r="Z74">
        <v>0</v>
      </c>
      <c r="AA74">
        <v>0</v>
      </c>
      <c r="AB74">
        <v>0.876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0.113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27</v>
      </c>
      <c r="C75" t="s">
        <v>27</v>
      </c>
      <c r="D75">
        <v>0</v>
      </c>
      <c r="E75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65</v>
      </c>
      <c r="C76" t="s">
        <v>65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0.76900000000000002</v>
      </c>
      <c r="Z76">
        <v>0.18099999999999999</v>
      </c>
      <c r="AA76">
        <v>0.05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29</v>
      </c>
      <c r="C77" t="s">
        <v>29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3.6999999999999998E-2</v>
      </c>
      <c r="Y77">
        <v>0.14199999999999999</v>
      </c>
      <c r="Z77">
        <v>0.81699999999999995</v>
      </c>
      <c r="AA77">
        <v>4.0000000000000001E-3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27</v>
      </c>
      <c r="C78" t="s">
        <v>27</v>
      </c>
      <c r="D78">
        <v>0</v>
      </c>
      <c r="E78">
        <v>0</v>
      </c>
      <c r="F78">
        <v>0</v>
      </c>
      <c r="G78">
        <v>0.99299999999999999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7.0000000000000001E-3</v>
      </c>
      <c r="AZ78">
        <v>0</v>
      </c>
    </row>
    <row r="79" spans="1:52">
      <c r="A79">
        <v>78</v>
      </c>
      <c r="B79" t="s">
        <v>34</v>
      </c>
      <c r="C79" t="s">
        <v>34</v>
      </c>
      <c r="D79">
        <v>1.7999999999999999E-2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0.98199999999999998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65</v>
      </c>
      <c r="C80" t="s">
        <v>65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0.998</v>
      </c>
      <c r="Z80">
        <v>2E-3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27</v>
      </c>
      <c r="C81" t="s">
        <v>27</v>
      </c>
      <c r="D81">
        <v>0</v>
      </c>
      <c r="E81">
        <v>0</v>
      </c>
      <c r="F81">
        <v>0</v>
      </c>
      <c r="G81">
        <v>0.999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1E-3</v>
      </c>
      <c r="AZ81">
        <v>0</v>
      </c>
    </row>
    <row r="82" spans="1:52">
      <c r="A82">
        <v>81</v>
      </c>
      <c r="B82" t="s">
        <v>27</v>
      </c>
      <c r="C82" t="s">
        <v>27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86</v>
      </c>
      <c r="C83" t="s">
        <v>86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3.0000000000000001E-3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0.58799999999999997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0.40899999999999997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159</v>
      </c>
      <c r="C84" t="s">
        <v>159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0.96499999999999997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3.5000000000000003E-2</v>
      </c>
    </row>
    <row r="85" spans="1:52">
      <c r="A85">
        <v>84</v>
      </c>
      <c r="B85" t="s">
        <v>27</v>
      </c>
      <c r="C85" t="s">
        <v>27</v>
      </c>
      <c r="D85">
        <v>0</v>
      </c>
      <c r="E85">
        <v>0</v>
      </c>
      <c r="F85">
        <v>0</v>
      </c>
      <c r="G85">
        <v>0.996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1E-3</v>
      </c>
      <c r="AA85">
        <v>0</v>
      </c>
      <c r="AB85">
        <v>1E-3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1E-3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1E-3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97</v>
      </c>
      <c r="C86" t="s">
        <v>97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46</v>
      </c>
      <c r="C87" t="s">
        <v>46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0.94599999999999995</v>
      </c>
      <c r="V87">
        <v>1E-3</v>
      </c>
      <c r="W87">
        <v>5.1999999999999998E-2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1E-3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27</v>
      </c>
      <c r="C88" t="s">
        <v>27</v>
      </c>
      <c r="D88">
        <v>0</v>
      </c>
      <c r="E88">
        <v>0</v>
      </c>
      <c r="F88">
        <v>0</v>
      </c>
      <c r="G88">
        <v>0.98699999999999999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1.2999999999999999E-2</v>
      </c>
      <c r="AZ88">
        <v>0</v>
      </c>
    </row>
    <row r="89" spans="1:52">
      <c r="A89">
        <v>88</v>
      </c>
      <c r="B89" t="s">
        <v>167</v>
      </c>
      <c r="C89" t="s">
        <v>167</v>
      </c>
      <c r="D89">
        <v>0</v>
      </c>
      <c r="E89">
        <v>0</v>
      </c>
      <c r="F89">
        <v>0.879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0.121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68</v>
      </c>
      <c r="C90" t="s">
        <v>68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0.78600000000000003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0.214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78</v>
      </c>
      <c r="C91" t="s">
        <v>78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1E-3</v>
      </c>
      <c r="W91">
        <v>0.128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0.871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171</v>
      </c>
      <c r="C92" t="s">
        <v>171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0.74199999999999999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0.16800000000000001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0.09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34</v>
      </c>
      <c r="C93" t="s">
        <v>34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22</v>
      </c>
      <c r="C94" t="s">
        <v>22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8.2000000000000003E-2</v>
      </c>
      <c r="Z94">
        <v>0</v>
      </c>
      <c r="AA94">
        <v>0.91800000000000004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117</v>
      </c>
      <c r="C95" t="s">
        <v>117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2E-3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1E-3</v>
      </c>
      <c r="AG95">
        <v>0</v>
      </c>
      <c r="AH95">
        <v>0</v>
      </c>
      <c r="AI95">
        <v>0.99299999999999999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2E-3</v>
      </c>
      <c r="AR95">
        <v>1E-3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1E-3</v>
      </c>
    </row>
    <row r="96" spans="1:52">
      <c r="A96">
        <v>95</v>
      </c>
      <c r="B96" t="s">
        <v>65</v>
      </c>
      <c r="C96" t="s">
        <v>65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1E-3</v>
      </c>
      <c r="Y96">
        <v>0.86299999999999999</v>
      </c>
      <c r="Z96">
        <v>0.13600000000000001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34</v>
      </c>
      <c r="C97" t="s">
        <v>34</v>
      </c>
      <c r="D97">
        <v>4.0000000000000001E-3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0.94699999999999995</v>
      </c>
      <c r="P97">
        <v>4.9000000000000002E-2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27</v>
      </c>
      <c r="C98" t="s">
        <v>27</v>
      </c>
      <c r="D98">
        <v>0</v>
      </c>
      <c r="E98">
        <v>0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37</v>
      </c>
      <c r="C99" t="s">
        <v>37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134</v>
      </c>
      <c r="C100" t="s">
        <v>134</v>
      </c>
      <c r="D100">
        <v>0</v>
      </c>
      <c r="E100">
        <v>0</v>
      </c>
      <c r="F100">
        <v>0</v>
      </c>
      <c r="G100">
        <v>1E-3</v>
      </c>
      <c r="H100">
        <v>8.5000000000000006E-2</v>
      </c>
      <c r="I100">
        <v>0</v>
      </c>
      <c r="J100">
        <v>0</v>
      </c>
      <c r="K100">
        <v>0.10199999999999999</v>
      </c>
      <c r="L100">
        <v>1E-3</v>
      </c>
      <c r="M100">
        <v>0</v>
      </c>
      <c r="N100">
        <v>7.0000000000000001E-3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0.80100000000000005</v>
      </c>
      <c r="U100">
        <v>0</v>
      </c>
      <c r="V100">
        <v>0</v>
      </c>
      <c r="W100">
        <v>2E-3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1E-3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34</v>
      </c>
      <c r="C101" t="s">
        <v>34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34</v>
      </c>
      <c r="C102" t="s">
        <v>34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1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22</v>
      </c>
      <c r="C103" t="s">
        <v>22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6.6000000000000003E-2</v>
      </c>
      <c r="Z103">
        <v>0.22500000000000001</v>
      </c>
      <c r="AA103">
        <v>0.70899999999999996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68</v>
      </c>
      <c r="C104" t="s">
        <v>68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4.0000000000000001E-3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0.83199999999999996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0.16400000000000001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27</v>
      </c>
      <c r="C105" t="s">
        <v>27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27</v>
      </c>
      <c r="C106" t="s">
        <v>27</v>
      </c>
      <c r="D106">
        <v>0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34</v>
      </c>
      <c r="C107" t="s">
        <v>34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189</v>
      </c>
      <c r="C108" t="s">
        <v>189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1E-3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0.999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145</v>
      </c>
      <c r="C109" t="s">
        <v>145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0.95099999999999996</v>
      </c>
      <c r="AT109">
        <v>0</v>
      </c>
      <c r="AU109">
        <v>4.9000000000000002E-2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189</v>
      </c>
      <c r="C110" t="s">
        <v>189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1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29</v>
      </c>
      <c r="C111" t="s">
        <v>29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9.5000000000000001E-2</v>
      </c>
      <c r="Y111">
        <v>2E-3</v>
      </c>
      <c r="Z111">
        <v>0.90200000000000002</v>
      </c>
      <c r="AA111">
        <v>1E-3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27</v>
      </c>
      <c r="C112" t="s">
        <v>27</v>
      </c>
      <c r="D112">
        <v>0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34</v>
      </c>
      <c r="C113" t="s">
        <v>34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1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263</v>
      </c>
      <c r="C114" t="s">
        <v>197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1E-3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3.0000000000000001E-3</v>
      </c>
      <c r="AF114">
        <v>0</v>
      </c>
      <c r="AG114">
        <v>4.0000000000000001E-3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1E-3</v>
      </c>
      <c r="AQ114">
        <v>0.46500000000000002</v>
      </c>
      <c r="AR114">
        <v>0.52300000000000002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1E-3</v>
      </c>
      <c r="AY114">
        <v>0</v>
      </c>
      <c r="AZ114">
        <v>2E-3</v>
      </c>
    </row>
    <row r="115" spans="1:52">
      <c r="A115">
        <v>114</v>
      </c>
      <c r="B115" t="s">
        <v>171</v>
      </c>
      <c r="C115" t="s">
        <v>171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0.67900000000000005</v>
      </c>
      <c r="N115">
        <v>0</v>
      </c>
      <c r="O115">
        <v>0</v>
      </c>
      <c r="P115">
        <v>0</v>
      </c>
      <c r="Q115">
        <v>1E-3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1E-3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0.17199999999999999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0.14699999999999999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171</v>
      </c>
      <c r="C116" t="s">
        <v>171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0.98899999999999999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1.0999999999999999E-2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129</v>
      </c>
      <c r="C117" t="s">
        <v>129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3.0000000000000001E-3</v>
      </c>
      <c r="U117">
        <v>0</v>
      </c>
      <c r="V117">
        <v>0</v>
      </c>
      <c r="W117">
        <v>3.0000000000000001E-3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1E-3</v>
      </c>
      <c r="AH117">
        <v>0</v>
      </c>
      <c r="AI117">
        <v>0</v>
      </c>
      <c r="AJ117">
        <v>0.99</v>
      </c>
      <c r="AK117">
        <v>0</v>
      </c>
      <c r="AL117">
        <v>0</v>
      </c>
      <c r="AM117">
        <v>0</v>
      </c>
      <c r="AN117">
        <v>1E-3</v>
      </c>
      <c r="AO117">
        <v>0</v>
      </c>
      <c r="AP117">
        <v>0</v>
      </c>
      <c r="AQ117">
        <v>0</v>
      </c>
      <c r="AR117">
        <v>1E-3</v>
      </c>
      <c r="AS117">
        <v>0</v>
      </c>
      <c r="AT117">
        <v>1E-3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51</v>
      </c>
      <c r="C118" t="s">
        <v>51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0.34399999999999997</v>
      </c>
      <c r="V118">
        <v>0</v>
      </c>
      <c r="W118">
        <v>0.61099999999999999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4.4999999999999998E-2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65</v>
      </c>
      <c r="C119" t="s">
        <v>65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0.876</v>
      </c>
      <c r="Z119">
        <v>3.5000000000000003E-2</v>
      </c>
      <c r="AA119">
        <v>8.8999999999999996E-2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46</v>
      </c>
      <c r="C120" t="s">
        <v>46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0.92600000000000005</v>
      </c>
      <c r="V120">
        <v>0</v>
      </c>
      <c r="W120">
        <v>7.3999999999999996E-2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206</v>
      </c>
      <c r="C121" t="s">
        <v>206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1E-3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0.93100000000000005</v>
      </c>
      <c r="AO121">
        <v>6.7000000000000004E-2</v>
      </c>
      <c r="AP121">
        <v>0</v>
      </c>
      <c r="AQ121">
        <v>0</v>
      </c>
      <c r="AR121">
        <v>0</v>
      </c>
      <c r="AS121">
        <v>0</v>
      </c>
      <c r="AT121">
        <v>1E-3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37</v>
      </c>
      <c r="C122" t="s">
        <v>37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0.996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4.0000000000000001E-3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65</v>
      </c>
      <c r="C123" t="s">
        <v>65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0.83699999999999997</v>
      </c>
      <c r="Z123">
        <v>9.5000000000000001E-2</v>
      </c>
      <c r="AA123">
        <v>6.8000000000000005E-2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29</v>
      </c>
      <c r="C124" t="s">
        <v>29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0.03</v>
      </c>
      <c r="Y124">
        <v>8.3000000000000004E-2</v>
      </c>
      <c r="Z124">
        <v>0.79400000000000004</v>
      </c>
      <c r="AA124">
        <v>9.2999999999999999E-2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27</v>
      </c>
      <c r="C125" t="s">
        <v>27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34</v>
      </c>
      <c r="C126" t="s">
        <v>34</v>
      </c>
      <c r="D126">
        <v>5.0000000000000001E-3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0.96099999999999997</v>
      </c>
      <c r="P126">
        <v>3.4000000000000002E-2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27</v>
      </c>
      <c r="C127" t="s">
        <v>27</v>
      </c>
      <c r="D127">
        <v>0</v>
      </c>
      <c r="E127">
        <v>0</v>
      </c>
      <c r="F127">
        <v>0</v>
      </c>
      <c r="G127">
        <v>0.997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1E-3</v>
      </c>
      <c r="AA127">
        <v>0</v>
      </c>
      <c r="AB127">
        <v>1E-3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1E-3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76</v>
      </c>
      <c r="C128" t="s">
        <v>76</v>
      </c>
      <c r="D128">
        <v>0</v>
      </c>
      <c r="E128">
        <v>0</v>
      </c>
      <c r="F128">
        <v>0</v>
      </c>
      <c r="G128">
        <v>0</v>
      </c>
      <c r="H128">
        <v>1E-3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0.998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1E-3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129</v>
      </c>
      <c r="C129" t="s">
        <v>129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1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65</v>
      </c>
      <c r="C130" t="s">
        <v>65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0.92</v>
      </c>
      <c r="Z130">
        <v>0</v>
      </c>
      <c r="AA130">
        <v>0.08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27</v>
      </c>
      <c r="C131" t="s">
        <v>27</v>
      </c>
      <c r="D131">
        <v>0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120</v>
      </c>
      <c r="C132" t="s">
        <v>120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34</v>
      </c>
      <c r="C133" t="s">
        <v>34</v>
      </c>
      <c r="D133">
        <v>2.4E-2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0.95399999999999996</v>
      </c>
      <c r="P133">
        <v>2.1999999999999999E-2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117</v>
      </c>
      <c r="C134" t="s">
        <v>117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1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222</v>
      </c>
      <c r="C135" t="s">
        <v>222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1E-3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4.0000000000000001E-3</v>
      </c>
      <c r="Y135">
        <v>2E-3</v>
      </c>
      <c r="Z135">
        <v>6.0000000000000001E-3</v>
      </c>
      <c r="AA135">
        <v>3.0000000000000001E-3</v>
      </c>
      <c r="AB135">
        <v>5.0000000000000001E-3</v>
      </c>
      <c r="AC135">
        <v>0</v>
      </c>
      <c r="AD135">
        <v>0</v>
      </c>
      <c r="AE135">
        <v>1E-3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1E-3</v>
      </c>
      <c r="AR135">
        <v>0</v>
      </c>
      <c r="AS135">
        <v>0</v>
      </c>
      <c r="AT135">
        <v>0</v>
      </c>
      <c r="AU135">
        <v>0</v>
      </c>
      <c r="AV135">
        <v>0.97699999999999998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224</v>
      </c>
      <c r="C136" t="s">
        <v>224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0.191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0.80900000000000005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62</v>
      </c>
      <c r="C137" t="s">
        <v>62</v>
      </c>
      <c r="D137">
        <v>0</v>
      </c>
      <c r="E137">
        <v>0.999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1E-3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27</v>
      </c>
      <c r="C138" t="s">
        <v>27</v>
      </c>
      <c r="D138">
        <v>0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113</v>
      </c>
      <c r="C139" t="s">
        <v>113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0.185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0.13500000000000001</v>
      </c>
      <c r="AN139">
        <v>0</v>
      </c>
      <c r="AO139">
        <v>0.68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229</v>
      </c>
      <c r="C140" t="s">
        <v>229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0.38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1E-3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0.61799999999999999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1E-3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78</v>
      </c>
      <c r="C141" t="s">
        <v>78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3.9E-2</v>
      </c>
      <c r="V141">
        <v>3.0000000000000001E-3</v>
      </c>
      <c r="W141">
        <v>0.13500000000000001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0.82299999999999995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171</v>
      </c>
      <c r="C142" t="s">
        <v>171</v>
      </c>
      <c r="D142">
        <v>0</v>
      </c>
      <c r="E142">
        <v>0</v>
      </c>
      <c r="F142">
        <v>0</v>
      </c>
      <c r="G142">
        <v>1E-3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0.95199999999999996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2E-3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2E-3</v>
      </c>
      <c r="AC142">
        <v>0</v>
      </c>
      <c r="AD142">
        <v>4.0000000000000001E-3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3.7999999999999999E-2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1E-3</v>
      </c>
      <c r="AY142">
        <v>0</v>
      </c>
      <c r="AZ142">
        <v>0</v>
      </c>
    </row>
    <row r="143" spans="1:52">
      <c r="A143">
        <v>142</v>
      </c>
      <c r="B143" t="s">
        <v>27</v>
      </c>
      <c r="C143" t="s">
        <v>27</v>
      </c>
      <c r="D143">
        <v>0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120</v>
      </c>
      <c r="C144" t="s">
        <v>120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0.999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1E-3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68</v>
      </c>
      <c r="C145" t="s">
        <v>68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0.83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0.17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167</v>
      </c>
      <c r="C146" t="s">
        <v>167</v>
      </c>
      <c r="D146">
        <v>0</v>
      </c>
      <c r="E146">
        <v>0</v>
      </c>
      <c r="F146">
        <v>0.95199999999999996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4.8000000000000001E-2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34</v>
      </c>
      <c r="C147" t="s">
        <v>34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68</v>
      </c>
      <c r="C148" t="s">
        <v>68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0.95599999999999996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4.3999999999999997E-2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145</v>
      </c>
      <c r="C149" t="s">
        <v>145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2E-3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2E-3</v>
      </c>
      <c r="AR149">
        <v>0</v>
      </c>
      <c r="AS149">
        <v>0.91300000000000003</v>
      </c>
      <c r="AT149">
        <v>0</v>
      </c>
      <c r="AU149">
        <v>8.3000000000000004E-2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113</v>
      </c>
      <c r="C150" t="s">
        <v>113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0.01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2.3E-2</v>
      </c>
      <c r="AN150">
        <v>0</v>
      </c>
      <c r="AO150">
        <v>0.96699999999999997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34</v>
      </c>
      <c r="C151" t="s">
        <v>34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129</v>
      </c>
      <c r="C152" t="s">
        <v>129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3.0000000000000001E-3</v>
      </c>
      <c r="U152">
        <v>0</v>
      </c>
      <c r="V152">
        <v>0</v>
      </c>
      <c r="W152">
        <v>1E-3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1E-3</v>
      </c>
      <c r="AH152">
        <v>0</v>
      </c>
      <c r="AI152">
        <v>0</v>
      </c>
      <c r="AJ152">
        <v>0.99199999999999999</v>
      </c>
      <c r="AK152">
        <v>0</v>
      </c>
      <c r="AL152">
        <v>0</v>
      </c>
      <c r="AM152">
        <v>0</v>
      </c>
      <c r="AN152">
        <v>2E-3</v>
      </c>
      <c r="AO152">
        <v>0</v>
      </c>
      <c r="AP152">
        <v>0</v>
      </c>
      <c r="AQ152">
        <v>0</v>
      </c>
      <c r="AR152">
        <v>1E-3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27</v>
      </c>
      <c r="C153" t="s">
        <v>27</v>
      </c>
      <c r="D153">
        <v>0</v>
      </c>
      <c r="E153">
        <v>0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68</v>
      </c>
      <c r="C154" t="s">
        <v>68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0.96299999999999997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3.6999999999999998E-2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129</v>
      </c>
      <c r="C155" t="s">
        <v>129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1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41</v>
      </c>
      <c r="C156" t="s">
        <v>41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1.6E-2</v>
      </c>
      <c r="AG156">
        <v>0.84199999999999997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0.14199999999999999</v>
      </c>
    </row>
    <row r="157" spans="1:52">
      <c r="A157">
        <v>156</v>
      </c>
      <c r="B157" t="s">
        <v>189</v>
      </c>
      <c r="C157" t="s">
        <v>189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0.999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1E-3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222</v>
      </c>
      <c r="C158" t="s">
        <v>222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1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29</v>
      </c>
      <c r="C159" t="s">
        <v>29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0.16200000000000001</v>
      </c>
      <c r="Y159">
        <v>3.2000000000000001E-2</v>
      </c>
      <c r="Z159">
        <v>0.80600000000000005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247</v>
      </c>
      <c r="C160" t="s">
        <v>247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0.875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0.10100000000000001</v>
      </c>
      <c r="AN160">
        <v>0</v>
      </c>
      <c r="AO160">
        <v>2.4E-2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27</v>
      </c>
      <c r="C161" t="s">
        <v>27</v>
      </c>
      <c r="D161">
        <v>0</v>
      </c>
      <c r="E161">
        <v>0</v>
      </c>
      <c r="F161">
        <v>0</v>
      </c>
      <c r="G161">
        <v>0.96299999999999997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3.6999999999999998E-2</v>
      </c>
      <c r="AZ161">
        <v>0</v>
      </c>
    </row>
    <row r="162" spans="1:52">
      <c r="A162">
        <v>161</v>
      </c>
      <c r="B162" t="s">
        <v>108</v>
      </c>
      <c r="C162" t="s">
        <v>108</v>
      </c>
      <c r="D162">
        <v>0</v>
      </c>
      <c r="E162">
        <v>0</v>
      </c>
      <c r="F162">
        <v>0</v>
      </c>
      <c r="G162">
        <v>1E-3</v>
      </c>
      <c r="H162">
        <v>0</v>
      </c>
      <c r="I162">
        <v>0</v>
      </c>
      <c r="J162">
        <v>0</v>
      </c>
      <c r="K162">
        <v>1E-3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6.0000000000000001E-3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8.9999999999999993E-3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0.98299999999999998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251</v>
      </c>
      <c r="C163" t="s">
        <v>251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1E-3</v>
      </c>
      <c r="AF163">
        <v>4.2999999999999997E-2</v>
      </c>
      <c r="AG163">
        <v>3.5999999999999997E-2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0.92</v>
      </c>
    </row>
    <row r="164" spans="1:52">
      <c r="A164">
        <v>163</v>
      </c>
      <c r="B164" t="s">
        <v>27</v>
      </c>
      <c r="C164" t="s">
        <v>27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117</v>
      </c>
      <c r="C165" t="s">
        <v>117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0.999</v>
      </c>
      <c r="AJ165">
        <v>0</v>
      </c>
      <c r="AK165">
        <v>0</v>
      </c>
      <c r="AL165">
        <v>0</v>
      </c>
      <c r="AM165">
        <v>1E-3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253</v>
      </c>
      <c r="C166" t="s">
        <v>253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0.27500000000000002</v>
      </c>
      <c r="AT166">
        <v>0</v>
      </c>
      <c r="AU166">
        <v>0.72499999999999998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46</v>
      </c>
      <c r="C167" t="s">
        <v>46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0.997</v>
      </c>
      <c r="V167">
        <v>0</v>
      </c>
      <c r="W167">
        <v>3.0000000000000001E-3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222</v>
      </c>
      <c r="C168" t="s">
        <v>222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1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27</v>
      </c>
      <c r="C169" t="s">
        <v>27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27</v>
      </c>
      <c r="C170" t="s">
        <v>27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27</v>
      </c>
      <c r="C171" t="s">
        <v>27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27</v>
      </c>
      <c r="C172" t="s">
        <v>27</v>
      </c>
      <c r="D172">
        <v>0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27</v>
      </c>
      <c r="C173" t="s">
        <v>27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113</v>
      </c>
      <c r="C174" t="s">
        <v>113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0.125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0.124</v>
      </c>
      <c r="AN174">
        <v>7.0000000000000001E-3</v>
      </c>
      <c r="AO174">
        <v>0.74399999999999999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224</v>
      </c>
      <c r="C175" t="s">
        <v>224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0.20799999999999999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0.79200000000000004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263</v>
      </c>
      <c r="C176" t="s">
        <v>263</v>
      </c>
      <c r="D176">
        <v>0</v>
      </c>
      <c r="E176">
        <v>0</v>
      </c>
      <c r="F176">
        <v>0</v>
      </c>
      <c r="G176">
        <v>2E-3</v>
      </c>
      <c r="H176">
        <v>0</v>
      </c>
      <c r="I176">
        <v>0</v>
      </c>
      <c r="J176">
        <v>0</v>
      </c>
      <c r="K176">
        <v>0</v>
      </c>
      <c r="L176">
        <v>4.0000000000000001E-3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1E-3</v>
      </c>
      <c r="AC176">
        <v>0</v>
      </c>
      <c r="AD176">
        <v>3.0000000000000001E-3</v>
      </c>
      <c r="AE176">
        <v>1E-3</v>
      </c>
      <c r="AF176">
        <v>1E-3</v>
      </c>
      <c r="AG176">
        <v>0</v>
      </c>
      <c r="AH176">
        <v>0</v>
      </c>
      <c r="AI176">
        <v>1E-3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0.92200000000000004</v>
      </c>
      <c r="AR176">
        <v>6.5000000000000002E-2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51</v>
      </c>
      <c r="C177" t="s">
        <v>51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117</v>
      </c>
      <c r="C178" t="s">
        <v>117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2E-3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1E-3</v>
      </c>
      <c r="AG178">
        <v>0</v>
      </c>
      <c r="AH178">
        <v>0</v>
      </c>
      <c r="AI178">
        <v>0.99199999999999999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4.0000000000000001E-3</v>
      </c>
      <c r="AR178">
        <v>1E-3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27</v>
      </c>
      <c r="C179" t="s">
        <v>27</v>
      </c>
      <c r="D179">
        <v>0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224</v>
      </c>
      <c r="C180" t="s">
        <v>224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7.0000000000000007E-2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0.93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224</v>
      </c>
      <c r="C181" t="s">
        <v>224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0.13500000000000001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0.86499999999999999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108</v>
      </c>
      <c r="C182" t="s">
        <v>108</v>
      </c>
      <c r="D182">
        <v>0</v>
      </c>
      <c r="E182">
        <v>0</v>
      </c>
      <c r="F182">
        <v>0.20599999999999999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0.79400000000000004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22</v>
      </c>
      <c r="C183" t="s">
        <v>22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247</v>
      </c>
      <c r="C184" t="s">
        <v>247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0.73399999999999999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7.2999999999999995E-2</v>
      </c>
      <c r="AN184">
        <v>1.4E-2</v>
      </c>
      <c r="AO184">
        <v>0.17899999999999999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271</v>
      </c>
      <c r="C185" t="s">
        <v>271</v>
      </c>
      <c r="D185">
        <v>0</v>
      </c>
      <c r="E185">
        <v>0</v>
      </c>
      <c r="F185">
        <v>1E-3</v>
      </c>
      <c r="G185">
        <v>0</v>
      </c>
      <c r="H185">
        <v>0</v>
      </c>
      <c r="I185">
        <v>2E-3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1E-3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0.98599999999999999</v>
      </c>
      <c r="AF185">
        <v>2E-3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1E-3</v>
      </c>
      <c r="AR185">
        <v>0</v>
      </c>
      <c r="AS185">
        <v>0</v>
      </c>
      <c r="AT185">
        <v>0</v>
      </c>
      <c r="AU185">
        <v>0</v>
      </c>
      <c r="AV185">
        <v>1E-3</v>
      </c>
      <c r="AW185">
        <v>0</v>
      </c>
      <c r="AX185">
        <v>4.0000000000000001E-3</v>
      </c>
      <c r="AY185">
        <v>0</v>
      </c>
      <c r="AZ185">
        <v>2E-3</v>
      </c>
    </row>
    <row r="186" spans="1:52">
      <c r="A186">
        <v>185</v>
      </c>
      <c r="B186" t="s">
        <v>34</v>
      </c>
      <c r="C186" t="s">
        <v>34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27</v>
      </c>
      <c r="C187" t="s">
        <v>27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189</v>
      </c>
      <c r="C188" t="s">
        <v>189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1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189</v>
      </c>
      <c r="C189" t="s">
        <v>189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1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68</v>
      </c>
      <c r="C190" t="s">
        <v>68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0.74099999999999999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0.25900000000000001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51</v>
      </c>
      <c r="C191" t="s">
        <v>51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1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27</v>
      </c>
      <c r="C192" t="s">
        <v>27</v>
      </c>
      <c r="D192">
        <v>0</v>
      </c>
      <c r="E192">
        <v>0</v>
      </c>
      <c r="F192">
        <v>0</v>
      </c>
      <c r="G192">
        <v>0.999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1E-3</v>
      </c>
      <c r="AZ192">
        <v>0</v>
      </c>
    </row>
    <row r="193" spans="1:52">
      <c r="A193">
        <v>192</v>
      </c>
      <c r="B193" t="s">
        <v>189</v>
      </c>
      <c r="C193" t="s">
        <v>189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1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271</v>
      </c>
      <c r="C194" t="s">
        <v>271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2E-3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1E-3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0.99</v>
      </c>
      <c r="AF194">
        <v>3.0000000000000001E-3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2E-3</v>
      </c>
      <c r="AS194">
        <v>0</v>
      </c>
      <c r="AT194">
        <v>0</v>
      </c>
      <c r="AU194">
        <v>0</v>
      </c>
      <c r="AV194">
        <v>1E-3</v>
      </c>
      <c r="AW194">
        <v>0</v>
      </c>
      <c r="AX194">
        <v>0</v>
      </c>
      <c r="AY194">
        <v>0</v>
      </c>
      <c r="AZ194">
        <v>1E-3</v>
      </c>
    </row>
    <row r="195" spans="1:52">
      <c r="A195">
        <v>194</v>
      </c>
      <c r="B195" t="s">
        <v>27</v>
      </c>
      <c r="C195" t="s">
        <v>27</v>
      </c>
      <c r="D195">
        <v>0</v>
      </c>
      <c r="E195">
        <v>0</v>
      </c>
      <c r="F195">
        <v>0</v>
      </c>
      <c r="G195">
        <v>0.90200000000000002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9.8000000000000004E-2</v>
      </c>
      <c r="AZ195">
        <v>0</v>
      </c>
    </row>
    <row r="196" spans="1:52">
      <c r="A196">
        <v>195</v>
      </c>
      <c r="B196" t="s">
        <v>29</v>
      </c>
      <c r="C196" t="s">
        <v>29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1.0999999999999999E-2</v>
      </c>
      <c r="Y196">
        <v>0.29299999999999998</v>
      </c>
      <c r="Z196">
        <v>0.69199999999999995</v>
      </c>
      <c r="AA196">
        <v>4.0000000000000001E-3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78</v>
      </c>
      <c r="C197" t="s">
        <v>78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1E-3</v>
      </c>
      <c r="W197">
        <v>8.5000000000000006E-2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0.91400000000000003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159</v>
      </c>
      <c r="C198" t="s">
        <v>159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0.88500000000000001</v>
      </c>
      <c r="AG198">
        <v>1E-3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0.114</v>
      </c>
    </row>
    <row r="199" spans="1:52">
      <c r="A199">
        <v>198</v>
      </c>
      <c r="B199" t="s">
        <v>43</v>
      </c>
      <c r="C199" t="s">
        <v>43</v>
      </c>
      <c r="D199">
        <v>5.0000000000000001E-3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0.45900000000000002</v>
      </c>
      <c r="P199">
        <v>0.53600000000000003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110</v>
      </c>
      <c r="C200" t="s">
        <v>110</v>
      </c>
      <c r="D200">
        <v>0.68899999999999995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0.25900000000000001</v>
      </c>
      <c r="P200">
        <v>5.1999999999999998E-2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22</v>
      </c>
      <c r="C201" t="s">
        <v>22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1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97</v>
      </c>
      <c r="C202" t="s">
        <v>97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1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81</v>
      </c>
      <c r="C203" t="s">
        <v>81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3.0000000000000001E-3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0.64500000000000002</v>
      </c>
      <c r="AN203">
        <v>2E-3</v>
      </c>
      <c r="AO203">
        <v>0.35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34</v>
      </c>
      <c r="C204" t="s">
        <v>34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1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29</v>
      </c>
      <c r="C205" t="s">
        <v>29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1E-3</v>
      </c>
      <c r="Y205">
        <v>0</v>
      </c>
      <c r="Z205">
        <v>0.999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22</v>
      </c>
      <c r="C206" t="s">
        <v>22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1.4999999999999999E-2</v>
      </c>
      <c r="Y206">
        <v>0.11899999999999999</v>
      </c>
      <c r="Z206">
        <v>0.114</v>
      </c>
      <c r="AA206">
        <v>0.752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27</v>
      </c>
      <c r="C207" t="s">
        <v>27</v>
      </c>
      <c r="D207">
        <v>0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27</v>
      </c>
      <c r="C208" t="s">
        <v>27</v>
      </c>
      <c r="D208">
        <v>0</v>
      </c>
      <c r="E208">
        <v>0</v>
      </c>
      <c r="F208">
        <v>0</v>
      </c>
      <c r="G208">
        <v>0.97199999999999998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2.8000000000000001E-2</v>
      </c>
      <c r="AZ208">
        <v>0</v>
      </c>
    </row>
    <row r="209" spans="1:52">
      <c r="A209">
        <v>208</v>
      </c>
      <c r="B209" t="s">
        <v>27</v>
      </c>
      <c r="C209" t="s">
        <v>27</v>
      </c>
      <c r="D209">
        <v>0</v>
      </c>
      <c r="E209">
        <v>0</v>
      </c>
      <c r="F209">
        <v>0</v>
      </c>
      <c r="G209">
        <v>0.995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5.0000000000000001E-3</v>
      </c>
      <c r="AZ209">
        <v>0</v>
      </c>
    </row>
    <row r="210" spans="1:52">
      <c r="A210">
        <v>209</v>
      </c>
      <c r="B210" t="s">
        <v>34</v>
      </c>
      <c r="C210" t="s">
        <v>34</v>
      </c>
      <c r="D210">
        <v>2E-3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0.99299999999999999</v>
      </c>
      <c r="P210">
        <v>5.0000000000000001E-3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27</v>
      </c>
      <c r="C211" t="s">
        <v>27</v>
      </c>
      <c r="D211">
        <v>0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29</v>
      </c>
      <c r="C212" t="s">
        <v>29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7.0000000000000001E-3</v>
      </c>
      <c r="Z212">
        <v>0.78100000000000003</v>
      </c>
      <c r="AA212">
        <v>0.21199999999999999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27</v>
      </c>
      <c r="C213" t="s">
        <v>27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117</v>
      </c>
      <c r="C214" t="s">
        <v>117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1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27</v>
      </c>
      <c r="C215" t="s">
        <v>27</v>
      </c>
      <c r="D215">
        <v>0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271</v>
      </c>
      <c r="C216" t="s">
        <v>271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1E-3</v>
      </c>
      <c r="J216">
        <v>0</v>
      </c>
      <c r="K216">
        <v>0</v>
      </c>
      <c r="L216">
        <v>1.4999999999999999E-2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1.4999999999999999E-2</v>
      </c>
      <c r="W216">
        <v>3.0000000000000001E-3</v>
      </c>
      <c r="X216">
        <v>0.01</v>
      </c>
      <c r="Y216">
        <v>1E-3</v>
      </c>
      <c r="Z216">
        <v>0</v>
      </c>
      <c r="AA216">
        <v>0</v>
      </c>
      <c r="AB216">
        <v>4.0000000000000001E-3</v>
      </c>
      <c r="AC216">
        <v>0</v>
      </c>
      <c r="AD216">
        <v>0</v>
      </c>
      <c r="AE216">
        <v>0.93300000000000005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5.0000000000000001E-3</v>
      </c>
      <c r="AR216">
        <v>2E-3</v>
      </c>
      <c r="AS216">
        <v>0</v>
      </c>
      <c r="AT216">
        <v>0</v>
      </c>
      <c r="AU216">
        <v>0</v>
      </c>
      <c r="AV216">
        <v>2E-3</v>
      </c>
      <c r="AW216">
        <v>2E-3</v>
      </c>
      <c r="AX216">
        <v>7.0000000000000001E-3</v>
      </c>
      <c r="AY216">
        <v>0</v>
      </c>
      <c r="AZ216">
        <v>0</v>
      </c>
    </row>
    <row r="217" spans="1:52">
      <c r="A217">
        <v>216</v>
      </c>
      <c r="B217" t="s">
        <v>27</v>
      </c>
      <c r="C217" t="s">
        <v>27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76</v>
      </c>
      <c r="C218" t="s">
        <v>76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1E-3</v>
      </c>
      <c r="L218">
        <v>0</v>
      </c>
      <c r="M218">
        <v>0</v>
      </c>
      <c r="N218">
        <v>0.99399999999999999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5.0000000000000001E-3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222</v>
      </c>
      <c r="C219" t="s">
        <v>222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1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34</v>
      </c>
      <c r="C220" t="s">
        <v>34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1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197</v>
      </c>
      <c r="C221" t="s">
        <v>197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1E-3</v>
      </c>
      <c r="AQ221">
        <v>6.8000000000000005E-2</v>
      </c>
      <c r="AR221">
        <v>0.93</v>
      </c>
      <c r="AS221">
        <v>0</v>
      </c>
      <c r="AT221">
        <v>0</v>
      </c>
      <c r="AU221">
        <v>0</v>
      </c>
      <c r="AV221">
        <v>1E-3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189</v>
      </c>
      <c r="C222" t="s">
        <v>189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1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129</v>
      </c>
      <c r="C223" t="s">
        <v>129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1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27</v>
      </c>
      <c r="C224" t="s">
        <v>27</v>
      </c>
      <c r="D224">
        <v>0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29</v>
      </c>
      <c r="C225" t="s">
        <v>29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7.0000000000000001E-3</v>
      </c>
      <c r="Y225">
        <v>0.22</v>
      </c>
      <c r="Z225">
        <v>0.76900000000000002</v>
      </c>
      <c r="AA225">
        <v>4.0000000000000001E-3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145</v>
      </c>
      <c r="C226" t="s">
        <v>145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0.90400000000000003</v>
      </c>
      <c r="AT226">
        <v>0</v>
      </c>
      <c r="AU226">
        <v>9.6000000000000002E-2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51</v>
      </c>
      <c r="C227" t="s">
        <v>51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1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129</v>
      </c>
      <c r="C228" t="s">
        <v>129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1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129</v>
      </c>
      <c r="C229" t="s">
        <v>129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1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55</v>
      </c>
      <c r="C230" t="s">
        <v>55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1E-3</v>
      </c>
      <c r="AK230">
        <v>0</v>
      </c>
      <c r="AL230">
        <v>0</v>
      </c>
      <c r="AM230">
        <v>0</v>
      </c>
      <c r="AN230">
        <v>1E-3</v>
      </c>
      <c r="AO230">
        <v>0</v>
      </c>
      <c r="AP230">
        <v>0</v>
      </c>
      <c r="AQ230">
        <v>0</v>
      </c>
      <c r="AR230">
        <v>0</v>
      </c>
      <c r="AS230">
        <v>1E-3</v>
      </c>
      <c r="AT230">
        <v>0.97499999999999998</v>
      </c>
      <c r="AU230">
        <v>2.1999999999999999E-2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224</v>
      </c>
      <c r="C231" t="s">
        <v>224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0.247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0.753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312</v>
      </c>
      <c r="C232" t="s">
        <v>312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2.4E-2</v>
      </c>
      <c r="V232">
        <v>0.68600000000000005</v>
      </c>
      <c r="W232">
        <v>0.27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0.02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27</v>
      </c>
      <c r="C233" t="s">
        <v>27</v>
      </c>
      <c r="D233">
        <v>0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110</v>
      </c>
      <c r="C234" t="s">
        <v>110</v>
      </c>
      <c r="D234">
        <v>0.73299999999999998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0.19800000000000001</v>
      </c>
      <c r="P234">
        <v>6.9000000000000006E-2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65</v>
      </c>
      <c r="C235" t="s">
        <v>65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0.67800000000000005</v>
      </c>
      <c r="Z235">
        <v>0.32200000000000001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117</v>
      </c>
      <c r="C236" t="s">
        <v>117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1.0999999999999999E-2</v>
      </c>
      <c r="J236">
        <v>0</v>
      </c>
      <c r="K236">
        <v>0</v>
      </c>
      <c r="L236">
        <v>1E-3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5.0000000000000001E-3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6.0000000000000001E-3</v>
      </c>
      <c r="AF236">
        <v>1E-3</v>
      </c>
      <c r="AG236">
        <v>2E-3</v>
      </c>
      <c r="AH236">
        <v>0</v>
      </c>
      <c r="AI236">
        <v>0.96299999999999997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1E-3</v>
      </c>
      <c r="AR236">
        <v>0.01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129</v>
      </c>
      <c r="C237" t="s">
        <v>129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1E-3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0.998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1E-3</v>
      </c>
      <c r="AY237">
        <v>0</v>
      </c>
      <c r="AZ237">
        <v>0</v>
      </c>
    </row>
    <row r="238" spans="1:52">
      <c r="A238">
        <v>237</v>
      </c>
      <c r="B238" t="s">
        <v>253</v>
      </c>
      <c r="C238" t="s">
        <v>253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4.0000000000000001E-3</v>
      </c>
      <c r="AT238">
        <v>4.0000000000000001E-3</v>
      </c>
      <c r="AU238">
        <v>0.99199999999999999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27</v>
      </c>
      <c r="C239" t="s">
        <v>27</v>
      </c>
      <c r="D239">
        <v>0</v>
      </c>
      <c r="E239">
        <v>0</v>
      </c>
      <c r="F239">
        <v>0</v>
      </c>
      <c r="G239">
        <v>0.998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2E-3</v>
      </c>
      <c r="AZ239">
        <v>0</v>
      </c>
    </row>
    <row r="240" spans="1:52">
      <c r="A240">
        <v>239</v>
      </c>
      <c r="B240" t="s">
        <v>27</v>
      </c>
      <c r="C240" t="s">
        <v>27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34</v>
      </c>
      <c r="C241" t="s">
        <v>34</v>
      </c>
      <c r="D241">
        <v>8.6999999999999994E-2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0.90400000000000003</v>
      </c>
      <c r="P241">
        <v>8.9999999999999993E-3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251</v>
      </c>
      <c r="C242" t="s">
        <v>251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1E-3</v>
      </c>
      <c r="AF242">
        <v>0.152</v>
      </c>
      <c r="AG242">
        <v>3.5999999999999997E-2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0.81100000000000005</v>
      </c>
    </row>
    <row r="243" spans="1:52">
      <c r="A243">
        <v>242</v>
      </c>
      <c r="B243" t="s">
        <v>320</v>
      </c>
      <c r="C243" t="s">
        <v>320</v>
      </c>
      <c r="D243">
        <v>0</v>
      </c>
      <c r="E243">
        <v>0</v>
      </c>
      <c r="F243">
        <v>0</v>
      </c>
      <c r="G243">
        <v>0</v>
      </c>
      <c r="H243">
        <v>0.79900000000000004</v>
      </c>
      <c r="I243">
        <v>0</v>
      </c>
      <c r="J243">
        <v>6.8000000000000005E-2</v>
      </c>
      <c r="K243">
        <v>2.3E-2</v>
      </c>
      <c r="L243">
        <v>0</v>
      </c>
      <c r="M243">
        <v>0</v>
      </c>
      <c r="N243">
        <v>6.5000000000000002E-2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4.4999999999999998E-2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76</v>
      </c>
      <c r="C244" t="s">
        <v>76</v>
      </c>
      <c r="D244">
        <v>0</v>
      </c>
      <c r="E244">
        <v>0</v>
      </c>
      <c r="F244">
        <v>0</v>
      </c>
      <c r="G244">
        <v>0</v>
      </c>
      <c r="H244">
        <v>8.9999999999999993E-3</v>
      </c>
      <c r="I244">
        <v>0</v>
      </c>
      <c r="J244">
        <v>3.2000000000000001E-2</v>
      </c>
      <c r="K244">
        <v>0.03</v>
      </c>
      <c r="L244">
        <v>0</v>
      </c>
      <c r="M244">
        <v>0</v>
      </c>
      <c r="N244">
        <v>0.92900000000000005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34</v>
      </c>
      <c r="C245" t="s">
        <v>34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1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29</v>
      </c>
      <c r="C246" t="s">
        <v>29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0.05</v>
      </c>
      <c r="Y246">
        <v>0.21</v>
      </c>
      <c r="Z246">
        <v>0.73599999999999999</v>
      </c>
      <c r="AA246">
        <v>4.0000000000000001E-3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29</v>
      </c>
      <c r="C247" t="s">
        <v>29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2E-3</v>
      </c>
      <c r="Y247">
        <v>2.1999999999999999E-2</v>
      </c>
      <c r="Z247">
        <v>0.97599999999999998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27</v>
      </c>
      <c r="C248" t="s">
        <v>27</v>
      </c>
      <c r="D248">
        <v>0</v>
      </c>
      <c r="E248">
        <v>0</v>
      </c>
      <c r="F248">
        <v>0</v>
      </c>
      <c r="G248">
        <v>0.999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1E-3</v>
      </c>
      <c r="AZ248">
        <v>0</v>
      </c>
    </row>
    <row r="249" spans="1:52">
      <c r="A249">
        <v>248</v>
      </c>
      <c r="B249" t="s">
        <v>27</v>
      </c>
      <c r="C249" t="s">
        <v>27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271</v>
      </c>
      <c r="C250" t="s">
        <v>271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1E-3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0.995</v>
      </c>
      <c r="AF250">
        <v>1E-3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1E-3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1E-3</v>
      </c>
      <c r="AX250">
        <v>1E-3</v>
      </c>
      <c r="AY250">
        <v>0</v>
      </c>
      <c r="AZ250">
        <v>0</v>
      </c>
    </row>
    <row r="251" spans="1:52">
      <c r="A251">
        <v>250</v>
      </c>
      <c r="B251" t="s">
        <v>68</v>
      </c>
      <c r="C251" t="s">
        <v>68</v>
      </c>
      <c r="D251">
        <v>0</v>
      </c>
      <c r="E251">
        <v>1E-3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0.997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2E-3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97</v>
      </c>
      <c r="C252" t="s">
        <v>97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27</v>
      </c>
      <c r="C253" t="s">
        <v>27</v>
      </c>
      <c r="D253">
        <v>0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27</v>
      </c>
      <c r="C254" t="s">
        <v>27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34</v>
      </c>
      <c r="C255" t="s">
        <v>34</v>
      </c>
      <c r="D255">
        <v>2.1999999999999999E-2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0.97699999999999998</v>
      </c>
      <c r="P255">
        <v>1E-3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271</v>
      </c>
      <c r="C256" t="s">
        <v>271</v>
      </c>
      <c r="D256">
        <v>0</v>
      </c>
      <c r="E256">
        <v>0</v>
      </c>
      <c r="F256">
        <v>0</v>
      </c>
      <c r="G256">
        <v>2E-3</v>
      </c>
      <c r="H256">
        <v>0</v>
      </c>
      <c r="I256">
        <v>1E-3</v>
      </c>
      <c r="J256">
        <v>0</v>
      </c>
      <c r="K256">
        <v>0</v>
      </c>
      <c r="L256">
        <v>1.4E-2</v>
      </c>
      <c r="M256">
        <v>2.5000000000000001E-2</v>
      </c>
      <c r="N256">
        <v>1E-3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2.1999999999999999E-2</v>
      </c>
      <c r="V256">
        <v>3.0000000000000001E-3</v>
      </c>
      <c r="W256">
        <v>6.0000000000000001E-3</v>
      </c>
      <c r="X256">
        <v>1E-3</v>
      </c>
      <c r="Y256">
        <v>4.0000000000000001E-3</v>
      </c>
      <c r="Z256">
        <v>1.4E-2</v>
      </c>
      <c r="AA256">
        <v>0</v>
      </c>
      <c r="AB256">
        <v>5.0000000000000001E-3</v>
      </c>
      <c r="AC256">
        <v>0</v>
      </c>
      <c r="AD256">
        <v>0</v>
      </c>
      <c r="AE256">
        <v>0.88200000000000001</v>
      </c>
      <c r="AF256">
        <v>0</v>
      </c>
      <c r="AG256">
        <v>0</v>
      </c>
      <c r="AH256">
        <v>0</v>
      </c>
      <c r="AI256">
        <v>1E-3</v>
      </c>
      <c r="AJ256">
        <v>0</v>
      </c>
      <c r="AK256">
        <v>3.0000000000000001E-3</v>
      </c>
      <c r="AL256">
        <v>1E-3</v>
      </c>
      <c r="AM256">
        <v>0</v>
      </c>
      <c r="AN256">
        <v>0</v>
      </c>
      <c r="AO256">
        <v>2E-3</v>
      </c>
      <c r="AP256">
        <v>0</v>
      </c>
      <c r="AQ256">
        <v>1E-3</v>
      </c>
      <c r="AR256">
        <v>1E-3</v>
      </c>
      <c r="AS256">
        <v>0</v>
      </c>
      <c r="AT256">
        <v>0</v>
      </c>
      <c r="AU256">
        <v>2E-3</v>
      </c>
      <c r="AV256">
        <v>1E-3</v>
      </c>
      <c r="AW256">
        <v>3.0000000000000001E-3</v>
      </c>
      <c r="AX256">
        <v>5.0000000000000001E-3</v>
      </c>
      <c r="AY256">
        <v>0</v>
      </c>
      <c r="AZ256">
        <v>0</v>
      </c>
    </row>
    <row r="257" spans="1:52">
      <c r="A257">
        <v>256</v>
      </c>
      <c r="B257" t="s">
        <v>27</v>
      </c>
      <c r="C257" t="s">
        <v>27</v>
      </c>
      <c r="D257">
        <v>0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34</v>
      </c>
      <c r="C258" t="s">
        <v>34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68</v>
      </c>
      <c r="C259" t="s">
        <v>68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0.99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0.01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27</v>
      </c>
      <c r="C260" t="s">
        <v>27</v>
      </c>
      <c r="D260">
        <v>0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271</v>
      </c>
      <c r="C261" t="s">
        <v>271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2E-3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1E-3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1E-3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0.98599999999999999</v>
      </c>
      <c r="AF261">
        <v>7.0000000000000001E-3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3.0000000000000001E-3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68</v>
      </c>
      <c r="C262" t="s">
        <v>68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0.70699999999999996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0.29299999999999998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338</v>
      </c>
      <c r="C263" t="s">
        <v>338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0.38400000000000001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0.61599999999999999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27</v>
      </c>
      <c r="C264" t="s">
        <v>27</v>
      </c>
      <c r="D264">
        <v>0</v>
      </c>
      <c r="E264">
        <v>0</v>
      </c>
      <c r="F264">
        <v>0</v>
      </c>
      <c r="G264">
        <v>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34</v>
      </c>
      <c r="C265" t="s">
        <v>34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1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342</v>
      </c>
      <c r="C266" t="s">
        <v>342</v>
      </c>
      <c r="D266">
        <v>0</v>
      </c>
      <c r="E266">
        <v>0</v>
      </c>
      <c r="F266">
        <v>0</v>
      </c>
      <c r="G266">
        <v>0.17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0.83</v>
      </c>
      <c r="AZ266">
        <v>0</v>
      </c>
    </row>
    <row r="267" spans="1:52">
      <c r="A267">
        <v>266</v>
      </c>
      <c r="B267" t="s">
        <v>189</v>
      </c>
      <c r="C267" t="s">
        <v>189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1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134</v>
      </c>
      <c r="C268" t="s">
        <v>134</v>
      </c>
      <c r="D268">
        <v>0</v>
      </c>
      <c r="E268">
        <v>0</v>
      </c>
      <c r="F268">
        <v>0</v>
      </c>
      <c r="G268">
        <v>0</v>
      </c>
      <c r="H268">
        <v>0.34799999999999998</v>
      </c>
      <c r="I268">
        <v>0</v>
      </c>
      <c r="J268">
        <v>2.5000000000000001E-2</v>
      </c>
      <c r="K268">
        <v>8.6999999999999994E-2</v>
      </c>
      <c r="L268">
        <v>0</v>
      </c>
      <c r="M268">
        <v>0</v>
      </c>
      <c r="N268">
        <v>0.1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0.44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263</v>
      </c>
      <c r="C269" t="s">
        <v>263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0.91700000000000004</v>
      </c>
      <c r="AR269">
        <v>8.2000000000000003E-2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1E-3</v>
      </c>
    </row>
    <row r="270" spans="1:52">
      <c r="A270">
        <v>269</v>
      </c>
      <c r="B270" t="s">
        <v>65</v>
      </c>
      <c r="C270" t="s">
        <v>65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0.93799999999999994</v>
      </c>
      <c r="Z270">
        <v>4.9000000000000002E-2</v>
      </c>
      <c r="AA270">
        <v>1.2999999999999999E-2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113</v>
      </c>
      <c r="C271" t="s">
        <v>113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0.18</v>
      </c>
      <c r="AN271">
        <v>0</v>
      </c>
      <c r="AO271">
        <v>0.82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37</v>
      </c>
      <c r="C272" t="s">
        <v>37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0.995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5.0000000000000001E-3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27</v>
      </c>
      <c r="C273" t="s">
        <v>27</v>
      </c>
      <c r="D273">
        <v>0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117</v>
      </c>
      <c r="C274" t="s">
        <v>117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1E-3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0.999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171</v>
      </c>
      <c r="C275" t="s">
        <v>171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0.99399999999999999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6.0000000000000001E-3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253</v>
      </c>
      <c r="C276" t="s">
        <v>253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1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29</v>
      </c>
      <c r="C277" t="s">
        <v>29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6.0000000000000001E-3</v>
      </c>
      <c r="Y277">
        <v>3.0000000000000001E-3</v>
      </c>
      <c r="Z277">
        <v>0.92400000000000004</v>
      </c>
      <c r="AA277">
        <v>6.7000000000000004E-2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34</v>
      </c>
      <c r="C278" t="s">
        <v>34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1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62</v>
      </c>
      <c r="C279" t="s">
        <v>62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27</v>
      </c>
      <c r="C280" t="s">
        <v>27</v>
      </c>
      <c r="D280">
        <v>0</v>
      </c>
      <c r="E280">
        <v>0</v>
      </c>
      <c r="F280">
        <v>0</v>
      </c>
      <c r="G280">
        <v>0.997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3.0000000000000001E-3</v>
      </c>
      <c r="AZ280">
        <v>0</v>
      </c>
    </row>
    <row r="281" spans="1:52">
      <c r="A281">
        <v>280</v>
      </c>
      <c r="B281" t="s">
        <v>51</v>
      </c>
      <c r="C281" t="s">
        <v>51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0.185</v>
      </c>
      <c r="V281">
        <v>0</v>
      </c>
      <c r="W281">
        <v>0.81499999999999995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222</v>
      </c>
      <c r="C282" t="s">
        <v>222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1E-3</v>
      </c>
      <c r="M282">
        <v>1E-3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4.0000000000000001E-3</v>
      </c>
      <c r="Y282">
        <v>0</v>
      </c>
      <c r="Z282">
        <v>2E-3</v>
      </c>
      <c r="AA282">
        <v>0</v>
      </c>
      <c r="AB282">
        <v>1E-3</v>
      </c>
      <c r="AC282">
        <v>0</v>
      </c>
      <c r="AD282">
        <v>0</v>
      </c>
      <c r="AE282">
        <v>1E-3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1E-3</v>
      </c>
      <c r="AR282">
        <v>0</v>
      </c>
      <c r="AS282">
        <v>0</v>
      </c>
      <c r="AT282">
        <v>0</v>
      </c>
      <c r="AU282">
        <v>0</v>
      </c>
      <c r="AV282">
        <v>0.98899999999999999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27</v>
      </c>
      <c r="C283" t="s">
        <v>27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253</v>
      </c>
      <c r="C284" t="s">
        <v>253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0.245</v>
      </c>
      <c r="AT284">
        <v>0</v>
      </c>
      <c r="AU284">
        <v>0.755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27</v>
      </c>
      <c r="C285" t="s">
        <v>27</v>
      </c>
      <c r="D285">
        <v>0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197</v>
      </c>
      <c r="C286" t="s">
        <v>197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1E-3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1E-3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0.23</v>
      </c>
      <c r="AR286">
        <v>0.76700000000000002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1E-3</v>
      </c>
      <c r="AY286">
        <v>0</v>
      </c>
      <c r="AZ286">
        <v>0</v>
      </c>
    </row>
    <row r="287" spans="1:52">
      <c r="A287">
        <v>286</v>
      </c>
      <c r="B287" t="s">
        <v>27</v>
      </c>
      <c r="C287" t="s">
        <v>27</v>
      </c>
      <c r="D287">
        <v>0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27</v>
      </c>
      <c r="C288" t="s">
        <v>27</v>
      </c>
      <c r="D288">
        <v>0</v>
      </c>
      <c r="E288">
        <v>0</v>
      </c>
      <c r="F288">
        <v>0</v>
      </c>
      <c r="G288">
        <v>0.996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4.0000000000000001E-3</v>
      </c>
      <c r="AZ288">
        <v>0</v>
      </c>
    </row>
    <row r="289" spans="1:52">
      <c r="A289">
        <v>288</v>
      </c>
      <c r="B289" t="s">
        <v>167</v>
      </c>
      <c r="C289" t="s">
        <v>167</v>
      </c>
      <c r="D289">
        <v>0</v>
      </c>
      <c r="E289">
        <v>0</v>
      </c>
      <c r="F289">
        <v>0.99199999999999999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8.0000000000000002E-3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81</v>
      </c>
      <c r="C290" t="s">
        <v>81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0.71499999999999997</v>
      </c>
      <c r="AN290">
        <v>0</v>
      </c>
      <c r="AO290">
        <v>0.28499999999999998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51</v>
      </c>
      <c r="C291" t="s">
        <v>51</v>
      </c>
      <c r="D291">
        <v>0</v>
      </c>
      <c r="E291">
        <v>0</v>
      </c>
      <c r="F291">
        <v>0</v>
      </c>
      <c r="G291">
        <v>0</v>
      </c>
      <c r="H291">
        <v>2E-3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2E-3</v>
      </c>
      <c r="U291">
        <v>0</v>
      </c>
      <c r="V291">
        <v>0</v>
      </c>
      <c r="W291">
        <v>0.99099999999999999</v>
      </c>
      <c r="X291">
        <v>0</v>
      </c>
      <c r="Y291">
        <v>0</v>
      </c>
      <c r="Z291">
        <v>1E-3</v>
      </c>
      <c r="AA291">
        <v>0</v>
      </c>
      <c r="AB291">
        <v>1E-3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1E-3</v>
      </c>
      <c r="AL291">
        <v>0</v>
      </c>
      <c r="AM291">
        <v>0</v>
      </c>
      <c r="AN291">
        <v>0</v>
      </c>
      <c r="AO291">
        <v>2E-3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68</v>
      </c>
      <c r="C292" t="s">
        <v>68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0.74399999999999999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0.25600000000000001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76</v>
      </c>
      <c r="C293" t="s">
        <v>76</v>
      </c>
      <c r="D293">
        <v>0</v>
      </c>
      <c r="E293">
        <v>0</v>
      </c>
      <c r="F293">
        <v>0</v>
      </c>
      <c r="G293">
        <v>0</v>
      </c>
      <c r="H293">
        <v>1E-3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0.998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1E-3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167</v>
      </c>
      <c r="C294" t="s">
        <v>167</v>
      </c>
      <c r="D294">
        <v>0</v>
      </c>
      <c r="E294">
        <v>0</v>
      </c>
      <c r="F294">
        <v>0.92500000000000004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7.4999999999999997E-2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76</v>
      </c>
      <c r="C295" t="s">
        <v>76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1E-3</v>
      </c>
      <c r="L295">
        <v>0</v>
      </c>
      <c r="M295">
        <v>0</v>
      </c>
      <c r="N295">
        <v>0.95599999999999996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4.2999999999999997E-2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29</v>
      </c>
      <c r="C296" t="s">
        <v>29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0.35299999999999998</v>
      </c>
      <c r="Z296">
        <v>0.64700000000000002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34</v>
      </c>
      <c r="C297" t="s">
        <v>34</v>
      </c>
      <c r="D297">
        <v>7.2999999999999995E-2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0.92600000000000005</v>
      </c>
      <c r="P297">
        <v>1E-3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27</v>
      </c>
      <c r="C298" t="s">
        <v>27</v>
      </c>
      <c r="D298">
        <v>0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68</v>
      </c>
      <c r="C299" t="s">
        <v>68</v>
      </c>
      <c r="D299">
        <v>0</v>
      </c>
      <c r="E299">
        <v>1E-3</v>
      </c>
      <c r="F299">
        <v>0</v>
      </c>
      <c r="G299">
        <v>0</v>
      </c>
      <c r="H299">
        <v>3.0000000000000001E-3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0.86799999999999999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0.128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253</v>
      </c>
      <c r="C300" t="s">
        <v>253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0.17100000000000001</v>
      </c>
      <c r="AT300">
        <v>0</v>
      </c>
      <c r="AU300">
        <v>0.82899999999999996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76</v>
      </c>
      <c r="C301" t="s">
        <v>76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1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27</v>
      </c>
      <c r="C302" t="s">
        <v>27</v>
      </c>
      <c r="D302">
        <v>0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27</v>
      </c>
      <c r="C303" t="s">
        <v>27</v>
      </c>
      <c r="D303">
        <v>0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29</v>
      </c>
      <c r="C304" t="s">
        <v>29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2.3E-2</v>
      </c>
      <c r="Y304">
        <v>7.0000000000000001E-3</v>
      </c>
      <c r="Z304">
        <v>0.97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108</v>
      </c>
      <c r="C305" t="s">
        <v>108</v>
      </c>
      <c r="D305">
        <v>0</v>
      </c>
      <c r="E305">
        <v>2E-3</v>
      </c>
      <c r="F305">
        <v>0</v>
      </c>
      <c r="G305">
        <v>0</v>
      </c>
      <c r="H305">
        <v>8.0000000000000002E-3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1.4E-2</v>
      </c>
      <c r="R305">
        <v>0</v>
      </c>
      <c r="S305">
        <v>0</v>
      </c>
      <c r="T305">
        <v>0</v>
      </c>
      <c r="U305">
        <v>0</v>
      </c>
      <c r="V305">
        <v>0.01</v>
      </c>
      <c r="W305">
        <v>0</v>
      </c>
      <c r="X305">
        <v>0</v>
      </c>
      <c r="Y305">
        <v>0</v>
      </c>
      <c r="Z305">
        <v>3.0000000000000001E-3</v>
      </c>
      <c r="AA305">
        <v>1E-3</v>
      </c>
      <c r="AB305">
        <v>3.0000000000000001E-3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3.0000000000000001E-3</v>
      </c>
      <c r="AL305">
        <v>0</v>
      </c>
      <c r="AM305">
        <v>0</v>
      </c>
      <c r="AN305">
        <v>1E-3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1E-3</v>
      </c>
      <c r="AU305">
        <v>0</v>
      </c>
      <c r="AV305">
        <v>0</v>
      </c>
      <c r="AW305">
        <v>0.95399999999999996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27</v>
      </c>
      <c r="C306" t="s">
        <v>27</v>
      </c>
      <c r="D306">
        <v>0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22</v>
      </c>
      <c r="C307" t="s">
        <v>22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6.0999999999999999E-2</v>
      </c>
      <c r="Z307">
        <v>0.05</v>
      </c>
      <c r="AA307">
        <v>0.88900000000000001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97</v>
      </c>
      <c r="C308" t="s">
        <v>97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1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55</v>
      </c>
      <c r="C309" t="s">
        <v>55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1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29</v>
      </c>
      <c r="C310" t="s">
        <v>29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2.1000000000000001E-2</v>
      </c>
      <c r="Y310">
        <v>1.7000000000000001E-2</v>
      </c>
      <c r="Z310">
        <v>0.96199999999999997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120</v>
      </c>
      <c r="C311" t="s">
        <v>120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0.997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1E-3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1E-3</v>
      </c>
      <c r="AY311">
        <v>0</v>
      </c>
      <c r="AZ311">
        <v>1E-3</v>
      </c>
    </row>
    <row r="312" spans="1:52">
      <c r="A312">
        <v>311</v>
      </c>
      <c r="B312" t="s">
        <v>34</v>
      </c>
      <c r="C312" t="s">
        <v>34</v>
      </c>
      <c r="D312">
        <v>1.0999999999999999E-2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0.95899999999999996</v>
      </c>
      <c r="P312">
        <v>0.03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34</v>
      </c>
      <c r="C313" t="s">
        <v>34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1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27</v>
      </c>
      <c r="C314" t="s">
        <v>27</v>
      </c>
      <c r="D314">
        <v>0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65</v>
      </c>
      <c r="C315" t="s">
        <v>65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1E-3</v>
      </c>
      <c r="W315">
        <v>0</v>
      </c>
      <c r="X315">
        <v>0</v>
      </c>
      <c r="Y315">
        <v>0.86799999999999999</v>
      </c>
      <c r="Z315">
        <v>0.13100000000000001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68</v>
      </c>
      <c r="C316" t="s">
        <v>68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1E-3</v>
      </c>
      <c r="M316">
        <v>1E-3</v>
      </c>
      <c r="N316">
        <v>0</v>
      </c>
      <c r="O316">
        <v>0</v>
      </c>
      <c r="P316">
        <v>0</v>
      </c>
      <c r="Q316">
        <v>1.4E-2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1E-3</v>
      </c>
      <c r="Z316">
        <v>0</v>
      </c>
      <c r="AA316">
        <v>0</v>
      </c>
      <c r="AB316">
        <v>0.91900000000000004</v>
      </c>
      <c r="AC316">
        <v>0</v>
      </c>
      <c r="AD316">
        <v>0</v>
      </c>
      <c r="AE316">
        <v>1E-3</v>
      </c>
      <c r="AF316">
        <v>1E-3</v>
      </c>
      <c r="AG316">
        <v>0</v>
      </c>
      <c r="AH316">
        <v>0</v>
      </c>
      <c r="AI316">
        <v>0</v>
      </c>
      <c r="AJ316">
        <v>0</v>
      </c>
      <c r="AK316">
        <v>6.2E-2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22</v>
      </c>
      <c r="C317" t="s">
        <v>22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3.5999999999999997E-2</v>
      </c>
      <c r="Z317">
        <v>0.14000000000000001</v>
      </c>
      <c r="AA317">
        <v>0.82399999999999995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22</v>
      </c>
      <c r="C318" t="s">
        <v>22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0.05</v>
      </c>
      <c r="Z318">
        <v>4.0000000000000001E-3</v>
      </c>
      <c r="AA318">
        <v>0.94599999999999995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46</v>
      </c>
      <c r="C319" t="s">
        <v>46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0.996</v>
      </c>
      <c r="V319">
        <v>1E-3</v>
      </c>
      <c r="W319">
        <v>3.0000000000000001E-3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65</v>
      </c>
      <c r="C320" t="s">
        <v>65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0.88200000000000001</v>
      </c>
      <c r="Z320">
        <v>0</v>
      </c>
      <c r="AA320">
        <v>0.11799999999999999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37</v>
      </c>
      <c r="C321" t="s">
        <v>37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0.97099999999999997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2.9000000000000001E-2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34</v>
      </c>
      <c r="C322" t="s">
        <v>34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0.55600000000000005</v>
      </c>
      <c r="P322">
        <v>0.44400000000000001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145</v>
      </c>
      <c r="C323" t="s">
        <v>145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0.84199999999999997</v>
      </c>
      <c r="AT323">
        <v>0</v>
      </c>
      <c r="AU323">
        <v>0.158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312</v>
      </c>
      <c r="C324" t="s">
        <v>312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5.0000000000000001E-3</v>
      </c>
      <c r="R324">
        <v>0</v>
      </c>
      <c r="S324">
        <v>0</v>
      </c>
      <c r="T324">
        <v>0</v>
      </c>
      <c r="U324">
        <v>8.0000000000000002E-3</v>
      </c>
      <c r="V324">
        <v>0.96399999999999997</v>
      </c>
      <c r="W324">
        <v>1.9E-2</v>
      </c>
      <c r="X324">
        <v>0</v>
      </c>
      <c r="Y324">
        <v>1E-3</v>
      </c>
      <c r="Z324">
        <v>1E-3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2E-3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22</v>
      </c>
      <c r="C325" t="s">
        <v>22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1.2E-2</v>
      </c>
      <c r="Z325">
        <v>2.1999999999999999E-2</v>
      </c>
      <c r="AA325">
        <v>0.96599999999999997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34</v>
      </c>
      <c r="C326" t="s">
        <v>34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22</v>
      </c>
      <c r="C327" t="s">
        <v>22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1.2999999999999999E-2</v>
      </c>
      <c r="Z327">
        <v>1.4E-2</v>
      </c>
      <c r="AA327">
        <v>0.97299999999999998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129</v>
      </c>
      <c r="C328" t="s">
        <v>129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1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51</v>
      </c>
      <c r="C329" t="s">
        <v>51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4.0000000000000001E-3</v>
      </c>
      <c r="V329">
        <v>0</v>
      </c>
      <c r="W329">
        <v>0.996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206</v>
      </c>
      <c r="C330" t="s">
        <v>206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1E-3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0.99</v>
      </c>
      <c r="AO330">
        <v>8.9999999999999993E-3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62</v>
      </c>
      <c r="C331" t="s">
        <v>62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34</v>
      </c>
      <c r="C332" t="s">
        <v>34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89</v>
      </c>
      <c r="C333" t="s">
        <v>89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0.74</v>
      </c>
      <c r="Y333">
        <v>7.6999999999999999E-2</v>
      </c>
      <c r="Z333">
        <v>0.17899999999999999</v>
      </c>
      <c r="AA333">
        <v>4.0000000000000001E-3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37</v>
      </c>
      <c r="C334" t="s">
        <v>37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0.998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2E-3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89</v>
      </c>
      <c r="C335" t="s">
        <v>89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0.88400000000000001</v>
      </c>
      <c r="Y335">
        <v>0</v>
      </c>
      <c r="Z335">
        <v>0.115</v>
      </c>
      <c r="AA335">
        <v>1E-3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27</v>
      </c>
      <c r="C336" t="s">
        <v>27</v>
      </c>
      <c r="D336">
        <v>0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159</v>
      </c>
      <c r="C337" t="s">
        <v>159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6.0000000000000001E-3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1E-3</v>
      </c>
      <c r="AF337">
        <v>0.81200000000000006</v>
      </c>
      <c r="AG337">
        <v>5.6000000000000001E-2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7.0000000000000001E-3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0.11799999999999999</v>
      </c>
    </row>
    <row r="338" spans="1:52">
      <c r="A338">
        <v>337</v>
      </c>
      <c r="B338" t="s">
        <v>34</v>
      </c>
      <c r="C338" t="s">
        <v>34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1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51</v>
      </c>
      <c r="C339" t="s">
        <v>51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0.17100000000000001</v>
      </c>
      <c r="V339">
        <v>0</v>
      </c>
      <c r="W339">
        <v>0.82899999999999996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37</v>
      </c>
      <c r="C340" t="s">
        <v>37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0.98499999999999999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1.4999999999999999E-2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65</v>
      </c>
      <c r="C341" t="s">
        <v>65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1E-3</v>
      </c>
      <c r="Y341">
        <v>0.78700000000000003</v>
      </c>
      <c r="Z341">
        <v>0.16</v>
      </c>
      <c r="AA341">
        <v>5.1999999999999998E-2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62</v>
      </c>
      <c r="C342" t="s">
        <v>62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27</v>
      </c>
      <c r="C343" t="s">
        <v>27</v>
      </c>
      <c r="D343">
        <v>0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27</v>
      </c>
      <c r="C344" t="s">
        <v>27</v>
      </c>
      <c r="D344">
        <v>0</v>
      </c>
      <c r="E344">
        <v>0</v>
      </c>
      <c r="F344">
        <v>0</v>
      </c>
      <c r="G344">
        <v>0.83399999999999996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0.16600000000000001</v>
      </c>
      <c r="AZ344">
        <v>0</v>
      </c>
    </row>
    <row r="345" spans="1:52">
      <c r="A345">
        <v>344</v>
      </c>
      <c r="B345" t="s">
        <v>34</v>
      </c>
      <c r="C345" t="s">
        <v>34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1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167</v>
      </c>
      <c r="C346" t="s">
        <v>167</v>
      </c>
      <c r="D346">
        <v>0</v>
      </c>
      <c r="E346">
        <v>0</v>
      </c>
      <c r="F346">
        <v>0.89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0.11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68</v>
      </c>
      <c r="C347" t="s">
        <v>68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0.95799999999999996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4.2000000000000003E-2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123</v>
      </c>
      <c r="C348" t="s">
        <v>123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1E-3</v>
      </c>
      <c r="K348">
        <v>0.879</v>
      </c>
      <c r="L348">
        <v>0</v>
      </c>
      <c r="M348">
        <v>0</v>
      </c>
      <c r="N348">
        <v>6.0000000000000001E-3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0.114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34</v>
      </c>
      <c r="C349" t="s">
        <v>34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1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27</v>
      </c>
      <c r="C350" t="s">
        <v>27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29</v>
      </c>
      <c r="C351" t="s">
        <v>29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0.40500000000000003</v>
      </c>
      <c r="Z351">
        <v>0.59499999999999997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86</v>
      </c>
      <c r="C352" t="s">
        <v>86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8.0000000000000002E-3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0.97899999999999998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1.2999999999999999E-2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224</v>
      </c>
      <c r="C353" t="s">
        <v>224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0.22900000000000001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0.77100000000000002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171</v>
      </c>
      <c r="C354" t="s">
        <v>171</v>
      </c>
      <c r="D354">
        <v>0</v>
      </c>
      <c r="E354">
        <v>0</v>
      </c>
      <c r="F354">
        <v>0</v>
      </c>
      <c r="G354">
        <v>2E-3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0.90800000000000003</v>
      </c>
      <c r="N354">
        <v>0</v>
      </c>
      <c r="O354">
        <v>0</v>
      </c>
      <c r="P354">
        <v>0</v>
      </c>
      <c r="Q354">
        <v>0.01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4.0000000000000001E-3</v>
      </c>
      <c r="X354">
        <v>0</v>
      </c>
      <c r="Y354">
        <v>0</v>
      </c>
      <c r="Z354">
        <v>2E-3</v>
      </c>
      <c r="AA354">
        <v>0</v>
      </c>
      <c r="AB354">
        <v>1E-3</v>
      </c>
      <c r="AC354">
        <v>0</v>
      </c>
      <c r="AD354">
        <v>1E-3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3.0000000000000001E-3</v>
      </c>
      <c r="AK354">
        <v>6.0000000000000001E-3</v>
      </c>
      <c r="AL354">
        <v>4.3999999999999997E-2</v>
      </c>
      <c r="AM354">
        <v>0</v>
      </c>
      <c r="AN354">
        <v>3.0000000000000001E-3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1.4999999999999999E-2</v>
      </c>
      <c r="AU354">
        <v>1E-3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27</v>
      </c>
      <c r="C355" t="s">
        <v>27</v>
      </c>
      <c r="D355">
        <v>0</v>
      </c>
      <c r="E355">
        <v>0</v>
      </c>
      <c r="F355">
        <v>0</v>
      </c>
      <c r="G355">
        <v>0.997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3.0000000000000001E-3</v>
      </c>
      <c r="AZ355">
        <v>0</v>
      </c>
    </row>
  </sheetData>
  <pageMargins left="0.7" right="0.7" top="0.75" bottom="0.75" header="0.3" footer="0.3"/>
</worksheet>
</file>