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1_{2FBF73D6-61C5-6445-9411-1AC1F82514AE}" xr6:coauthVersionLast="45" xr6:coauthVersionMax="45" xr10:uidLastSave="{00000000-0000-0000-0000-000000000000}"/>
  <bookViews>
    <workbookView xWindow="-29660" yWindow="460" windowWidth="28040" windowHeight="17440" xr2:uid="{00000000-000D-0000-FFFF-FFFF00000000}"/>
  </bookViews>
  <sheets>
    <sheet name="20209211JAP_probAnalysis" sheetId="1" r:id="rId1"/>
    <sheet name="20200211JAP_probAnalysis_air5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'20209211JAP_probAnalysis'!$A$1:$S$1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<sst xmlns="http://schemas.openxmlformats.org/spreadsheetml/2006/main" count="6667" uniqueCount="419">
  <si>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</si>
  <si>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</si>
  <si>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</si>
  <si>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</si>
  <si>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</si>
  <si>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</si>
  <si>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</si>
  <si>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</si>
  <si>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</si>
  <si>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</si>
  <si>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</si>
  <si>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</si>
  <si>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</si>
  <si>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</si>
  <si>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</si>
  <si>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</si>
  <si>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</si>
  <si>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1,2-Dipalmitoyl-sn-glycero-3-phosphocholine</t>
  </si>
  <si>
    <t>Organic compounds</t>
  </si>
  <si>
    <t>yes</t>
  </si>
  <si>
    <t>Lipids and lipid-like molecules</t>
  </si>
  <si>
    <t>Glycerophospholipids</t>
  </si>
  <si>
    <t>Glycerophosphocholines</t>
  </si>
  <si>
    <t>kscsb</t>
  </si>
  <si>
    <t>Bishomo-gamma-linolenic Acid (20:3)</t>
  </si>
  <si>
    <t>Fatty acyls</t>
  </si>
  <si>
    <t>Fatty acids and conjugates</t>
  </si>
  <si>
    <t>PE 34:02</t>
  </si>
  <si>
    <t>Glycerophosphoethanolamines</t>
  </si>
  <si>
    <t>Cer (d18:1/17:0)</t>
  </si>
  <si>
    <t>Sphingolipids</t>
  </si>
  <si>
    <t>Ceramides</t>
  </si>
  <si>
    <t>PC 34:02</t>
  </si>
  <si>
    <t>Hexakis(1H,1H,9H-perfluorononyloxy) phosphazene</t>
  </si>
  <si>
    <t>Organohalogen compounds</t>
  </si>
  <si>
    <t>Organofluorides</t>
  </si>
  <si>
    <t>Phosphazene and phosphazene derivatives</t>
  </si>
  <si>
    <t>d7-LysoPC (18:1)</t>
  </si>
  <si>
    <t>L-Valine</t>
  </si>
  <si>
    <t>Organic acids and derivatives</t>
  </si>
  <si>
    <t>Carboxylic acids and derivatives</t>
  </si>
  <si>
    <t>Amino acids, peptides, and analogues</t>
  </si>
  <si>
    <t>12(R)-HETE</t>
  </si>
  <si>
    <t>Eicosanoids</t>
  </si>
  <si>
    <t>Galactose</t>
  </si>
  <si>
    <t>Organic oxygen compounds</t>
  </si>
  <si>
    <t>Organooxygen compounds</t>
  </si>
  <si>
    <t>Carbohydrates and carbohydrate conjugates</t>
  </si>
  <si>
    <t>Cer 42:00</t>
  </si>
  <si>
    <t>2-Phospho-DL-glycerate</t>
  </si>
  <si>
    <t>14(S)-HDHA</t>
  </si>
  <si>
    <t>IHSEILK (Tryptic Peptide)</t>
  </si>
  <si>
    <t>PE 36:02</t>
  </si>
  <si>
    <t>VIFLENYR (Tryptic Peptide)</t>
  </si>
  <si>
    <t>Margaric Acid</t>
  </si>
  <si>
    <t>PS 42:08</t>
  </si>
  <si>
    <t>Glycerophosphoserines</t>
  </si>
  <si>
    <t>d7-LysoPE (18:1)</t>
  </si>
  <si>
    <t>UltraMark 1623</t>
  </si>
  <si>
    <t>N-Acetylneuraminate</t>
  </si>
  <si>
    <t>Melatonin</t>
  </si>
  <si>
    <t>Organoheterocyclic compounds</t>
  </si>
  <si>
    <t>Indoles and derivatives</t>
  </si>
  <si>
    <t>Indoles</t>
  </si>
  <si>
    <t>8-iso-Prostaglandin F2alpha</t>
  </si>
  <si>
    <t>Antimycin A1b</t>
  </si>
  <si>
    <t>15(R)-Prostaglandin F2alpha</t>
  </si>
  <si>
    <t>3-Dehydroshikimate</t>
  </si>
  <si>
    <t>Carbonyl compounds</t>
  </si>
  <si>
    <t>Erythromycin A</t>
  </si>
  <si>
    <t>D-Glucosamine-6-phosphate</t>
  </si>
  <si>
    <t>Uridine-5'-diphosphate</t>
  </si>
  <si>
    <t>Nucleosides, nucleotides, and analogues</t>
  </si>
  <si>
    <t>Pyrimidine nucleotides</t>
  </si>
  <si>
    <t>Pyrimidine ribonucleotides</t>
  </si>
  <si>
    <t>L-Pipecolate</t>
  </si>
  <si>
    <t>5-Hydroxy-2,2',4,4'-tetrabromodiphenylether</t>
  </si>
  <si>
    <t>Benzenoids</t>
  </si>
  <si>
    <t>Benzene and substituted derivatives</t>
  </si>
  <si>
    <t>Diphenylethers</t>
  </si>
  <si>
    <t>UltraMark 1922</t>
  </si>
  <si>
    <t>Pinostrobin</t>
  </si>
  <si>
    <t>Phenylpropanoids and polyketides</t>
  </si>
  <si>
    <t>Flavonoids</t>
  </si>
  <si>
    <t>O-methylated flavonoids</t>
  </si>
  <si>
    <t>cis-4-Hydroxy-D-proline</t>
  </si>
  <si>
    <t>Mannose-6-phosphate</t>
  </si>
  <si>
    <t>Tris(2-carboxyethyl)phosphine Hydrochloride</t>
  </si>
  <si>
    <t>Tricarboxylic acids and derivatives</t>
  </si>
  <si>
    <t>N-Acetylcysteine</t>
  </si>
  <si>
    <t>GlcCer 42:02 OH</t>
  </si>
  <si>
    <t>Glycosphingolipids</t>
  </si>
  <si>
    <t>PE 38:03</t>
  </si>
  <si>
    <t>GlcCer 40:02</t>
  </si>
  <si>
    <t>Folate</t>
  </si>
  <si>
    <t>PE (18:1/18:1)(del9-cis)</t>
  </si>
  <si>
    <t>Cs(CsI)(NaI)5</t>
  </si>
  <si>
    <t>Inorganic compounds</t>
  </si>
  <si>
    <t>Mixed metal/non-metal compounds</t>
  </si>
  <si>
    <t>Alkali metal salts</t>
  </si>
  <si>
    <t>Alkali metal iodides</t>
  </si>
  <si>
    <t>Dihomo-gamma-linolenic Acid</t>
  </si>
  <si>
    <t>N-Acetylleucine</t>
  </si>
  <si>
    <t>Na(NaI)1</t>
  </si>
  <si>
    <t>LysoPC (18:0)</t>
  </si>
  <si>
    <t>Citicoline</t>
  </si>
  <si>
    <t>TVMIGGK (Tryptic Peptide)</t>
  </si>
  <si>
    <t>TGQIK (Tryptic Peptide)</t>
  </si>
  <si>
    <t>N-Acetylserine</t>
  </si>
  <si>
    <t>2'-Deoxycytidine-5-monophosphate</t>
  </si>
  <si>
    <t>Pyrimidine deoxyribonucleotides</t>
  </si>
  <si>
    <t>GlcCer 40:01 OH</t>
  </si>
  <si>
    <t>Josamycin</t>
  </si>
  <si>
    <t>Amphotericin</t>
  </si>
  <si>
    <t>Nystatin</t>
  </si>
  <si>
    <t>14(15)-EET</t>
  </si>
  <si>
    <t>3-Amino-4-Hydroxybenzoate</t>
  </si>
  <si>
    <t>Benzoic acids and derivatives</t>
  </si>
  <si>
    <t>GlcCer 44:03 OH</t>
  </si>
  <si>
    <t>alpha-D-Glucose</t>
  </si>
  <si>
    <t>2,2',3,3',4,4'-Hexabromodiphenyl Ether</t>
  </si>
  <si>
    <t>D-tert-Leucine</t>
  </si>
  <si>
    <t>1,2-Dioctanoyl-sn-glycero-3-phosphoethanolamine</t>
  </si>
  <si>
    <t>PS 36:00</t>
  </si>
  <si>
    <t>LysoPC (16:0)</t>
  </si>
  <si>
    <t>PC 36:02 HETE</t>
  </si>
  <si>
    <t>GlcCer 42:02</t>
  </si>
  <si>
    <t>Indole-3-acetamide</t>
  </si>
  <si>
    <t xml:space="preserve">4-Hydroxy-2,2',4',6'-tetrachlorobiphenyl </t>
  </si>
  <si>
    <t>Biphenyls and derivatives</t>
  </si>
  <si>
    <t>Xanthurenate</t>
  </si>
  <si>
    <t>Quinolines and derivatives</t>
  </si>
  <si>
    <t>Quinoline carboxylic acids</t>
  </si>
  <si>
    <t>Norvaline</t>
  </si>
  <si>
    <t>Valinomycin</t>
  </si>
  <si>
    <t>Peptidomimetics</t>
  </si>
  <si>
    <t>Depsipeptides</t>
  </si>
  <si>
    <t>Adenosine-5'-diphosphoglucose</t>
  </si>
  <si>
    <t>Purine nucleotides</t>
  </si>
  <si>
    <t>Purine nucleotide sugars</t>
  </si>
  <si>
    <t>LysoPC (P-18:0)</t>
  </si>
  <si>
    <t>Cer 36:00</t>
  </si>
  <si>
    <t>3-Hydroxymethylglutarate</t>
  </si>
  <si>
    <t>GlcCer 38:01</t>
  </si>
  <si>
    <t>2-Deoxyadenosine-5-monophosphate</t>
  </si>
  <si>
    <t>Purine deoxyribonucleotides</t>
  </si>
  <si>
    <t>Maltopentaose</t>
  </si>
  <si>
    <t>GlcCer 44:02</t>
  </si>
  <si>
    <t>Cortisol</t>
  </si>
  <si>
    <t>Steroids and steroid derivatives</t>
  </si>
  <si>
    <t>Hydroxysteroids</t>
  </si>
  <si>
    <t>Pregnenolone</t>
  </si>
  <si>
    <t>Pregnane steroids</t>
  </si>
  <si>
    <t>Leucine Enkephalin</t>
  </si>
  <si>
    <t>Tiglyl Glycine</t>
  </si>
  <si>
    <t>Na(NaI)17</t>
  </si>
  <si>
    <t>1,2-Dibehenoyl-sn-glycero-3-phosphocholine</t>
  </si>
  <si>
    <t>Imazapyr</t>
  </si>
  <si>
    <t>5-Hydroxy-2,2',3,4,4',5'-hexachlorobiphenyl</t>
  </si>
  <si>
    <t>UltraMark 1123</t>
  </si>
  <si>
    <t>D-Erythrose-4-phosphate</t>
  </si>
  <si>
    <t>Poly-(glycine)6</t>
  </si>
  <si>
    <t>Shikimic Acid</t>
  </si>
  <si>
    <t>Alcohols and polyols</t>
  </si>
  <si>
    <t>GlcCer 38:00</t>
  </si>
  <si>
    <t>Na(NaI)3</t>
  </si>
  <si>
    <t>Leukotriene B4</t>
  </si>
  <si>
    <t>Uridine Diphosphate-N-acetylglucosamine</t>
  </si>
  <si>
    <t>Pyrimidine nucleotide sugars</t>
  </si>
  <si>
    <t>Quinolinic Acid</t>
  </si>
  <si>
    <t>Pyridines and derivatives</t>
  </si>
  <si>
    <t>Pyridinecarboxylic acids and derivatives</t>
  </si>
  <si>
    <t>N-Acetyl-DL-tryptophan</t>
  </si>
  <si>
    <t>Isocitrate</t>
  </si>
  <si>
    <t>N-Acetyl-beta-D-galactosamine</t>
  </si>
  <si>
    <t>PE (O-38:02)</t>
  </si>
  <si>
    <t>cis-Aconitic acid</t>
  </si>
  <si>
    <t>Triheptyl(hexyl)azanium</t>
  </si>
  <si>
    <t>Organic nitrogen compounds</t>
  </si>
  <si>
    <t>Organonitrogen compounds</t>
  </si>
  <si>
    <t>Quaternary ammonium salts</t>
  </si>
  <si>
    <t>YVVDTSK (Tryptic Peptide)</t>
  </si>
  <si>
    <t>O-Succinyl-homoserine</t>
  </si>
  <si>
    <t>Xylobiose</t>
  </si>
  <si>
    <t>Deoxythymidine-diphosphate-D-Glucose</t>
  </si>
  <si>
    <t>Deoxyuridine Triphosphate</t>
  </si>
  <si>
    <t>FAAYLER (Tryptic Peptide)</t>
  </si>
  <si>
    <t>PC (18:1(9Z)/16:0)</t>
  </si>
  <si>
    <t>Glucosamine-6-sulfate</t>
  </si>
  <si>
    <t>PS 41:06</t>
  </si>
  <si>
    <t>SM 40:02</t>
  </si>
  <si>
    <t>Phosphosphingolipids</t>
  </si>
  <si>
    <t>Na(CsI)3 or Cs(NaI)(CsI)2</t>
  </si>
  <si>
    <t>Cs(CsI)4(NaI)3 or Na(CsI)5(NaI)2</t>
  </si>
  <si>
    <t>SM 36:02</t>
  </si>
  <si>
    <t>Hexakis(1H,1H,7H-perfluoroheptoxy)phosphazene</t>
  </si>
  <si>
    <t>Methionine Sulfoximine</t>
  </si>
  <si>
    <t>PE 38:02</t>
  </si>
  <si>
    <t>Resolvin D2</t>
  </si>
  <si>
    <t>HLADLSK (Tryptic Peptide)</t>
  </si>
  <si>
    <t>Hybrid peptides</t>
  </si>
  <si>
    <t>Cytidine-5'-monophosphate</t>
  </si>
  <si>
    <t>Hexakis(1H,1H,5H-octafluoropentoxy) phosphazene</t>
  </si>
  <si>
    <t>SM 42:02</t>
  </si>
  <si>
    <t>N-Acetylmethionine</t>
  </si>
  <si>
    <t>Cytosine</t>
  </si>
  <si>
    <t>Diazines</t>
  </si>
  <si>
    <t>Pyrimidines and pyrimidine derivatives</t>
  </si>
  <si>
    <t>Hexazinone</t>
  </si>
  <si>
    <t>Amines</t>
  </si>
  <si>
    <t>SM 36:01</t>
  </si>
  <si>
    <t>L-Phenylalanine</t>
  </si>
  <si>
    <t>Na(CsI)1 or Cs(NaI)1</t>
  </si>
  <si>
    <t>Inosine Triphosphate</t>
  </si>
  <si>
    <t>Purine ribonucleotides</t>
  </si>
  <si>
    <t>SM 39:01</t>
  </si>
  <si>
    <t>SM 34:01</t>
  </si>
  <si>
    <t>Paullinic acid (20:1)</t>
  </si>
  <si>
    <t>IATAIEK (Tryptic Peptide)</t>
  </si>
  <si>
    <t>Na(NaI)4</t>
  </si>
  <si>
    <t>6-Phosphogluconate</t>
  </si>
  <si>
    <t>Anilides</t>
  </si>
  <si>
    <t>GlcCer 39:01</t>
  </si>
  <si>
    <t>PS 42:04</t>
  </si>
  <si>
    <t>PA 40:05</t>
  </si>
  <si>
    <t>Glycerophosphates</t>
  </si>
  <si>
    <t>Histidinol</t>
  </si>
  <si>
    <t>d7-PA (15:0-18:1)</t>
  </si>
  <si>
    <t>Prostaglandin D2</t>
  </si>
  <si>
    <t>Eicosanoic Acid (20:0)</t>
  </si>
  <si>
    <t>Ursodeoxycholic Acid</t>
  </si>
  <si>
    <t>Azoles</t>
  </si>
  <si>
    <t>Imidazoles</t>
  </si>
  <si>
    <t>L-Threonic Acid</t>
  </si>
  <si>
    <t>PE 36:00</t>
  </si>
  <si>
    <t>Erythromycin B</t>
  </si>
  <si>
    <t>1-Palmitoyl-2-oleoyl-sn-glycero-3-phosphoethanolamine</t>
  </si>
  <si>
    <t>Uridine Diphosphate-N-acetylgalactosamine</t>
  </si>
  <si>
    <t>PC 36:01</t>
  </si>
  <si>
    <t>D-glucosyl-beta1-1'-D-erythro-sphingosine</t>
  </si>
  <si>
    <t>L-Proline</t>
  </si>
  <si>
    <t>Hexakis(2,2-difluoroethoxy)phosphazene</t>
  </si>
  <si>
    <t>4-Pyridoxate</t>
  </si>
  <si>
    <t>Tetrapentylammonium</t>
  </si>
  <si>
    <t>GlcCer 42:01</t>
  </si>
  <si>
    <t>Kanamycin</t>
  </si>
  <si>
    <t>GlcCer 36:00</t>
  </si>
  <si>
    <t>VEDVDR (Tryptic Peptide)</t>
  </si>
  <si>
    <t>Thymine</t>
  </si>
  <si>
    <t>2-Hydroxy Hippuric Acid</t>
  </si>
  <si>
    <t>Uridine-5'-monophosphate</t>
  </si>
  <si>
    <t>GlcCer 47:00</t>
  </si>
  <si>
    <t>Uridine Diphosphogalactose</t>
  </si>
  <si>
    <t>Carbocyclic Thromboxane A2</t>
  </si>
  <si>
    <t>PS 40:06</t>
  </si>
  <si>
    <t>Lincomycin</t>
  </si>
  <si>
    <t>N-Acetylphenylalanine</t>
  </si>
  <si>
    <t>Hygromycin</t>
  </si>
  <si>
    <t>PS 40:08</t>
  </si>
  <si>
    <t>Selenomethionine</t>
  </si>
  <si>
    <t>9-OxoODE</t>
  </si>
  <si>
    <t>Lineolic acids and derivatives</t>
  </si>
  <si>
    <t xml:space="preserve">4-Hydroxy-2',3',5',6'-tetrachlorobiphenyl </t>
  </si>
  <si>
    <t xml:space="preserve">4-Hydroxy-2',5'-dichlorobiphenyl </t>
  </si>
  <si>
    <t>EYK (Tryptic Peptide)</t>
  </si>
  <si>
    <t>PC 36:02</t>
  </si>
  <si>
    <t>Na(NaI)12</t>
  </si>
  <si>
    <t>7-Methylguanine</t>
  </si>
  <si>
    <t>Imidazopyrimidines</t>
  </si>
  <si>
    <t>Purines and purine derivatives</t>
  </si>
  <si>
    <t>Vancomycin</t>
  </si>
  <si>
    <t>L-(+)-Tartartic Acid</t>
  </si>
  <si>
    <t>Dihydroxyacetone Phosphate</t>
  </si>
  <si>
    <t>Aculeacin A</t>
  </si>
  <si>
    <t>Sulfamethazine</t>
  </si>
  <si>
    <t>Benzenesulfonamides</t>
  </si>
  <si>
    <t>Glycerol-3-phosphate</t>
  </si>
  <si>
    <t>Ethyl-3-indoleacetate</t>
  </si>
  <si>
    <t>Indolyl carboxylic acids and derivatives</t>
  </si>
  <si>
    <t>PS 40:04</t>
  </si>
  <si>
    <t>SM 42:00</t>
  </si>
  <si>
    <t>Purine</t>
  </si>
  <si>
    <t>1,2-Dipentadecanoyl-sn-glycero-3-phosphoethanolamine</t>
  </si>
  <si>
    <t>Methyl Linoleate</t>
  </si>
  <si>
    <t>Stearic Acid (18:0)</t>
  </si>
  <si>
    <t>PC 36:05</t>
  </si>
  <si>
    <t>LysoPC (24:0)</t>
  </si>
  <si>
    <t>Resolvin D1</t>
  </si>
  <si>
    <t>AADALLLK or DIVGAVLK (Tryptic Peptide)</t>
  </si>
  <si>
    <t>TGQAPGFTYTDANK (Tryptic Peptide)</t>
  </si>
  <si>
    <t>Cortisone</t>
  </si>
  <si>
    <t>D-Mannosamine</t>
  </si>
  <si>
    <t>Bradykinin</t>
  </si>
  <si>
    <t>2,3,3',4,4',5,5'-Heptachlorobiphenyl</t>
  </si>
  <si>
    <t>D-(+)-Gluconolactone</t>
  </si>
  <si>
    <t>PS 42:05</t>
  </si>
  <si>
    <t>Hydroquinone</t>
  </si>
  <si>
    <t>Phenols</t>
  </si>
  <si>
    <t>Benzenediols</t>
  </si>
  <si>
    <t>Uridine Diphosphate Glucuronic Acid</t>
  </si>
  <si>
    <t>NFNR (Tryptic Peptide)</t>
  </si>
  <si>
    <t>5-Methylcytosine</t>
  </si>
  <si>
    <t>DIPVPKPK (Tryptic Peptide)</t>
  </si>
  <si>
    <t>Tetrapropylammonium</t>
  </si>
  <si>
    <t>3-Methyl-L-histidine</t>
  </si>
  <si>
    <t>Galactarate</t>
  </si>
  <si>
    <t>Paraxanthine</t>
  </si>
  <si>
    <t>Cer 43:02</t>
  </si>
  <si>
    <t>PS 40:02</t>
  </si>
  <si>
    <t>PE (O-34:03)</t>
  </si>
  <si>
    <t>D-(-)-3-Phosphoglycerate</t>
  </si>
  <si>
    <t>D-Leucine</t>
  </si>
  <si>
    <t>SM 43:02</t>
  </si>
  <si>
    <t>Phytate</t>
  </si>
  <si>
    <t>Indole-3-methyl Acetate</t>
  </si>
  <si>
    <t>alpha-D-Glucose-1-phosphate</t>
  </si>
  <si>
    <t>PS 38:02</t>
  </si>
  <si>
    <t>Actinomycin</t>
  </si>
  <si>
    <t>PC 34:01</t>
  </si>
  <si>
    <t>Antimycin A10</t>
  </si>
  <si>
    <t>DVCK (Tryptic Peptide)</t>
  </si>
  <si>
    <t>Mevalonate</t>
  </si>
  <si>
    <t>UltraMark 1723</t>
  </si>
  <si>
    <t>PA 38:03</t>
  </si>
  <si>
    <t>PC 38:03</t>
  </si>
  <si>
    <t>Hexakis(2,2,3,3-tetrafluoropropoxy)phosphazene</t>
  </si>
  <si>
    <t>SM 41:00</t>
  </si>
  <si>
    <t>1,2-Distearoyl-sn-glycero-3-phosphocholine</t>
  </si>
  <si>
    <t>Prostaglandin I2</t>
  </si>
  <si>
    <t>MSLVEEGAVK (Tryptic Peptide)</t>
  </si>
  <si>
    <t>SM 37:01</t>
  </si>
  <si>
    <t xml:space="preserve">4-Hydroxy-2',3,3',4',5,5'-hexachlorobiphenyl </t>
  </si>
  <si>
    <t>Lactulose</t>
  </si>
  <si>
    <t>IPELR (Tryptic Peptide)</t>
  </si>
  <si>
    <t>Guanosine Diphosphate Mannose</t>
  </si>
  <si>
    <t>Guanosine</t>
  </si>
  <si>
    <t>Daptomycin</t>
  </si>
  <si>
    <t>1,2-Dilignoceroyl-sn-glycero-3-phosphocholine</t>
  </si>
  <si>
    <t>Cyclic-AMP</t>
  </si>
  <si>
    <t>Cyclic purine nucleotides</t>
  </si>
  <si>
    <t>alpha-Linolenic acid (PC18:3)</t>
  </si>
  <si>
    <t>5,7-Dihydroxy-3,4,5-trimethoxyflavone</t>
  </si>
  <si>
    <t>Cytidine-3'-phosphate</t>
  </si>
  <si>
    <t>D-(-)-Tartartic Acid</t>
  </si>
  <si>
    <t>4-Hydroxy-2',3',4',5'-tetrachlorobiphenyl</t>
  </si>
  <si>
    <t>Val-Tyr-Val</t>
  </si>
  <si>
    <t>1,2-Distearoyl-sn-glycero-3-phosphoethanolamine</t>
  </si>
  <si>
    <t>Antimycin A2b</t>
  </si>
  <si>
    <t>Phosphocholine</t>
  </si>
  <si>
    <t>Thromboxane B3</t>
  </si>
  <si>
    <t>Bis(2-ethylhexyl)phthalate</t>
  </si>
  <si>
    <t>UltraMark 1621</t>
  </si>
  <si>
    <t>Monensin A</t>
  </si>
  <si>
    <t>3,5-Diiodo-L-tyrosine</t>
  </si>
  <si>
    <t>Citramalic Acid</t>
  </si>
  <si>
    <t>GlcCer 40:00 OH</t>
  </si>
  <si>
    <t>Adenosine-5'-monophosphate</t>
  </si>
  <si>
    <t>PS 38:05</t>
  </si>
  <si>
    <t>3,5-Diiodo-L-thryonine</t>
  </si>
  <si>
    <t>Thiostrepton A</t>
  </si>
  <si>
    <t>beta-Glycerophosphate</t>
  </si>
  <si>
    <t>QEPER (Tryptic Peptide)</t>
  </si>
  <si>
    <t>Cytidine Diphosphate</t>
  </si>
  <si>
    <t>Melibiose</t>
  </si>
  <si>
    <t>L-Ribonic Acid</t>
  </si>
  <si>
    <t>PS 38:03</t>
  </si>
  <si>
    <t>GITWK (Tryptic Peptide)</t>
  </si>
  <si>
    <t>N,N‚Ä≤-Dimethyl-L-arginine</t>
  </si>
  <si>
    <t>PS 40:07</t>
  </si>
  <si>
    <t>GlcCer 40:03</t>
  </si>
  <si>
    <t>Uric Acid</t>
  </si>
  <si>
    <t>Cs(CsI)3(NaI)2 or Na(CsI)4(NaI)</t>
  </si>
  <si>
    <t>1,2-Dipalmitoleoyl-sn-glycero-3-phosphoethanolamine</t>
  </si>
  <si>
    <t>3-Hydroxyanthranilate</t>
  </si>
  <si>
    <t>Betaine</t>
  </si>
  <si>
    <t>Pyridoxal-5'-phosphate</t>
  </si>
  <si>
    <t>Pyridine carboxaldehydes</t>
  </si>
  <si>
    <t>Thiamine Pyrophosphate</t>
  </si>
  <si>
    <t>Eicosadienoic Acid (20:2)</t>
  </si>
  <si>
    <t>EELFR (Tryptic Peptide)</t>
  </si>
  <si>
    <t>2,2',4,5',6-Pentachlorobiphenyl</t>
  </si>
  <si>
    <t>GlcCer 42:00</t>
  </si>
  <si>
    <t>Dopamine</t>
  </si>
  <si>
    <t>Indole-3-ethanol</t>
  </si>
  <si>
    <t>O-Acetylserine</t>
  </si>
  <si>
    <t>2-Quinolinecarboxylate</t>
  </si>
  <si>
    <t>5'-Hydroxy-2,2',4,4',5-pentabromodiphenylether</t>
  </si>
  <si>
    <t>Progesterone</t>
  </si>
  <si>
    <t>N-Acetylproline</t>
  </si>
  <si>
    <t>2,3,3',4,4',5,6-Heptabromodiphenyl ether</t>
  </si>
  <si>
    <t>L-Tryptophan</t>
  </si>
  <si>
    <t>1,2-Dilauroyl-sn-glycero-3-phosphocholine</t>
  </si>
  <si>
    <t>2,6-Diaminopimelate</t>
  </si>
  <si>
    <t>L-Histidine</t>
  </si>
  <si>
    <t>Guanine</t>
  </si>
  <si>
    <t>Thiamine Monophosphate</t>
  </si>
  <si>
    <t>N-Acetyl-sulfamethoxazole</t>
  </si>
  <si>
    <t>Ribose-5-phosphate</t>
  </si>
  <si>
    <t>UltraMark 821</t>
  </si>
  <si>
    <t>PE 37:02</t>
  </si>
  <si>
    <t>Lignoceric Acid (24:0)</t>
  </si>
  <si>
    <t>Adenosine-5'-triphosphate</t>
  </si>
  <si>
    <t>5-Hydroxylysine</t>
  </si>
  <si>
    <t>2-Deoxy-D-glucose</t>
  </si>
  <si>
    <t>count</t>
  </si>
  <si>
    <t>Row</t>
  </si>
  <si>
    <t>class.error</t>
  </si>
  <si>
    <t>Organic polymers</t>
  </si>
  <si>
    <t>Fatty Acyls</t>
  </si>
  <si>
    <t>Pyrenes</t>
  </si>
  <si>
    <t>Benzopyrenes</t>
  </si>
  <si>
    <t>Bile acids, alcohols and derivatives</t>
  </si>
  <si>
    <t>Fatty acid esters</t>
  </si>
  <si>
    <t>Tryptamines and derivatives</t>
  </si>
  <si>
    <t>Predicted.Kingdom</t>
  </si>
  <si>
    <t>Predicted.Super.Class</t>
  </si>
  <si>
    <t>Predicted.Class</t>
  </si>
  <si>
    <t>Predicted.Subclass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</si>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</sst>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  <font>
      <sz val="12"/>
      <color rgb="FF000000"/>
      <name val="TimesNewRomanPSMT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0" borderId="0" xfId="0" applyFont="1"/>
    <xf numFmtId="0" fontId="19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A318" workbookViewId="0">
      <selection activeCell="R353" sqref="R353"/>
    </sheetView>
  </sheetViews>
  <sheetFormatPr baseColWidth="10" defaultRowHeight="16"/>
  <sheetData>
    <row r="1" spans="1:23">
      <c r="A1" t="s">
        <v>405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404</v>
      </c>
    </row>
    <row r="2" spans="1:23">
      <c r="A2">
        <v>1</v>
      </c>
      <c r="B2" t="s">
        <v>17</v>
      </c>
      <c r="C2">
        <v>792.57539999999995</v>
      </c>
      <c r="D2">
        <v>289.5</v>
      </c>
      <c r="E2">
        <v>-0.69044841675963697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1</v>
      </c>
      <c r="L2" t="s">
        <v>21</v>
      </c>
      <c r="M2" t="s">
        <v>19</v>
      </c>
      <c r="N2">
        <v>1</v>
      </c>
      <c r="O2" t="s">
        <v>22</v>
      </c>
      <c r="P2" t="s">
        <v>19</v>
      </c>
      <c r="Q2">
        <v>0.98099999999999998</v>
      </c>
      <c r="R2" t="s">
        <v>23</v>
      </c>
      <c r="S2">
        <v>4</v>
      </c>
      <c r="U2" s="3" t="s">
        <v>418</v>
      </c>
      <c r="V2" s="4">
        <v>4</v>
      </c>
      <c r="W2" s="4">
        <f>COUNTIF($S$2:$S$355,"4")</f>
        <v>354</v>
      </c>
    </row>
    <row r="3" spans="1:23">
      <c r="A3">
        <v>2</v>
      </c>
      <c r="B3" t="s">
        <v>24</v>
      </c>
      <c r="C3">
        <v>329.24560000000002</v>
      </c>
      <c r="D3">
        <v>182.2</v>
      </c>
      <c r="E3">
        <v>-0.87798019373946101</v>
      </c>
      <c r="F3" t="s">
        <v>18</v>
      </c>
      <c r="G3" t="s">
        <v>19</v>
      </c>
      <c r="H3">
        <v>1</v>
      </c>
      <c r="I3" t="s">
        <v>20</v>
      </c>
      <c r="J3" t="s">
        <v>19</v>
      </c>
      <c r="K3">
        <v>1</v>
      </c>
      <c r="L3" t="s">
        <v>25</v>
      </c>
      <c r="M3" t="s">
        <v>19</v>
      </c>
      <c r="N3">
        <v>0.98</v>
      </c>
      <c r="O3" t="s">
        <v>26</v>
      </c>
      <c r="P3" t="s">
        <v>19</v>
      </c>
      <c r="Q3">
        <v>0.98299999999999998</v>
      </c>
      <c r="R3" t="s">
        <v>23</v>
      </c>
      <c r="S3">
        <v>4</v>
      </c>
      <c r="U3" s="3"/>
      <c r="V3" s="4">
        <v>3</v>
      </c>
      <c r="W3" s="4">
        <f t="shared" ref="W3" si="0">COUNTIF($S$2:$S$355,"3")</f>
        <v>0</v>
      </c>
    </row>
    <row r="4" spans="1:23">
      <c r="A4">
        <v>3</v>
      </c>
      <c r="B4" t="s">
        <v>27</v>
      </c>
      <c r="C4">
        <v>716.52300000000002</v>
      </c>
      <c r="D4">
        <v>269.5</v>
      </c>
      <c r="E4">
        <v>-0.72296486986840602</v>
      </c>
      <c r="F4" t="s">
        <v>18</v>
      </c>
      <c r="G4" t="s">
        <v>19</v>
      </c>
      <c r="H4">
        <v>1</v>
      </c>
      <c r="I4" t="s">
        <v>20</v>
      </c>
      <c r="J4" t="s">
        <v>19</v>
      </c>
      <c r="K4">
        <v>0.99</v>
      </c>
      <c r="L4" t="s">
        <v>21</v>
      </c>
      <c r="M4" t="s">
        <v>19</v>
      </c>
      <c r="N4">
        <v>1</v>
      </c>
      <c r="O4" t="s">
        <v>28</v>
      </c>
      <c r="P4" t="s">
        <v>19</v>
      </c>
      <c r="Q4">
        <v>0.998</v>
      </c>
      <c r="R4" t="s">
        <v>23</v>
      </c>
      <c r="S4">
        <v>4</v>
      </c>
      <c r="U4" s="3"/>
      <c r="V4" s="4">
        <v>2</v>
      </c>
      <c r="W4" s="4">
        <f>COUNTIF($S$2:$S$355,"2")</f>
        <v>0</v>
      </c>
    </row>
    <row r="5" spans="1:23">
      <c r="A5">
        <v>4</v>
      </c>
      <c r="B5" t="s">
        <v>29</v>
      </c>
      <c r="C5">
        <v>610.5403</v>
      </c>
      <c r="D5">
        <v>262</v>
      </c>
      <c r="E5">
        <v>-0.85860005685640295</v>
      </c>
      <c r="F5" t="s">
        <v>18</v>
      </c>
      <c r="G5" t="s">
        <v>19</v>
      </c>
      <c r="H5">
        <v>1</v>
      </c>
      <c r="I5" t="s">
        <v>20</v>
      </c>
      <c r="J5" t="s">
        <v>19</v>
      </c>
      <c r="K5">
        <v>0.93</v>
      </c>
      <c r="L5" t="s">
        <v>30</v>
      </c>
      <c r="M5" t="s">
        <v>19</v>
      </c>
      <c r="N5">
        <v>0.97</v>
      </c>
      <c r="O5" t="s">
        <v>31</v>
      </c>
      <c r="P5" t="s">
        <v>19</v>
      </c>
      <c r="Q5">
        <v>0.97399999999999998</v>
      </c>
      <c r="R5" t="s">
        <v>23</v>
      </c>
      <c r="S5">
        <v>4</v>
      </c>
      <c r="U5" s="3"/>
      <c r="V5" s="4">
        <v>1</v>
      </c>
      <c r="W5" s="4">
        <f>COUNTIF($S$2:$S$355,"1")</f>
        <v>0</v>
      </c>
    </row>
    <row r="6" spans="1:23">
      <c r="A6">
        <v>5</v>
      </c>
      <c r="B6" t="s">
        <v>32</v>
      </c>
      <c r="C6">
        <v>780.55190000000005</v>
      </c>
      <c r="D6">
        <v>284.2</v>
      </c>
      <c r="E6">
        <v>-0.68037327874901599</v>
      </c>
      <c r="F6" t="s">
        <v>18</v>
      </c>
      <c r="G6" t="s">
        <v>19</v>
      </c>
      <c r="H6">
        <v>1</v>
      </c>
      <c r="I6" t="s">
        <v>20</v>
      </c>
      <c r="J6" t="s">
        <v>19</v>
      </c>
      <c r="K6">
        <v>1</v>
      </c>
      <c r="L6" t="s">
        <v>21</v>
      </c>
      <c r="M6" t="s">
        <v>19</v>
      </c>
      <c r="N6">
        <v>1</v>
      </c>
      <c r="O6" t="s">
        <v>22</v>
      </c>
      <c r="P6" t="s">
        <v>19</v>
      </c>
      <c r="Q6">
        <v>0.60199999999999998</v>
      </c>
      <c r="R6" t="s">
        <v>23</v>
      </c>
      <c r="S6">
        <v>4</v>
      </c>
      <c r="U6" s="5"/>
      <c r="V6" s="6">
        <v>0</v>
      </c>
      <c r="W6" s="6">
        <f>COUNTIF($S$2:$S$355,"0")</f>
        <v>0</v>
      </c>
    </row>
    <row r="7" spans="1:23">
      <c r="A7">
        <v>6</v>
      </c>
      <c r="B7" t="s">
        <v>33</v>
      </c>
      <c r="C7">
        <v>2833.8726000000001</v>
      </c>
      <c r="D7">
        <v>433.3</v>
      </c>
      <c r="E7">
        <v>-0.70843411234909603</v>
      </c>
      <c r="F7" t="s">
        <v>18</v>
      </c>
      <c r="G7" t="s">
        <v>19</v>
      </c>
      <c r="H7">
        <v>0.98799999999999999</v>
      </c>
      <c r="I7" t="s">
        <v>34</v>
      </c>
      <c r="J7" t="s">
        <v>19</v>
      </c>
      <c r="K7">
        <v>0.99</v>
      </c>
      <c r="L7" t="s">
        <v>35</v>
      </c>
      <c r="M7" t="s">
        <v>19</v>
      </c>
      <c r="N7">
        <v>0.99</v>
      </c>
      <c r="O7" t="s">
        <v>36</v>
      </c>
      <c r="P7" t="s">
        <v>19</v>
      </c>
      <c r="Q7">
        <v>1</v>
      </c>
      <c r="R7" t="s">
        <v>23</v>
      </c>
      <c r="S7">
        <v>4</v>
      </c>
      <c r="U7" s="4"/>
      <c r="V7" s="4"/>
      <c r="W7" s="4">
        <f>SUM(W2:W6)</f>
        <v>354</v>
      </c>
    </row>
    <row r="8" spans="1:23">
      <c r="A8">
        <v>7</v>
      </c>
      <c r="B8" t="s">
        <v>37</v>
      </c>
      <c r="C8">
        <v>529.39919999999995</v>
      </c>
      <c r="D8">
        <v>235</v>
      </c>
      <c r="E8">
        <v>-0.80809830771158897</v>
      </c>
      <c r="F8" t="s">
        <v>18</v>
      </c>
      <c r="G8" t="s">
        <v>19</v>
      </c>
      <c r="H8">
        <v>1</v>
      </c>
      <c r="I8" t="s">
        <v>20</v>
      </c>
      <c r="J8" t="s">
        <v>19</v>
      </c>
      <c r="K8">
        <v>1</v>
      </c>
      <c r="L8" t="s">
        <v>21</v>
      </c>
      <c r="M8" t="s">
        <v>19</v>
      </c>
      <c r="N8">
        <v>0.96</v>
      </c>
      <c r="O8" t="s">
        <v>22</v>
      </c>
      <c r="P8" t="s">
        <v>19</v>
      </c>
      <c r="Q8">
        <v>0.95399999999999996</v>
      </c>
      <c r="R8" t="s">
        <v>23</v>
      </c>
      <c r="S8">
        <v>4</v>
      </c>
    </row>
    <row r="9" spans="1:23">
      <c r="A9">
        <v>8</v>
      </c>
      <c r="B9" t="s">
        <v>38</v>
      </c>
      <c r="C9">
        <v>118.0868</v>
      </c>
      <c r="D9">
        <v>120.8</v>
      </c>
      <c r="E9">
        <v>-0.95494995693812301</v>
      </c>
      <c r="F9" t="s">
        <v>18</v>
      </c>
      <c r="G9" t="s">
        <v>19</v>
      </c>
      <c r="H9">
        <v>1</v>
      </c>
      <c r="I9" t="s">
        <v>39</v>
      </c>
      <c r="J9" t="s">
        <v>19</v>
      </c>
      <c r="K9">
        <v>0.99</v>
      </c>
      <c r="L9" t="s">
        <v>40</v>
      </c>
      <c r="M9" t="s">
        <v>19</v>
      </c>
      <c r="N9">
        <v>1</v>
      </c>
      <c r="O9" t="s">
        <v>41</v>
      </c>
      <c r="P9" t="s">
        <v>19</v>
      </c>
      <c r="Q9">
        <v>1</v>
      </c>
      <c r="R9" t="s">
        <v>23</v>
      </c>
      <c r="S9">
        <v>4</v>
      </c>
    </row>
    <row r="10" spans="1:23">
      <c r="A10">
        <v>9</v>
      </c>
      <c r="B10" t="s">
        <v>42</v>
      </c>
      <c r="C10">
        <v>343.22109999999998</v>
      </c>
      <c r="D10">
        <v>193.2</v>
      </c>
      <c r="E10">
        <v>-0.83787582240569203</v>
      </c>
      <c r="F10" t="s">
        <v>18</v>
      </c>
      <c r="G10" t="s">
        <v>19</v>
      </c>
      <c r="H10">
        <v>1</v>
      </c>
      <c r="I10" t="s">
        <v>20</v>
      </c>
      <c r="J10" t="s">
        <v>19</v>
      </c>
      <c r="K10">
        <v>1</v>
      </c>
      <c r="L10" t="s">
        <v>25</v>
      </c>
      <c r="M10" t="s">
        <v>19</v>
      </c>
      <c r="N10">
        <v>1</v>
      </c>
      <c r="O10" t="s">
        <v>43</v>
      </c>
      <c r="P10" t="s">
        <v>19</v>
      </c>
      <c r="Q10">
        <v>0.97</v>
      </c>
      <c r="R10" t="s">
        <v>23</v>
      </c>
      <c r="S10">
        <v>4</v>
      </c>
    </row>
    <row r="11" spans="1:23">
      <c r="A11">
        <v>10</v>
      </c>
      <c r="B11" t="s">
        <v>44</v>
      </c>
      <c r="C11">
        <v>203.05279999999999</v>
      </c>
      <c r="D11">
        <v>142</v>
      </c>
      <c r="E11">
        <v>-0.82608100665075301</v>
      </c>
      <c r="F11" t="s">
        <v>18</v>
      </c>
      <c r="G11" t="s">
        <v>19</v>
      </c>
      <c r="H11">
        <v>1</v>
      </c>
      <c r="I11" t="s">
        <v>45</v>
      </c>
      <c r="J11" t="s">
        <v>19</v>
      </c>
      <c r="K11">
        <v>0.95</v>
      </c>
      <c r="L11" t="s">
        <v>46</v>
      </c>
      <c r="M11" t="s">
        <v>19</v>
      </c>
      <c r="N11">
        <v>1</v>
      </c>
      <c r="O11" t="s">
        <v>47</v>
      </c>
      <c r="P11" t="s">
        <v>19</v>
      </c>
      <c r="Q11">
        <v>1</v>
      </c>
      <c r="R11" t="s">
        <v>23</v>
      </c>
      <c r="S11">
        <v>4</v>
      </c>
    </row>
    <row r="12" spans="1:23">
      <c r="A12">
        <v>11</v>
      </c>
      <c r="B12" t="s">
        <v>48</v>
      </c>
      <c r="C12">
        <v>652.66070000000002</v>
      </c>
      <c r="D12">
        <v>282.26</v>
      </c>
      <c r="E12">
        <v>-0.93197044343833102</v>
      </c>
      <c r="F12" t="s">
        <v>18</v>
      </c>
      <c r="G12" t="s">
        <v>19</v>
      </c>
      <c r="H12">
        <v>1</v>
      </c>
      <c r="I12" t="s">
        <v>20</v>
      </c>
      <c r="J12" t="s">
        <v>19</v>
      </c>
      <c r="K12">
        <v>1</v>
      </c>
      <c r="L12" t="s">
        <v>30</v>
      </c>
      <c r="M12" t="s">
        <v>19</v>
      </c>
      <c r="N12">
        <v>1</v>
      </c>
      <c r="O12" t="s">
        <v>31</v>
      </c>
      <c r="P12" t="s">
        <v>19</v>
      </c>
      <c r="Q12">
        <v>0.98399999999999999</v>
      </c>
      <c r="R12" t="s">
        <v>23</v>
      </c>
      <c r="S12">
        <v>4</v>
      </c>
    </row>
    <row r="13" spans="1:23">
      <c r="A13">
        <v>12</v>
      </c>
      <c r="B13" t="s">
        <v>49</v>
      </c>
      <c r="C13">
        <v>208.98169999999999</v>
      </c>
      <c r="D13">
        <v>141.9</v>
      </c>
      <c r="E13">
        <v>-0.74836108198252305</v>
      </c>
      <c r="F13" t="s">
        <v>18</v>
      </c>
      <c r="G13" t="s">
        <v>19</v>
      </c>
      <c r="H13">
        <v>1</v>
      </c>
      <c r="I13" t="s">
        <v>45</v>
      </c>
      <c r="J13" t="s">
        <v>19</v>
      </c>
      <c r="K13">
        <v>0.82</v>
      </c>
      <c r="L13" t="s">
        <v>46</v>
      </c>
      <c r="M13" t="s">
        <v>19</v>
      </c>
      <c r="N13">
        <v>1</v>
      </c>
      <c r="O13" t="s">
        <v>47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50</v>
      </c>
      <c r="C14">
        <v>343.22730000000001</v>
      </c>
      <c r="D14">
        <v>189.6</v>
      </c>
      <c r="E14">
        <v>-0.84406889978379196</v>
      </c>
      <c r="F14" t="s">
        <v>18</v>
      </c>
      <c r="G14" t="s">
        <v>19</v>
      </c>
      <c r="H14">
        <v>1</v>
      </c>
      <c r="I14" t="s">
        <v>20</v>
      </c>
      <c r="J14" t="s">
        <v>19</v>
      </c>
      <c r="K14">
        <v>1</v>
      </c>
      <c r="L14" t="s">
        <v>25</v>
      </c>
      <c r="M14" t="s">
        <v>19</v>
      </c>
      <c r="N14">
        <v>0.97</v>
      </c>
      <c r="O14" t="s">
        <v>26</v>
      </c>
      <c r="P14" t="s">
        <v>19</v>
      </c>
      <c r="Q14">
        <v>0.85299999999999998</v>
      </c>
      <c r="R14" t="s">
        <v>23</v>
      </c>
      <c r="S14">
        <v>4</v>
      </c>
    </row>
    <row r="15" spans="1:23">
      <c r="A15">
        <v>14</v>
      </c>
      <c r="B15" t="s">
        <v>51</v>
      </c>
      <c r="C15">
        <v>839.4991</v>
      </c>
      <c r="D15">
        <v>289.5</v>
      </c>
      <c r="E15">
        <v>-0.56175566951253597</v>
      </c>
      <c r="F15" t="s">
        <v>18</v>
      </c>
      <c r="G15" t="s">
        <v>19</v>
      </c>
      <c r="H15">
        <v>1</v>
      </c>
      <c r="I15" t="s">
        <v>39</v>
      </c>
      <c r="J15" t="s">
        <v>19</v>
      </c>
      <c r="K15">
        <v>0.67</v>
      </c>
      <c r="L15" t="s">
        <v>40</v>
      </c>
      <c r="M15" t="s">
        <v>19</v>
      </c>
      <c r="N15">
        <v>0.81</v>
      </c>
      <c r="O15" t="s">
        <v>41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52</v>
      </c>
      <c r="C16">
        <v>766.53620000000001</v>
      </c>
      <c r="D16">
        <v>281</v>
      </c>
      <c r="E16">
        <v>-0.68032253546982702</v>
      </c>
      <c r="F16" t="s">
        <v>18</v>
      </c>
      <c r="G16" t="s">
        <v>19</v>
      </c>
      <c r="H16">
        <v>1</v>
      </c>
      <c r="I16" t="s">
        <v>20</v>
      </c>
      <c r="J16" t="s">
        <v>19</v>
      </c>
      <c r="K16">
        <v>1</v>
      </c>
      <c r="L16" t="s">
        <v>21</v>
      </c>
      <c r="M16" t="s">
        <v>19</v>
      </c>
      <c r="N16">
        <v>1</v>
      </c>
      <c r="O16" t="s">
        <v>28</v>
      </c>
      <c r="P16" t="s">
        <v>19</v>
      </c>
      <c r="Q16">
        <v>0.82599999999999996</v>
      </c>
      <c r="R16" t="s">
        <v>23</v>
      </c>
      <c r="S16">
        <v>4</v>
      </c>
    </row>
    <row r="17" spans="1:19">
      <c r="A17">
        <v>16</v>
      </c>
      <c r="B17" t="s">
        <v>53</v>
      </c>
      <c r="C17">
        <v>1053.5733</v>
      </c>
      <c r="D17">
        <v>312.89999999999998</v>
      </c>
      <c r="E17">
        <v>-0.39693071085139298</v>
      </c>
      <c r="F17" t="s">
        <v>18</v>
      </c>
      <c r="G17" t="s">
        <v>19</v>
      </c>
      <c r="H17">
        <v>1</v>
      </c>
      <c r="I17" t="s">
        <v>39</v>
      </c>
      <c r="J17" t="s">
        <v>19</v>
      </c>
      <c r="K17">
        <v>0.95</v>
      </c>
      <c r="L17" t="s">
        <v>40</v>
      </c>
      <c r="M17" t="s">
        <v>19</v>
      </c>
      <c r="N17">
        <v>0.99</v>
      </c>
      <c r="O17" t="s">
        <v>41</v>
      </c>
      <c r="P17" t="s">
        <v>19</v>
      </c>
      <c r="Q17">
        <v>1</v>
      </c>
      <c r="R17" t="s">
        <v>23</v>
      </c>
      <c r="S17">
        <v>4</v>
      </c>
    </row>
    <row r="18" spans="1:19">
      <c r="A18">
        <v>17</v>
      </c>
      <c r="B18" t="s">
        <v>54</v>
      </c>
      <c r="C18">
        <v>269.24860000000001</v>
      </c>
      <c r="D18">
        <v>173.1</v>
      </c>
      <c r="E18">
        <v>-0.94796995917960203</v>
      </c>
      <c r="F18" t="s">
        <v>18</v>
      </c>
      <c r="G18" t="s">
        <v>19</v>
      </c>
      <c r="H18">
        <v>1</v>
      </c>
      <c r="I18" t="s">
        <v>20</v>
      </c>
      <c r="J18" t="s">
        <v>19</v>
      </c>
      <c r="K18">
        <v>1</v>
      </c>
      <c r="L18" t="s">
        <v>25</v>
      </c>
      <c r="M18" t="s">
        <v>19</v>
      </c>
      <c r="N18">
        <v>1</v>
      </c>
      <c r="O18" t="s">
        <v>26</v>
      </c>
      <c r="P18" t="s">
        <v>19</v>
      </c>
      <c r="Q18">
        <v>0.99199999999999999</v>
      </c>
      <c r="R18" t="s">
        <v>23</v>
      </c>
      <c r="S18">
        <v>4</v>
      </c>
    </row>
    <row r="19" spans="1:19">
      <c r="A19">
        <v>18</v>
      </c>
      <c r="B19" t="s">
        <v>55</v>
      </c>
      <c r="C19">
        <v>858.52390000000003</v>
      </c>
      <c r="D19">
        <v>292.3</v>
      </c>
      <c r="E19">
        <v>-0.56531349257795704</v>
      </c>
      <c r="F19" t="s">
        <v>18</v>
      </c>
      <c r="G19" t="s">
        <v>19</v>
      </c>
      <c r="H19">
        <v>1</v>
      </c>
      <c r="I19" t="s">
        <v>20</v>
      </c>
      <c r="J19" t="s">
        <v>19</v>
      </c>
      <c r="K19">
        <v>0.98</v>
      </c>
      <c r="L19" t="s">
        <v>21</v>
      </c>
      <c r="M19" t="s">
        <v>19</v>
      </c>
      <c r="N19">
        <v>1</v>
      </c>
      <c r="O19" t="s">
        <v>56</v>
      </c>
      <c r="P19" t="s">
        <v>19</v>
      </c>
      <c r="Q19">
        <v>0.97299999999999998</v>
      </c>
      <c r="R19" t="s">
        <v>23</v>
      </c>
      <c r="S19">
        <v>4</v>
      </c>
    </row>
    <row r="20" spans="1:19">
      <c r="A20">
        <v>19</v>
      </c>
      <c r="B20" t="s">
        <v>57</v>
      </c>
      <c r="C20">
        <v>469.34030000000001</v>
      </c>
      <c r="D20">
        <v>217.7</v>
      </c>
      <c r="E20">
        <v>-0.81625718771556399</v>
      </c>
      <c r="F20" t="s">
        <v>18</v>
      </c>
      <c r="G20" t="s">
        <v>19</v>
      </c>
      <c r="H20">
        <v>1</v>
      </c>
      <c r="I20" t="s">
        <v>20</v>
      </c>
      <c r="J20" t="s">
        <v>19</v>
      </c>
      <c r="K20">
        <v>1</v>
      </c>
      <c r="L20" t="s">
        <v>21</v>
      </c>
      <c r="M20" t="s">
        <v>19</v>
      </c>
      <c r="N20">
        <v>0.83</v>
      </c>
      <c r="O20" t="s">
        <v>28</v>
      </c>
      <c r="P20" t="s">
        <v>19</v>
      </c>
      <c r="Q20">
        <v>0.79100000000000004</v>
      </c>
      <c r="R20" t="s">
        <v>23</v>
      </c>
      <c r="S20">
        <v>4</v>
      </c>
    </row>
    <row r="21" spans="1:19">
      <c r="A21">
        <v>20</v>
      </c>
      <c r="B21" t="s">
        <v>58</v>
      </c>
      <c r="C21">
        <v>1643.9476</v>
      </c>
      <c r="D21">
        <v>324.67</v>
      </c>
      <c r="E21">
        <v>-0.112047153691492</v>
      </c>
      <c r="F21" t="s">
        <v>18</v>
      </c>
      <c r="G21" t="s">
        <v>19</v>
      </c>
      <c r="H21">
        <v>1</v>
      </c>
      <c r="I21" t="s">
        <v>34</v>
      </c>
      <c r="J21" t="s">
        <v>19</v>
      </c>
      <c r="K21">
        <v>1</v>
      </c>
      <c r="L21" t="s">
        <v>35</v>
      </c>
      <c r="M21" t="s">
        <v>19</v>
      </c>
      <c r="N21">
        <v>1</v>
      </c>
      <c r="O21" t="s">
        <v>36</v>
      </c>
      <c r="P21" t="s">
        <v>19</v>
      </c>
      <c r="Q21">
        <v>1</v>
      </c>
      <c r="R21" t="s">
        <v>23</v>
      </c>
      <c r="S21">
        <v>4</v>
      </c>
    </row>
    <row r="22" spans="1:19">
      <c r="A22">
        <v>21</v>
      </c>
      <c r="B22" t="s">
        <v>59</v>
      </c>
      <c r="C22">
        <v>330.08589999999998</v>
      </c>
      <c r="D22">
        <v>171.3</v>
      </c>
      <c r="E22">
        <v>-0.71734195516245303</v>
      </c>
      <c r="F22" t="s">
        <v>18</v>
      </c>
      <c r="G22" t="s">
        <v>19</v>
      </c>
      <c r="H22">
        <v>1</v>
      </c>
      <c r="I22" t="s">
        <v>45</v>
      </c>
      <c r="J22" t="s">
        <v>19</v>
      </c>
      <c r="K22">
        <v>0.7</v>
      </c>
      <c r="L22" t="s">
        <v>46</v>
      </c>
      <c r="M22" t="s">
        <v>19</v>
      </c>
      <c r="N22">
        <v>1</v>
      </c>
      <c r="O22" t="s">
        <v>47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60</v>
      </c>
      <c r="C23">
        <v>231.11439999999999</v>
      </c>
      <c r="D23">
        <v>155.9</v>
      </c>
      <c r="E23">
        <v>-0.85634877334112502</v>
      </c>
      <c r="F23" t="s">
        <v>18</v>
      </c>
      <c r="G23" t="s">
        <v>19</v>
      </c>
      <c r="H23">
        <v>1</v>
      </c>
      <c r="I23" t="s">
        <v>61</v>
      </c>
      <c r="J23" t="s">
        <v>19</v>
      </c>
      <c r="K23">
        <v>0.87</v>
      </c>
      <c r="L23" t="s">
        <v>62</v>
      </c>
      <c r="M23" t="s">
        <v>19</v>
      </c>
      <c r="N23">
        <v>0.81</v>
      </c>
      <c r="O23" t="s">
        <v>63</v>
      </c>
      <c r="P23" t="s">
        <v>19</v>
      </c>
      <c r="Q23">
        <v>0.79700000000000004</v>
      </c>
      <c r="R23" t="s">
        <v>23</v>
      </c>
      <c r="S23">
        <v>4</v>
      </c>
    </row>
    <row r="24" spans="1:19">
      <c r="A24">
        <v>23</v>
      </c>
      <c r="B24" t="s">
        <v>64</v>
      </c>
      <c r="C24">
        <v>377.23039999999997</v>
      </c>
      <c r="D24">
        <v>197.8</v>
      </c>
      <c r="E24">
        <v>-0.80920267325177497</v>
      </c>
      <c r="F24" t="s">
        <v>18</v>
      </c>
      <c r="G24" t="s">
        <v>19</v>
      </c>
      <c r="H24">
        <v>1</v>
      </c>
      <c r="I24" t="s">
        <v>20</v>
      </c>
      <c r="J24" t="s">
        <v>19</v>
      </c>
      <c r="K24">
        <v>1</v>
      </c>
      <c r="L24" t="s">
        <v>25</v>
      </c>
      <c r="M24" t="s">
        <v>19</v>
      </c>
      <c r="N24">
        <v>0.98</v>
      </c>
      <c r="O24" t="s">
        <v>43</v>
      </c>
      <c r="P24" t="s">
        <v>19</v>
      </c>
      <c r="Q24">
        <v>0.90200000000000002</v>
      </c>
      <c r="R24" t="s">
        <v>23</v>
      </c>
      <c r="S24">
        <v>4</v>
      </c>
    </row>
    <row r="25" spans="1:19">
      <c r="A25">
        <v>24</v>
      </c>
      <c r="B25" t="s">
        <v>65</v>
      </c>
      <c r="C25">
        <v>549.28120000000001</v>
      </c>
      <c r="D25">
        <v>218.2</v>
      </c>
      <c r="E25">
        <v>-0.667899022472625</v>
      </c>
      <c r="F25" t="s">
        <v>18</v>
      </c>
      <c r="G25" t="s">
        <v>19</v>
      </c>
      <c r="H25">
        <v>1</v>
      </c>
      <c r="I25" t="s">
        <v>39</v>
      </c>
      <c r="J25" t="s">
        <v>19</v>
      </c>
      <c r="K25">
        <v>0.92</v>
      </c>
      <c r="L25" t="s">
        <v>40</v>
      </c>
      <c r="M25" t="s">
        <v>19</v>
      </c>
      <c r="N25">
        <v>1</v>
      </c>
      <c r="O25" t="s">
        <v>41</v>
      </c>
      <c r="P25" t="s">
        <v>19</v>
      </c>
      <c r="Q25">
        <v>1</v>
      </c>
      <c r="R25" t="s">
        <v>23</v>
      </c>
      <c r="S25">
        <v>4</v>
      </c>
    </row>
    <row r="26" spans="1:19">
      <c r="A26">
        <v>25</v>
      </c>
      <c r="B26" t="s">
        <v>66</v>
      </c>
      <c r="C26">
        <v>377.23039999999997</v>
      </c>
      <c r="D26">
        <v>204.4</v>
      </c>
      <c r="E26">
        <v>-0.80920267325177497</v>
      </c>
      <c r="F26" t="s">
        <v>18</v>
      </c>
      <c r="G26" t="s">
        <v>19</v>
      </c>
      <c r="H26">
        <v>1</v>
      </c>
      <c r="I26" t="s">
        <v>20</v>
      </c>
      <c r="J26" t="s">
        <v>19</v>
      </c>
      <c r="K26">
        <v>1</v>
      </c>
      <c r="L26" t="s">
        <v>25</v>
      </c>
      <c r="M26" t="s">
        <v>19</v>
      </c>
      <c r="N26">
        <v>0.87</v>
      </c>
      <c r="O26" t="s">
        <v>43</v>
      </c>
      <c r="P26" t="s">
        <v>19</v>
      </c>
      <c r="Q26">
        <v>0.996</v>
      </c>
      <c r="R26" t="s">
        <v>23</v>
      </c>
      <c r="S26">
        <v>4</v>
      </c>
    </row>
    <row r="27" spans="1:19">
      <c r="A27">
        <v>26</v>
      </c>
      <c r="B27" t="s">
        <v>67</v>
      </c>
      <c r="C27">
        <v>171.02979999999999</v>
      </c>
      <c r="D27">
        <v>132.19999999999999</v>
      </c>
      <c r="E27">
        <v>-0.83883634872938695</v>
      </c>
      <c r="F27" t="s">
        <v>18</v>
      </c>
      <c r="G27" t="s">
        <v>19</v>
      </c>
      <c r="H27">
        <v>1</v>
      </c>
      <c r="I27" t="s">
        <v>45</v>
      </c>
      <c r="J27" t="s">
        <v>19</v>
      </c>
      <c r="K27">
        <v>0.63</v>
      </c>
      <c r="L27" t="s">
        <v>46</v>
      </c>
      <c r="M27" t="s">
        <v>19</v>
      </c>
      <c r="N27">
        <v>1</v>
      </c>
      <c r="O27" t="s">
        <v>68</v>
      </c>
      <c r="P27" t="s">
        <v>19</v>
      </c>
      <c r="Q27">
        <v>0.55200000000000005</v>
      </c>
      <c r="R27" t="s">
        <v>23</v>
      </c>
      <c r="S27">
        <v>4</v>
      </c>
    </row>
    <row r="28" spans="1:19">
      <c r="A28">
        <v>27</v>
      </c>
      <c r="B28" t="s">
        <v>69</v>
      </c>
      <c r="C28">
        <v>756.45100000000002</v>
      </c>
      <c r="D28">
        <v>265.3</v>
      </c>
      <c r="E28">
        <v>-0.60638318487588105</v>
      </c>
      <c r="F28" t="s">
        <v>18</v>
      </c>
      <c r="G28" t="s">
        <v>19</v>
      </c>
      <c r="H28">
        <v>1</v>
      </c>
      <c r="I28" t="s">
        <v>45</v>
      </c>
      <c r="J28" t="s">
        <v>19</v>
      </c>
      <c r="K28">
        <v>0.69</v>
      </c>
      <c r="L28" t="s">
        <v>46</v>
      </c>
      <c r="M28" t="s">
        <v>19</v>
      </c>
      <c r="N28">
        <v>1</v>
      </c>
      <c r="O28" t="s">
        <v>47</v>
      </c>
      <c r="P28" t="s">
        <v>19</v>
      </c>
      <c r="Q28">
        <v>1</v>
      </c>
      <c r="R28" t="s">
        <v>23</v>
      </c>
      <c r="S28">
        <v>4</v>
      </c>
    </row>
    <row r="29" spans="1:19">
      <c r="A29">
        <v>28</v>
      </c>
      <c r="B29" t="s">
        <v>70</v>
      </c>
      <c r="C29">
        <v>258.03789999999998</v>
      </c>
      <c r="D29">
        <v>150.30000000000001</v>
      </c>
      <c r="E29">
        <v>-0.74978728776972003</v>
      </c>
      <c r="F29" t="s">
        <v>18</v>
      </c>
      <c r="G29" t="s">
        <v>19</v>
      </c>
      <c r="H29">
        <v>1</v>
      </c>
      <c r="I29" t="s">
        <v>45</v>
      </c>
      <c r="J29" t="s">
        <v>19</v>
      </c>
      <c r="K29">
        <v>0.86</v>
      </c>
      <c r="L29" t="s">
        <v>46</v>
      </c>
      <c r="M29" t="s">
        <v>19</v>
      </c>
      <c r="N29">
        <v>1</v>
      </c>
      <c r="O29" t="s">
        <v>47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71</v>
      </c>
      <c r="C30">
        <v>402.99560000000002</v>
      </c>
      <c r="D30">
        <v>172.9</v>
      </c>
      <c r="E30">
        <v>-0.54563448976733797</v>
      </c>
      <c r="F30" t="s">
        <v>18</v>
      </c>
      <c r="G30" t="s">
        <v>19</v>
      </c>
      <c r="H30">
        <v>1</v>
      </c>
      <c r="I30" t="s">
        <v>72</v>
      </c>
      <c r="J30" t="s">
        <v>19</v>
      </c>
      <c r="K30">
        <v>0.9</v>
      </c>
      <c r="L30" t="s">
        <v>73</v>
      </c>
      <c r="M30" t="s">
        <v>19</v>
      </c>
      <c r="N30">
        <v>0.94</v>
      </c>
      <c r="O30" t="s">
        <v>74</v>
      </c>
      <c r="P30" t="s">
        <v>19</v>
      </c>
      <c r="Q30">
        <v>0.996</v>
      </c>
      <c r="R30" t="s">
        <v>23</v>
      </c>
      <c r="S30">
        <v>4</v>
      </c>
    </row>
    <row r="31" spans="1:19">
      <c r="A31">
        <v>30</v>
      </c>
      <c r="B31" t="s">
        <v>75</v>
      </c>
      <c r="C31">
        <v>152.06710000000001</v>
      </c>
      <c r="D31">
        <v>138.69999999999999</v>
      </c>
      <c r="E31">
        <v>-0.897309187789887</v>
      </c>
      <c r="F31" t="s">
        <v>18</v>
      </c>
      <c r="G31" t="s">
        <v>19</v>
      </c>
      <c r="H31">
        <v>1</v>
      </c>
      <c r="I31" t="s">
        <v>39</v>
      </c>
      <c r="J31" t="s">
        <v>19</v>
      </c>
      <c r="K31">
        <v>0.88</v>
      </c>
      <c r="L31" t="s">
        <v>40</v>
      </c>
      <c r="M31" t="s">
        <v>19</v>
      </c>
      <c r="N31">
        <v>1</v>
      </c>
      <c r="O31" t="s">
        <v>41</v>
      </c>
      <c r="P31" t="s">
        <v>19</v>
      </c>
      <c r="Q31">
        <v>1</v>
      </c>
      <c r="R31" t="s">
        <v>23</v>
      </c>
      <c r="S31">
        <v>4</v>
      </c>
    </row>
    <row r="32" spans="1:19">
      <c r="A32">
        <v>31</v>
      </c>
      <c r="B32" t="s">
        <v>76</v>
      </c>
      <c r="C32">
        <v>496.70229999999998</v>
      </c>
      <c r="D32">
        <v>176.9</v>
      </c>
      <c r="E32">
        <v>-0.14770609412795499</v>
      </c>
      <c r="F32" t="s">
        <v>18</v>
      </c>
      <c r="G32" t="s">
        <v>19</v>
      </c>
      <c r="H32">
        <v>1</v>
      </c>
      <c r="I32" t="s">
        <v>77</v>
      </c>
      <c r="J32" t="s">
        <v>19</v>
      </c>
      <c r="K32">
        <v>1</v>
      </c>
      <c r="L32" t="s">
        <v>78</v>
      </c>
      <c r="M32" t="s">
        <v>19</v>
      </c>
      <c r="N32">
        <v>1</v>
      </c>
      <c r="O32" t="s">
        <v>79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80</v>
      </c>
      <c r="C33">
        <v>1959.9023999999999</v>
      </c>
      <c r="D33">
        <v>357.23</v>
      </c>
      <c r="E33">
        <v>-0.71406721566609099</v>
      </c>
      <c r="F33" t="s">
        <v>18</v>
      </c>
      <c r="G33" t="s">
        <v>19</v>
      </c>
      <c r="H33">
        <v>1</v>
      </c>
      <c r="I33" t="s">
        <v>34</v>
      </c>
      <c r="J33" t="s">
        <v>19</v>
      </c>
      <c r="K33">
        <v>0.99</v>
      </c>
      <c r="L33" t="s">
        <v>35</v>
      </c>
      <c r="M33" t="s">
        <v>19</v>
      </c>
      <c r="N33">
        <v>0.99</v>
      </c>
      <c r="O33" t="s">
        <v>36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81</v>
      </c>
      <c r="C34">
        <v>271.09699999999998</v>
      </c>
      <c r="D34">
        <v>163.19999999999999</v>
      </c>
      <c r="E34">
        <v>-0.79430612461385397</v>
      </c>
      <c r="F34" t="s">
        <v>18</v>
      </c>
      <c r="G34" t="s">
        <v>19</v>
      </c>
      <c r="H34">
        <v>1</v>
      </c>
      <c r="I34" t="s">
        <v>82</v>
      </c>
      <c r="J34" t="s">
        <v>19</v>
      </c>
      <c r="K34">
        <v>0.62</v>
      </c>
      <c r="L34" t="s">
        <v>83</v>
      </c>
      <c r="M34" t="s">
        <v>19</v>
      </c>
      <c r="N34">
        <v>0.91</v>
      </c>
      <c r="O34" t="s">
        <v>84</v>
      </c>
      <c r="P34" t="s">
        <v>19</v>
      </c>
      <c r="Q34">
        <v>0.99099999999999999</v>
      </c>
      <c r="R34" t="s">
        <v>23</v>
      </c>
      <c r="S34">
        <v>4</v>
      </c>
    </row>
    <row r="35" spans="1:19">
      <c r="A35">
        <v>34</v>
      </c>
      <c r="B35" t="s">
        <v>85</v>
      </c>
      <c r="C35">
        <v>132.0652</v>
      </c>
      <c r="D35">
        <v>128.4</v>
      </c>
      <c r="E35">
        <v>-0.91774234760384799</v>
      </c>
      <c r="F35" t="s">
        <v>18</v>
      </c>
      <c r="G35" t="s">
        <v>19</v>
      </c>
      <c r="H35">
        <v>1</v>
      </c>
      <c r="I35" t="s">
        <v>39</v>
      </c>
      <c r="J35" t="s">
        <v>19</v>
      </c>
      <c r="K35">
        <v>0.93</v>
      </c>
      <c r="L35" t="s">
        <v>40</v>
      </c>
      <c r="M35" t="s">
        <v>19</v>
      </c>
      <c r="N35">
        <v>1</v>
      </c>
      <c r="O35" t="s">
        <v>41</v>
      </c>
      <c r="P35" t="s">
        <v>19</v>
      </c>
      <c r="Q35">
        <v>1</v>
      </c>
      <c r="R35" t="s">
        <v>23</v>
      </c>
      <c r="S35">
        <v>4</v>
      </c>
    </row>
    <row r="36" spans="1:19">
      <c r="A36">
        <v>35</v>
      </c>
      <c r="B36" t="s">
        <v>86</v>
      </c>
      <c r="C36">
        <v>259.02280000000002</v>
      </c>
      <c r="D36">
        <v>146.19999999999999</v>
      </c>
      <c r="E36">
        <v>-0.73358759578542299</v>
      </c>
      <c r="F36" t="s">
        <v>18</v>
      </c>
      <c r="G36" t="s">
        <v>19</v>
      </c>
      <c r="H36">
        <v>1</v>
      </c>
      <c r="I36" t="s">
        <v>45</v>
      </c>
      <c r="J36" t="s">
        <v>19</v>
      </c>
      <c r="K36">
        <v>1</v>
      </c>
      <c r="L36" t="s">
        <v>46</v>
      </c>
      <c r="M36" t="s">
        <v>19</v>
      </c>
      <c r="N36">
        <v>1</v>
      </c>
      <c r="O36" t="s">
        <v>47</v>
      </c>
      <c r="P36" t="s">
        <v>19</v>
      </c>
      <c r="Q36">
        <v>1</v>
      </c>
      <c r="R36" t="s">
        <v>23</v>
      </c>
      <c r="S36">
        <v>4</v>
      </c>
    </row>
    <row r="37" spans="1:19">
      <c r="A37">
        <v>36</v>
      </c>
      <c r="B37" t="s">
        <v>87</v>
      </c>
      <c r="C37">
        <v>251.0684</v>
      </c>
      <c r="D37">
        <v>149.1</v>
      </c>
      <c r="E37">
        <v>-0.78806909636406897</v>
      </c>
      <c r="F37" t="s">
        <v>18</v>
      </c>
      <c r="G37" t="s">
        <v>19</v>
      </c>
      <c r="H37">
        <v>1</v>
      </c>
      <c r="I37" t="s">
        <v>39</v>
      </c>
      <c r="J37" t="s">
        <v>19</v>
      </c>
      <c r="K37">
        <v>0.7</v>
      </c>
      <c r="L37" t="s">
        <v>40</v>
      </c>
      <c r="M37" t="s">
        <v>19</v>
      </c>
      <c r="N37">
        <v>1</v>
      </c>
      <c r="O37" t="s">
        <v>88</v>
      </c>
      <c r="P37" t="s">
        <v>19</v>
      </c>
      <c r="Q37">
        <v>0.59</v>
      </c>
      <c r="R37" t="s">
        <v>23</v>
      </c>
      <c r="S37">
        <v>4</v>
      </c>
    </row>
    <row r="38" spans="1:19">
      <c r="A38">
        <v>37</v>
      </c>
      <c r="B38" t="s">
        <v>89</v>
      </c>
      <c r="C38">
        <v>186.01939999999999</v>
      </c>
      <c r="D38">
        <v>140.9</v>
      </c>
      <c r="E38">
        <v>-0.81169968209533705</v>
      </c>
      <c r="F38" t="s">
        <v>18</v>
      </c>
      <c r="G38" t="s">
        <v>19</v>
      </c>
      <c r="H38">
        <v>1</v>
      </c>
      <c r="I38" t="s">
        <v>39</v>
      </c>
      <c r="J38" t="s">
        <v>19</v>
      </c>
      <c r="K38">
        <v>0.74</v>
      </c>
      <c r="L38" t="s">
        <v>40</v>
      </c>
      <c r="M38" t="s">
        <v>19</v>
      </c>
      <c r="N38">
        <v>1</v>
      </c>
      <c r="O38" t="s">
        <v>41</v>
      </c>
      <c r="P38" t="s">
        <v>19</v>
      </c>
      <c r="Q38">
        <v>0.94599999999999995</v>
      </c>
      <c r="R38" t="s">
        <v>23</v>
      </c>
      <c r="S38">
        <v>4</v>
      </c>
    </row>
    <row r="39" spans="1:19">
      <c r="A39">
        <v>38</v>
      </c>
      <c r="B39" t="s">
        <v>90</v>
      </c>
      <c r="C39">
        <v>860.64430000000004</v>
      </c>
      <c r="D39">
        <v>299</v>
      </c>
      <c r="E39">
        <v>-0.683345955890445</v>
      </c>
      <c r="F39" t="s">
        <v>18</v>
      </c>
      <c r="G39" t="s">
        <v>19</v>
      </c>
      <c r="H39">
        <v>1</v>
      </c>
      <c r="I39" t="s">
        <v>20</v>
      </c>
      <c r="J39" t="s">
        <v>19</v>
      </c>
      <c r="K39">
        <v>1</v>
      </c>
      <c r="L39" t="s">
        <v>30</v>
      </c>
      <c r="M39" t="s">
        <v>19</v>
      </c>
      <c r="N39">
        <v>0.61</v>
      </c>
      <c r="O39" t="s">
        <v>91</v>
      </c>
      <c r="P39" t="s">
        <v>19</v>
      </c>
      <c r="Q39">
        <v>0.95299999999999996</v>
      </c>
      <c r="R39" t="s">
        <v>23</v>
      </c>
      <c r="S39">
        <v>4</v>
      </c>
    </row>
    <row r="40" spans="1:19">
      <c r="A40">
        <v>39</v>
      </c>
      <c r="B40" t="s">
        <v>92</v>
      </c>
      <c r="C40">
        <v>814.53380000000004</v>
      </c>
      <c r="D40">
        <v>287.60000000000002</v>
      </c>
      <c r="E40">
        <v>-0.62433072311773696</v>
      </c>
      <c r="F40" t="s">
        <v>18</v>
      </c>
      <c r="G40" t="s">
        <v>19</v>
      </c>
      <c r="H40">
        <v>1</v>
      </c>
      <c r="I40" t="s">
        <v>20</v>
      </c>
      <c r="J40" t="s">
        <v>19</v>
      </c>
      <c r="K40">
        <v>1</v>
      </c>
      <c r="L40" t="s">
        <v>21</v>
      </c>
      <c r="M40" t="s">
        <v>19</v>
      </c>
      <c r="N40">
        <v>1</v>
      </c>
      <c r="O40" t="s">
        <v>28</v>
      </c>
      <c r="P40" t="s">
        <v>19</v>
      </c>
      <c r="Q40">
        <v>0.68100000000000005</v>
      </c>
      <c r="R40" t="s">
        <v>23</v>
      </c>
      <c r="S40">
        <v>4</v>
      </c>
    </row>
    <row r="41" spans="1:19">
      <c r="A41">
        <v>40</v>
      </c>
      <c r="B41" t="s">
        <v>93</v>
      </c>
      <c r="C41">
        <v>782.65099999999995</v>
      </c>
      <c r="D41">
        <v>295.10000000000002</v>
      </c>
      <c r="E41">
        <v>-0.77712952461729401</v>
      </c>
      <c r="F41" t="s">
        <v>18</v>
      </c>
      <c r="G41" t="s">
        <v>19</v>
      </c>
      <c r="H41">
        <v>1</v>
      </c>
      <c r="I41" t="s">
        <v>20</v>
      </c>
      <c r="J41" t="s">
        <v>19</v>
      </c>
      <c r="K41">
        <v>1</v>
      </c>
      <c r="L41" t="s">
        <v>30</v>
      </c>
      <c r="M41" t="s">
        <v>19</v>
      </c>
      <c r="N41">
        <v>1</v>
      </c>
      <c r="O41" t="s">
        <v>91</v>
      </c>
      <c r="P41" t="s">
        <v>19</v>
      </c>
      <c r="Q41">
        <v>0.85299999999999998</v>
      </c>
      <c r="R41" t="s">
        <v>23</v>
      </c>
      <c r="S41">
        <v>4</v>
      </c>
    </row>
    <row r="42" spans="1:19">
      <c r="A42">
        <v>41</v>
      </c>
      <c r="B42" t="s">
        <v>94</v>
      </c>
      <c r="C42">
        <v>462.11500000000001</v>
      </c>
      <c r="D42">
        <v>201.3</v>
      </c>
      <c r="E42">
        <v>-0.59902461029059895</v>
      </c>
      <c r="F42" t="s">
        <v>18</v>
      </c>
      <c r="G42" t="s">
        <v>19</v>
      </c>
      <c r="H42">
        <v>0.99399999999999999</v>
      </c>
      <c r="I42" t="s">
        <v>39</v>
      </c>
      <c r="J42" t="s">
        <v>19</v>
      </c>
      <c r="K42">
        <v>0.81</v>
      </c>
      <c r="L42" t="s">
        <v>40</v>
      </c>
      <c r="M42" t="s">
        <v>19</v>
      </c>
      <c r="N42">
        <v>1</v>
      </c>
      <c r="O42" t="s">
        <v>41</v>
      </c>
      <c r="P42" t="s">
        <v>19</v>
      </c>
      <c r="Q42">
        <v>1</v>
      </c>
      <c r="R42" t="s">
        <v>23</v>
      </c>
      <c r="S42">
        <v>4</v>
      </c>
    </row>
    <row r="43" spans="1:19">
      <c r="A43">
        <v>42</v>
      </c>
      <c r="B43" t="s">
        <v>95</v>
      </c>
      <c r="C43">
        <v>744.55430000000001</v>
      </c>
      <c r="D43">
        <v>279.10000000000002</v>
      </c>
      <c r="E43">
        <v>-0.72296646808194998</v>
      </c>
      <c r="F43" t="s">
        <v>18</v>
      </c>
      <c r="G43" t="s">
        <v>19</v>
      </c>
      <c r="H43">
        <v>1</v>
      </c>
      <c r="I43" t="s">
        <v>20</v>
      </c>
      <c r="J43" t="s">
        <v>19</v>
      </c>
      <c r="K43">
        <v>0.98</v>
      </c>
      <c r="L43" t="s">
        <v>21</v>
      </c>
      <c r="M43" t="s">
        <v>19</v>
      </c>
      <c r="N43">
        <v>1</v>
      </c>
      <c r="O43" t="s">
        <v>28</v>
      </c>
      <c r="P43" t="s">
        <v>19</v>
      </c>
      <c r="Q43">
        <v>0.89300000000000002</v>
      </c>
      <c r="R43" t="s">
        <v>23</v>
      </c>
      <c r="S43">
        <v>4</v>
      </c>
    </row>
    <row r="44" spans="1:19">
      <c r="A44">
        <v>43</v>
      </c>
      <c r="B44" t="s">
        <v>96</v>
      </c>
      <c r="C44">
        <v>1142.1866</v>
      </c>
      <c r="D44">
        <v>204.3</v>
      </c>
      <c r="E44">
        <v>-0.91128936075256195</v>
      </c>
      <c r="F44" t="s">
        <v>97</v>
      </c>
      <c r="G44" t="s">
        <v>19</v>
      </c>
      <c r="H44">
        <v>0.78600000000000003</v>
      </c>
      <c r="I44" t="s">
        <v>98</v>
      </c>
      <c r="J44" t="s">
        <v>19</v>
      </c>
      <c r="K44">
        <v>0.98</v>
      </c>
      <c r="L44" t="s">
        <v>99</v>
      </c>
      <c r="M44" t="s">
        <v>19</v>
      </c>
      <c r="N44">
        <v>1</v>
      </c>
      <c r="O44" t="s">
        <v>100</v>
      </c>
      <c r="P44" t="s">
        <v>19</v>
      </c>
      <c r="Q44">
        <v>0.999</v>
      </c>
      <c r="R44" t="s">
        <v>23</v>
      </c>
      <c r="S44">
        <v>4</v>
      </c>
    </row>
    <row r="45" spans="1:19">
      <c r="A45">
        <v>44</v>
      </c>
      <c r="B45" t="s">
        <v>101</v>
      </c>
      <c r="C45">
        <v>305.24860000000001</v>
      </c>
      <c r="D45">
        <v>182.6</v>
      </c>
      <c r="E45">
        <v>-0.90777409012207499</v>
      </c>
      <c r="F45" t="s">
        <v>18</v>
      </c>
      <c r="G45" t="s">
        <v>19</v>
      </c>
      <c r="H45">
        <v>1</v>
      </c>
      <c r="I45" t="s">
        <v>20</v>
      </c>
      <c r="J45" t="s">
        <v>19</v>
      </c>
      <c r="K45">
        <v>0.99</v>
      </c>
      <c r="L45" t="s">
        <v>25</v>
      </c>
      <c r="M45" t="s">
        <v>19</v>
      </c>
      <c r="N45">
        <v>1</v>
      </c>
      <c r="O45" t="s">
        <v>26</v>
      </c>
      <c r="P45" t="s">
        <v>19</v>
      </c>
      <c r="Q45">
        <v>0.995</v>
      </c>
      <c r="R45" t="s">
        <v>23</v>
      </c>
      <c r="S45">
        <v>4</v>
      </c>
    </row>
    <row r="46" spans="1:19">
      <c r="A46">
        <v>45</v>
      </c>
      <c r="B46" t="s">
        <v>102</v>
      </c>
      <c r="C46">
        <v>196.09440000000001</v>
      </c>
      <c r="D46">
        <v>150.1</v>
      </c>
      <c r="E46">
        <v>-0.87545042151882102</v>
      </c>
      <c r="F46" t="s">
        <v>18</v>
      </c>
      <c r="G46" t="s">
        <v>19</v>
      </c>
      <c r="H46">
        <v>1</v>
      </c>
      <c r="I46" t="s">
        <v>39</v>
      </c>
      <c r="J46" t="s">
        <v>19</v>
      </c>
      <c r="K46">
        <v>0.83</v>
      </c>
      <c r="L46" t="s">
        <v>40</v>
      </c>
      <c r="M46" t="s">
        <v>19</v>
      </c>
      <c r="N46">
        <v>1</v>
      </c>
      <c r="O46" t="s">
        <v>41</v>
      </c>
      <c r="P46" t="s">
        <v>19</v>
      </c>
      <c r="Q46">
        <v>0.996</v>
      </c>
      <c r="R46" t="s">
        <v>23</v>
      </c>
      <c r="S46">
        <v>4</v>
      </c>
    </row>
    <row r="47" spans="1:19">
      <c r="A47">
        <v>46</v>
      </c>
      <c r="B47" t="s">
        <v>103</v>
      </c>
      <c r="C47">
        <v>172.88399999999999</v>
      </c>
      <c r="D47">
        <v>136.80000000000001</v>
      </c>
      <c r="E47">
        <v>-0.69096603816251401</v>
      </c>
      <c r="F47" t="s">
        <v>97</v>
      </c>
      <c r="G47" t="s">
        <v>19</v>
      </c>
      <c r="H47">
        <v>0.61</v>
      </c>
      <c r="I47" t="s">
        <v>98</v>
      </c>
      <c r="J47" t="s">
        <v>19</v>
      </c>
      <c r="K47">
        <v>0.56999999999999995</v>
      </c>
      <c r="L47" t="s">
        <v>99</v>
      </c>
      <c r="M47" t="s">
        <v>19</v>
      </c>
      <c r="N47">
        <v>0.99</v>
      </c>
      <c r="O47" t="s">
        <v>100</v>
      </c>
      <c r="P47" t="s">
        <v>19</v>
      </c>
      <c r="Q47">
        <v>0.98499999999999999</v>
      </c>
      <c r="R47" t="s">
        <v>23</v>
      </c>
      <c r="S47">
        <v>4</v>
      </c>
    </row>
    <row r="48" spans="1:19">
      <c r="A48">
        <v>47</v>
      </c>
      <c r="B48" t="s">
        <v>104</v>
      </c>
      <c r="C48">
        <v>524.37159999999994</v>
      </c>
      <c r="D48">
        <v>238.8</v>
      </c>
      <c r="E48">
        <v>-0.78611188413583499</v>
      </c>
      <c r="F48" t="s">
        <v>18</v>
      </c>
      <c r="G48" t="s">
        <v>19</v>
      </c>
      <c r="H48">
        <v>1</v>
      </c>
      <c r="I48" t="s">
        <v>20</v>
      </c>
      <c r="J48" t="s">
        <v>19</v>
      </c>
      <c r="K48">
        <v>1</v>
      </c>
      <c r="L48" t="s">
        <v>21</v>
      </c>
      <c r="M48" t="s">
        <v>19</v>
      </c>
      <c r="N48">
        <v>1</v>
      </c>
      <c r="O48" t="s">
        <v>22</v>
      </c>
      <c r="P48" t="s">
        <v>19</v>
      </c>
      <c r="Q48">
        <v>0.997</v>
      </c>
      <c r="R48" t="s">
        <v>23</v>
      </c>
      <c r="S48">
        <v>4</v>
      </c>
    </row>
    <row r="49" spans="1:19">
      <c r="A49">
        <v>48</v>
      </c>
      <c r="B49" t="s">
        <v>105</v>
      </c>
      <c r="C49">
        <v>487.1</v>
      </c>
      <c r="D49">
        <v>205.9</v>
      </c>
      <c r="E49">
        <v>-0.55612756061276503</v>
      </c>
      <c r="F49" t="s">
        <v>18</v>
      </c>
      <c r="G49" t="s">
        <v>19</v>
      </c>
      <c r="H49">
        <v>1</v>
      </c>
      <c r="I49" t="s">
        <v>72</v>
      </c>
      <c r="J49" t="s">
        <v>19</v>
      </c>
      <c r="K49">
        <v>0.98</v>
      </c>
      <c r="L49" t="s">
        <v>73</v>
      </c>
      <c r="M49" t="s">
        <v>19</v>
      </c>
      <c r="N49">
        <v>0.92</v>
      </c>
      <c r="O49" t="s">
        <v>74</v>
      </c>
      <c r="P49" t="s">
        <v>19</v>
      </c>
      <c r="Q49">
        <v>0.99399999999999999</v>
      </c>
      <c r="R49" t="s">
        <v>23</v>
      </c>
      <c r="S49">
        <v>4</v>
      </c>
    </row>
    <row r="50" spans="1:19">
      <c r="A50">
        <v>49</v>
      </c>
      <c r="B50" t="s">
        <v>106</v>
      </c>
      <c r="C50">
        <v>705.39689999999996</v>
      </c>
      <c r="D50">
        <v>261.39999999999998</v>
      </c>
      <c r="E50">
        <v>-0.60928773816624504</v>
      </c>
      <c r="F50" t="s">
        <v>18</v>
      </c>
      <c r="G50" t="s">
        <v>19</v>
      </c>
      <c r="H50">
        <v>1</v>
      </c>
      <c r="I50" t="s">
        <v>39</v>
      </c>
      <c r="J50" t="s">
        <v>19</v>
      </c>
      <c r="K50">
        <v>0.84</v>
      </c>
      <c r="L50" t="s">
        <v>40</v>
      </c>
      <c r="M50" t="s">
        <v>19</v>
      </c>
      <c r="N50">
        <v>1</v>
      </c>
      <c r="O50" t="s">
        <v>41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50</v>
      </c>
      <c r="B51" t="s">
        <v>107</v>
      </c>
      <c r="C51">
        <v>547.33299999999997</v>
      </c>
      <c r="D51">
        <v>230.2</v>
      </c>
      <c r="E51">
        <v>-0.72187428891982097</v>
      </c>
      <c r="F51" t="s">
        <v>18</v>
      </c>
      <c r="G51" t="s">
        <v>19</v>
      </c>
      <c r="H51">
        <v>1</v>
      </c>
      <c r="I51" t="s">
        <v>39</v>
      </c>
      <c r="J51" t="s">
        <v>19</v>
      </c>
      <c r="K51">
        <v>0.77</v>
      </c>
      <c r="L51" t="s">
        <v>40</v>
      </c>
      <c r="M51" t="s">
        <v>19</v>
      </c>
      <c r="N51">
        <v>1</v>
      </c>
      <c r="O51" t="s">
        <v>41</v>
      </c>
      <c r="P51" t="s">
        <v>19</v>
      </c>
      <c r="Q51">
        <v>1</v>
      </c>
      <c r="R51" t="s">
        <v>23</v>
      </c>
      <c r="S51">
        <v>4</v>
      </c>
    </row>
    <row r="52" spans="1:19">
      <c r="A52">
        <v>51</v>
      </c>
      <c r="B52" t="s">
        <v>50</v>
      </c>
      <c r="C52">
        <v>367.22489999999999</v>
      </c>
      <c r="D52">
        <v>188.9</v>
      </c>
      <c r="E52">
        <v>-0.81487433347001603</v>
      </c>
      <c r="F52" t="s">
        <v>18</v>
      </c>
      <c r="G52" t="s">
        <v>19</v>
      </c>
      <c r="H52">
        <v>1</v>
      </c>
      <c r="I52" t="s">
        <v>20</v>
      </c>
      <c r="J52" t="s">
        <v>19</v>
      </c>
      <c r="K52">
        <v>1</v>
      </c>
      <c r="L52" t="s">
        <v>25</v>
      </c>
      <c r="M52" t="s">
        <v>19</v>
      </c>
      <c r="N52">
        <v>0.73</v>
      </c>
      <c r="O52" t="s">
        <v>26</v>
      </c>
      <c r="P52" t="s">
        <v>19</v>
      </c>
      <c r="Q52">
        <v>0.83799999999999997</v>
      </c>
      <c r="R52" t="s">
        <v>23</v>
      </c>
      <c r="S52">
        <v>4</v>
      </c>
    </row>
    <row r="53" spans="1:19">
      <c r="A53">
        <v>52</v>
      </c>
      <c r="B53" t="s">
        <v>108</v>
      </c>
      <c r="C53">
        <v>146.04599999999999</v>
      </c>
      <c r="D53">
        <v>127.5</v>
      </c>
      <c r="E53">
        <v>-0.88293205854495205</v>
      </c>
      <c r="F53" t="s">
        <v>18</v>
      </c>
      <c r="G53" t="s">
        <v>19</v>
      </c>
      <c r="H53">
        <v>1</v>
      </c>
      <c r="I53" t="s">
        <v>39</v>
      </c>
      <c r="J53" t="s">
        <v>19</v>
      </c>
      <c r="K53">
        <v>0.91</v>
      </c>
      <c r="L53" t="s">
        <v>40</v>
      </c>
      <c r="M53" t="s">
        <v>19</v>
      </c>
      <c r="N53">
        <v>1</v>
      </c>
      <c r="O53" t="s">
        <v>41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109</v>
      </c>
      <c r="C54">
        <v>306.05090000000001</v>
      </c>
      <c r="D54">
        <v>163.69999999999999</v>
      </c>
      <c r="E54">
        <v>-0.70917828051801701</v>
      </c>
      <c r="F54" t="s">
        <v>18</v>
      </c>
      <c r="G54" t="s">
        <v>19</v>
      </c>
      <c r="H54">
        <v>1</v>
      </c>
      <c r="I54" t="s">
        <v>72</v>
      </c>
      <c r="J54" t="s">
        <v>19</v>
      </c>
      <c r="K54">
        <v>0.84</v>
      </c>
      <c r="L54" t="s">
        <v>73</v>
      </c>
      <c r="M54" t="s">
        <v>19</v>
      </c>
      <c r="N54">
        <v>0.94</v>
      </c>
      <c r="O54" t="s">
        <v>110</v>
      </c>
      <c r="P54" t="s">
        <v>19</v>
      </c>
      <c r="Q54">
        <v>0.96599999999999997</v>
      </c>
      <c r="R54" t="s">
        <v>23</v>
      </c>
      <c r="S54">
        <v>4</v>
      </c>
    </row>
    <row r="55" spans="1:19">
      <c r="A55">
        <v>54</v>
      </c>
      <c r="B55" t="s">
        <v>111</v>
      </c>
      <c r="C55">
        <v>834.62810000000002</v>
      </c>
      <c r="D55">
        <v>295.10000000000002</v>
      </c>
      <c r="E55">
        <v>-0.69619439390646698</v>
      </c>
      <c r="F55" t="s">
        <v>18</v>
      </c>
      <c r="G55" t="s">
        <v>19</v>
      </c>
      <c r="H55">
        <v>1</v>
      </c>
      <c r="I55" t="s">
        <v>20</v>
      </c>
      <c r="J55" t="s">
        <v>19</v>
      </c>
      <c r="K55">
        <v>1</v>
      </c>
      <c r="L55" t="s">
        <v>30</v>
      </c>
      <c r="M55" t="s">
        <v>19</v>
      </c>
      <c r="N55">
        <v>0.81</v>
      </c>
      <c r="O55" t="s">
        <v>91</v>
      </c>
      <c r="P55" t="s">
        <v>19</v>
      </c>
      <c r="Q55">
        <v>0.95099999999999996</v>
      </c>
      <c r="R55" t="s">
        <v>23</v>
      </c>
      <c r="S55">
        <v>4</v>
      </c>
    </row>
    <row r="56" spans="1:19">
      <c r="A56">
        <v>55</v>
      </c>
      <c r="B56" t="s">
        <v>112</v>
      </c>
      <c r="C56">
        <v>828.47450000000003</v>
      </c>
      <c r="D56">
        <v>301.39999999999998</v>
      </c>
      <c r="E56">
        <v>-0.54946520779071795</v>
      </c>
      <c r="F56" t="s">
        <v>18</v>
      </c>
      <c r="G56" t="s">
        <v>19</v>
      </c>
      <c r="H56">
        <v>1</v>
      </c>
      <c r="I56" t="s">
        <v>45</v>
      </c>
      <c r="J56" t="s">
        <v>19</v>
      </c>
      <c r="K56">
        <v>0.89</v>
      </c>
      <c r="L56" t="s">
        <v>46</v>
      </c>
      <c r="M56" t="s">
        <v>19</v>
      </c>
      <c r="N56">
        <v>1</v>
      </c>
      <c r="O56" t="s">
        <v>47</v>
      </c>
      <c r="P56" t="s">
        <v>19</v>
      </c>
      <c r="Q56">
        <v>1</v>
      </c>
      <c r="R56" t="s">
        <v>23</v>
      </c>
      <c r="S56">
        <v>4</v>
      </c>
    </row>
    <row r="57" spans="1:19">
      <c r="A57">
        <v>56</v>
      </c>
      <c r="B57" t="s">
        <v>113</v>
      </c>
      <c r="C57">
        <v>924.49559999999997</v>
      </c>
      <c r="D57">
        <v>336.5</v>
      </c>
      <c r="E57">
        <v>-0.463352664391664</v>
      </c>
      <c r="F57" t="s">
        <v>18</v>
      </c>
      <c r="G57" t="s">
        <v>19</v>
      </c>
      <c r="H57">
        <v>1</v>
      </c>
      <c r="I57" t="s">
        <v>45</v>
      </c>
      <c r="J57" t="s">
        <v>19</v>
      </c>
      <c r="K57">
        <v>0.99</v>
      </c>
      <c r="L57" t="s">
        <v>46</v>
      </c>
      <c r="M57" t="s">
        <v>19</v>
      </c>
      <c r="N57">
        <v>1</v>
      </c>
      <c r="O57" t="s">
        <v>47</v>
      </c>
      <c r="P57" t="s">
        <v>19</v>
      </c>
      <c r="Q57">
        <v>1</v>
      </c>
      <c r="R57" t="s">
        <v>23</v>
      </c>
      <c r="S57">
        <v>4</v>
      </c>
    </row>
    <row r="58" spans="1:19">
      <c r="A58">
        <v>57</v>
      </c>
      <c r="B58" t="s">
        <v>114</v>
      </c>
      <c r="C58">
        <v>964.46720000000005</v>
      </c>
      <c r="D58">
        <v>306</v>
      </c>
      <c r="E58">
        <v>-0.39032229773556498</v>
      </c>
      <c r="F58" t="s">
        <v>18</v>
      </c>
      <c r="G58" t="s">
        <v>19</v>
      </c>
      <c r="H58">
        <v>0.98199999999999998</v>
      </c>
      <c r="I58" t="s">
        <v>45</v>
      </c>
      <c r="J58" t="s">
        <v>19</v>
      </c>
      <c r="K58">
        <v>0.75</v>
      </c>
      <c r="L58" t="s">
        <v>46</v>
      </c>
      <c r="M58" t="s">
        <v>19</v>
      </c>
      <c r="N58">
        <v>1</v>
      </c>
      <c r="O58" t="s">
        <v>47</v>
      </c>
      <c r="P58" t="s">
        <v>19</v>
      </c>
      <c r="Q58">
        <v>1</v>
      </c>
      <c r="R58" t="s">
        <v>23</v>
      </c>
      <c r="S58">
        <v>4</v>
      </c>
    </row>
    <row r="59" spans="1:19">
      <c r="A59">
        <v>58</v>
      </c>
      <c r="B59" t="s">
        <v>65</v>
      </c>
      <c r="C59">
        <v>549.28120000000001</v>
      </c>
      <c r="D59">
        <v>199.7</v>
      </c>
      <c r="E59">
        <v>-0.667899022472625</v>
      </c>
      <c r="F59" t="s">
        <v>18</v>
      </c>
      <c r="G59" t="s">
        <v>19</v>
      </c>
      <c r="H59">
        <v>1</v>
      </c>
      <c r="I59" t="s">
        <v>39</v>
      </c>
      <c r="J59" t="s">
        <v>19</v>
      </c>
      <c r="K59">
        <v>0.91</v>
      </c>
      <c r="L59" t="s">
        <v>40</v>
      </c>
      <c r="M59" t="s">
        <v>19</v>
      </c>
      <c r="N59">
        <v>1</v>
      </c>
      <c r="O59" t="s">
        <v>41</v>
      </c>
      <c r="P59" t="s">
        <v>19</v>
      </c>
      <c r="Q59">
        <v>1</v>
      </c>
      <c r="R59" t="s">
        <v>23</v>
      </c>
      <c r="S59">
        <v>4</v>
      </c>
    </row>
    <row r="60" spans="1:19">
      <c r="A60">
        <v>59</v>
      </c>
      <c r="B60" t="s">
        <v>115</v>
      </c>
      <c r="C60">
        <v>321.23910000000001</v>
      </c>
      <c r="D60">
        <v>181.3</v>
      </c>
      <c r="E60">
        <v>-0.88041986667303695</v>
      </c>
      <c r="F60" t="s">
        <v>18</v>
      </c>
      <c r="G60" t="s">
        <v>19</v>
      </c>
      <c r="H60">
        <v>1</v>
      </c>
      <c r="I60" t="s">
        <v>20</v>
      </c>
      <c r="J60" t="s">
        <v>19</v>
      </c>
      <c r="K60">
        <v>0.9</v>
      </c>
      <c r="L60" t="s">
        <v>25</v>
      </c>
      <c r="M60" t="s">
        <v>19</v>
      </c>
      <c r="N60">
        <v>0.96</v>
      </c>
      <c r="O60" t="s">
        <v>26</v>
      </c>
      <c r="P60" t="s">
        <v>19</v>
      </c>
      <c r="Q60">
        <v>0.90300000000000002</v>
      </c>
      <c r="R60" t="s">
        <v>23</v>
      </c>
      <c r="S60">
        <v>4</v>
      </c>
    </row>
    <row r="61" spans="1:19">
      <c r="A61">
        <v>60</v>
      </c>
      <c r="B61" t="s">
        <v>116</v>
      </c>
      <c r="C61">
        <v>154.0496</v>
      </c>
      <c r="D61">
        <v>140</v>
      </c>
      <c r="E61">
        <v>-0.87759562361191001</v>
      </c>
      <c r="F61" t="s">
        <v>18</v>
      </c>
      <c r="G61" t="s">
        <v>19</v>
      </c>
      <c r="H61">
        <v>1</v>
      </c>
      <c r="I61" t="s">
        <v>77</v>
      </c>
      <c r="J61" t="s">
        <v>19</v>
      </c>
      <c r="K61">
        <v>0.71</v>
      </c>
      <c r="L61" t="s">
        <v>78</v>
      </c>
      <c r="M61" t="s">
        <v>19</v>
      </c>
      <c r="N61">
        <v>0.68</v>
      </c>
      <c r="O61" t="s">
        <v>117</v>
      </c>
      <c r="P61" t="s">
        <v>19</v>
      </c>
      <c r="Q61">
        <v>0.97899999999999998</v>
      </c>
      <c r="R61" t="s">
        <v>23</v>
      </c>
      <c r="S61">
        <v>4</v>
      </c>
    </row>
    <row r="62" spans="1:19">
      <c r="A62">
        <v>61</v>
      </c>
      <c r="B62" t="s">
        <v>118</v>
      </c>
      <c r="C62">
        <v>874.6748</v>
      </c>
      <c r="D62">
        <v>307.89999999999998</v>
      </c>
      <c r="E62">
        <v>-0.69818017420118395</v>
      </c>
      <c r="F62" t="s">
        <v>18</v>
      </c>
      <c r="G62" t="s">
        <v>19</v>
      </c>
      <c r="H62">
        <v>1</v>
      </c>
      <c r="I62" t="s">
        <v>20</v>
      </c>
      <c r="J62" t="s">
        <v>19</v>
      </c>
      <c r="K62">
        <v>1</v>
      </c>
      <c r="L62" t="s">
        <v>30</v>
      </c>
      <c r="M62" t="s">
        <v>19</v>
      </c>
      <c r="N62">
        <v>0.96</v>
      </c>
      <c r="O62" t="s">
        <v>91</v>
      </c>
      <c r="P62" t="s">
        <v>19</v>
      </c>
      <c r="Q62">
        <v>0.97599999999999998</v>
      </c>
      <c r="R62" t="s">
        <v>23</v>
      </c>
      <c r="S62">
        <v>4</v>
      </c>
    </row>
    <row r="63" spans="1:19">
      <c r="A63">
        <v>62</v>
      </c>
      <c r="B63" t="s">
        <v>119</v>
      </c>
      <c r="C63">
        <v>203.05260000000001</v>
      </c>
      <c r="D63">
        <v>147.1</v>
      </c>
      <c r="E63">
        <v>-0.82588122996114099</v>
      </c>
      <c r="F63" t="s">
        <v>18</v>
      </c>
      <c r="G63" t="s">
        <v>19</v>
      </c>
      <c r="H63">
        <v>1</v>
      </c>
      <c r="I63" t="s">
        <v>45</v>
      </c>
      <c r="J63" t="s">
        <v>19</v>
      </c>
      <c r="K63">
        <v>0.83</v>
      </c>
      <c r="L63" t="s">
        <v>46</v>
      </c>
      <c r="M63" t="s">
        <v>19</v>
      </c>
      <c r="N63">
        <v>1</v>
      </c>
      <c r="O63" t="s">
        <v>47</v>
      </c>
      <c r="P63" t="s">
        <v>19</v>
      </c>
      <c r="Q63">
        <v>0.97099999999999997</v>
      </c>
      <c r="R63" t="s">
        <v>23</v>
      </c>
      <c r="S63">
        <v>4</v>
      </c>
    </row>
    <row r="64" spans="1:19">
      <c r="A64">
        <v>63</v>
      </c>
      <c r="B64" t="s">
        <v>120</v>
      </c>
      <c r="C64">
        <v>574.61279999999999</v>
      </c>
      <c r="D64">
        <v>183.9</v>
      </c>
      <c r="E64">
        <v>-0.97121497589989803</v>
      </c>
      <c r="F64" t="s">
        <v>18</v>
      </c>
      <c r="G64" t="s">
        <v>19</v>
      </c>
      <c r="H64">
        <v>1</v>
      </c>
      <c r="I64" t="s">
        <v>77</v>
      </c>
      <c r="J64" t="s">
        <v>19</v>
      </c>
      <c r="K64">
        <v>1</v>
      </c>
      <c r="L64" t="s">
        <v>78</v>
      </c>
      <c r="M64" t="s">
        <v>19</v>
      </c>
      <c r="N64">
        <v>1</v>
      </c>
      <c r="O64" t="s">
        <v>79</v>
      </c>
      <c r="P64" t="s">
        <v>19</v>
      </c>
      <c r="Q64">
        <v>1</v>
      </c>
      <c r="R64" t="s">
        <v>23</v>
      </c>
      <c r="S64">
        <v>4</v>
      </c>
    </row>
    <row r="65" spans="1:19">
      <c r="A65">
        <v>64</v>
      </c>
      <c r="B65" t="s">
        <v>121</v>
      </c>
      <c r="C65">
        <v>130.08680000000001</v>
      </c>
      <c r="D65">
        <v>131.4</v>
      </c>
      <c r="E65">
        <v>-0.94155133391893697</v>
      </c>
      <c r="F65" t="s">
        <v>18</v>
      </c>
      <c r="G65" t="s">
        <v>19</v>
      </c>
      <c r="H65">
        <v>1</v>
      </c>
      <c r="I65" t="s">
        <v>39</v>
      </c>
      <c r="J65" t="s">
        <v>19</v>
      </c>
      <c r="K65">
        <v>1</v>
      </c>
      <c r="L65" t="s">
        <v>40</v>
      </c>
      <c r="M65" t="s">
        <v>19</v>
      </c>
      <c r="N65">
        <v>1</v>
      </c>
      <c r="O65" t="s">
        <v>41</v>
      </c>
      <c r="P65" t="s">
        <v>19</v>
      </c>
      <c r="Q65">
        <v>0.999</v>
      </c>
      <c r="R65" t="s">
        <v>23</v>
      </c>
      <c r="S65">
        <v>4</v>
      </c>
    </row>
    <row r="66" spans="1:19">
      <c r="A66">
        <v>65</v>
      </c>
      <c r="B66" t="s">
        <v>122</v>
      </c>
      <c r="C66">
        <v>466.25700000000001</v>
      </c>
      <c r="D66">
        <v>213.4</v>
      </c>
      <c r="E66">
        <v>-0.73639985224514204</v>
      </c>
      <c r="F66" t="s">
        <v>18</v>
      </c>
      <c r="G66" t="s">
        <v>19</v>
      </c>
      <c r="H66">
        <v>1</v>
      </c>
      <c r="I66" t="s">
        <v>20</v>
      </c>
      <c r="J66" t="s">
        <v>19</v>
      </c>
      <c r="K66">
        <v>0.89</v>
      </c>
      <c r="L66" t="s">
        <v>21</v>
      </c>
      <c r="M66" t="s">
        <v>19</v>
      </c>
      <c r="N66">
        <v>0.64</v>
      </c>
      <c r="O66" t="s">
        <v>28</v>
      </c>
      <c r="P66" t="s">
        <v>19</v>
      </c>
      <c r="Q66">
        <v>0.877</v>
      </c>
      <c r="R66" t="s">
        <v>23</v>
      </c>
      <c r="S66">
        <v>4</v>
      </c>
    </row>
    <row r="67" spans="1:19">
      <c r="A67">
        <v>66</v>
      </c>
      <c r="B67" t="s">
        <v>123</v>
      </c>
      <c r="C67">
        <v>790.5539</v>
      </c>
      <c r="D67">
        <v>284.10000000000002</v>
      </c>
      <c r="E67">
        <v>-0.671205526462472</v>
      </c>
      <c r="F67" t="s">
        <v>18</v>
      </c>
      <c r="G67" t="s">
        <v>19</v>
      </c>
      <c r="H67">
        <v>1</v>
      </c>
      <c r="I67" t="s">
        <v>20</v>
      </c>
      <c r="J67" t="s">
        <v>19</v>
      </c>
      <c r="K67">
        <v>1</v>
      </c>
      <c r="L67" t="s">
        <v>21</v>
      </c>
      <c r="M67" t="s">
        <v>19</v>
      </c>
      <c r="N67">
        <v>1</v>
      </c>
      <c r="O67" t="s">
        <v>56</v>
      </c>
      <c r="P67" t="s">
        <v>19</v>
      </c>
      <c r="Q67">
        <v>0.8</v>
      </c>
      <c r="R67" t="s">
        <v>23</v>
      </c>
      <c r="S67">
        <v>4</v>
      </c>
    </row>
    <row r="68" spans="1:19">
      <c r="A68">
        <v>67</v>
      </c>
      <c r="B68" t="s">
        <v>124</v>
      </c>
      <c r="C68">
        <v>518.32219999999995</v>
      </c>
      <c r="D68">
        <v>234.3</v>
      </c>
      <c r="E68">
        <v>-0.74346635331016797</v>
      </c>
      <c r="F68" t="s">
        <v>18</v>
      </c>
      <c r="G68" t="s">
        <v>19</v>
      </c>
      <c r="H68">
        <v>1</v>
      </c>
      <c r="I68" t="s">
        <v>20</v>
      </c>
      <c r="J68" t="s">
        <v>19</v>
      </c>
      <c r="K68">
        <v>0.99</v>
      </c>
      <c r="L68" t="s">
        <v>21</v>
      </c>
      <c r="M68" t="s">
        <v>19</v>
      </c>
      <c r="N68">
        <v>0.96</v>
      </c>
      <c r="O68" t="s">
        <v>22</v>
      </c>
      <c r="P68" t="s">
        <v>19</v>
      </c>
      <c r="Q68">
        <v>0.91</v>
      </c>
      <c r="R68" t="s">
        <v>23</v>
      </c>
      <c r="S68">
        <v>4</v>
      </c>
    </row>
    <row r="69" spans="1:19">
      <c r="A69">
        <v>68</v>
      </c>
      <c r="B69" t="s">
        <v>125</v>
      </c>
      <c r="C69">
        <v>846.56010000000003</v>
      </c>
      <c r="D69">
        <v>292.60000000000002</v>
      </c>
      <c r="E69">
        <v>-0.614871696417708</v>
      </c>
      <c r="F69" t="s">
        <v>18</v>
      </c>
      <c r="G69" t="s">
        <v>19</v>
      </c>
      <c r="H69">
        <v>1</v>
      </c>
      <c r="I69" t="s">
        <v>20</v>
      </c>
      <c r="J69" t="s">
        <v>19</v>
      </c>
      <c r="K69">
        <v>1</v>
      </c>
      <c r="L69" t="s">
        <v>21</v>
      </c>
      <c r="M69" t="s">
        <v>19</v>
      </c>
      <c r="N69">
        <v>1</v>
      </c>
      <c r="O69" t="s">
        <v>22</v>
      </c>
      <c r="P69" t="s">
        <v>19</v>
      </c>
      <c r="Q69">
        <v>0.80700000000000005</v>
      </c>
      <c r="R69" t="s">
        <v>23</v>
      </c>
      <c r="S69">
        <v>4</v>
      </c>
    </row>
    <row r="70" spans="1:19">
      <c r="A70">
        <v>69</v>
      </c>
      <c r="B70" t="s">
        <v>126</v>
      </c>
      <c r="C70">
        <v>844.64970000000005</v>
      </c>
      <c r="D70">
        <v>298.8</v>
      </c>
      <c r="E70">
        <v>-0.70660475720239901</v>
      </c>
      <c r="F70" t="s">
        <v>18</v>
      </c>
      <c r="G70" t="s">
        <v>19</v>
      </c>
      <c r="H70">
        <v>1</v>
      </c>
      <c r="I70" t="s">
        <v>20</v>
      </c>
      <c r="J70" t="s">
        <v>19</v>
      </c>
      <c r="K70">
        <v>1</v>
      </c>
      <c r="L70" t="s">
        <v>30</v>
      </c>
      <c r="M70" t="s">
        <v>19</v>
      </c>
      <c r="N70">
        <v>0.93</v>
      </c>
      <c r="O70" t="s">
        <v>91</v>
      </c>
      <c r="P70" t="s">
        <v>19</v>
      </c>
      <c r="Q70">
        <v>0.84799999999999998</v>
      </c>
      <c r="R70" t="s">
        <v>23</v>
      </c>
      <c r="S70">
        <v>4</v>
      </c>
    </row>
    <row r="71" spans="1:19">
      <c r="A71">
        <v>70</v>
      </c>
      <c r="B71" t="s">
        <v>127</v>
      </c>
      <c r="C71">
        <v>175.08619999999999</v>
      </c>
      <c r="D71">
        <v>136.19999999999999</v>
      </c>
      <c r="E71">
        <v>-0.89070716752811996</v>
      </c>
      <c r="F71" t="s">
        <v>18</v>
      </c>
      <c r="G71" t="s">
        <v>19</v>
      </c>
      <c r="H71">
        <v>1</v>
      </c>
      <c r="I71" t="s">
        <v>61</v>
      </c>
      <c r="J71" t="s">
        <v>19</v>
      </c>
      <c r="K71">
        <v>0.69</v>
      </c>
      <c r="L71" t="s">
        <v>62</v>
      </c>
      <c r="M71" t="s">
        <v>19</v>
      </c>
      <c r="N71">
        <v>0.91</v>
      </c>
      <c r="O71" t="s">
        <v>63</v>
      </c>
      <c r="P71" t="s">
        <v>19</v>
      </c>
      <c r="Q71">
        <v>0.72499999999999998</v>
      </c>
      <c r="R71" t="s">
        <v>23</v>
      </c>
      <c r="S71">
        <v>4</v>
      </c>
    </row>
    <row r="72" spans="1:19">
      <c r="A72">
        <v>71</v>
      </c>
      <c r="B72" t="s">
        <v>128</v>
      </c>
      <c r="C72">
        <v>304.90949999999998</v>
      </c>
      <c r="D72">
        <v>162.69999999999999</v>
      </c>
      <c r="E72">
        <v>-0.56905271287752202</v>
      </c>
      <c r="F72" t="s">
        <v>18</v>
      </c>
      <c r="G72" t="s">
        <v>19</v>
      </c>
      <c r="H72">
        <v>1</v>
      </c>
      <c r="I72" t="s">
        <v>77</v>
      </c>
      <c r="J72" t="s">
        <v>19</v>
      </c>
      <c r="K72">
        <v>1</v>
      </c>
      <c r="L72" t="s">
        <v>78</v>
      </c>
      <c r="M72" t="s">
        <v>19</v>
      </c>
      <c r="N72">
        <v>0.98</v>
      </c>
      <c r="O72" t="s">
        <v>129</v>
      </c>
      <c r="P72" t="s">
        <v>19</v>
      </c>
      <c r="Q72">
        <v>0.998</v>
      </c>
      <c r="R72" t="s">
        <v>23</v>
      </c>
      <c r="S72">
        <v>4</v>
      </c>
    </row>
    <row r="73" spans="1:19">
      <c r="A73">
        <v>72</v>
      </c>
      <c r="B73" t="s">
        <v>130</v>
      </c>
      <c r="C73">
        <v>206.0446</v>
      </c>
      <c r="D73">
        <v>140.4</v>
      </c>
      <c r="E73">
        <v>-0.81454050662168198</v>
      </c>
      <c r="F73" t="s">
        <v>18</v>
      </c>
      <c r="G73" t="s">
        <v>19</v>
      </c>
      <c r="H73">
        <v>1</v>
      </c>
      <c r="I73" t="s">
        <v>61</v>
      </c>
      <c r="J73" t="s">
        <v>19</v>
      </c>
      <c r="K73">
        <v>0.61</v>
      </c>
      <c r="L73" t="s">
        <v>131</v>
      </c>
      <c r="M73" t="s">
        <v>19</v>
      </c>
      <c r="N73">
        <v>0.7</v>
      </c>
      <c r="O73" t="s">
        <v>132</v>
      </c>
      <c r="P73" t="s">
        <v>19</v>
      </c>
      <c r="Q73">
        <v>0.996</v>
      </c>
      <c r="R73" t="s">
        <v>23</v>
      </c>
      <c r="S73">
        <v>4</v>
      </c>
    </row>
    <row r="74" spans="1:19">
      <c r="A74">
        <v>73</v>
      </c>
      <c r="B74" t="s">
        <v>133</v>
      </c>
      <c r="C74">
        <v>118.08499999999999</v>
      </c>
      <c r="D74">
        <v>120.9</v>
      </c>
      <c r="E74">
        <v>-0.95315196673156799</v>
      </c>
      <c r="F74" t="s">
        <v>18</v>
      </c>
      <c r="G74" t="s">
        <v>19</v>
      </c>
      <c r="H74">
        <v>1</v>
      </c>
      <c r="I74" t="s">
        <v>39</v>
      </c>
      <c r="J74" t="s">
        <v>19</v>
      </c>
      <c r="K74">
        <v>0.99</v>
      </c>
      <c r="L74" t="s">
        <v>40</v>
      </c>
      <c r="M74" t="s">
        <v>19</v>
      </c>
      <c r="N74">
        <v>1</v>
      </c>
      <c r="O74" t="s">
        <v>41</v>
      </c>
      <c r="P74" t="s">
        <v>19</v>
      </c>
      <c r="Q74">
        <v>1</v>
      </c>
      <c r="R74" t="s">
        <v>23</v>
      </c>
      <c r="S74">
        <v>4</v>
      </c>
    </row>
    <row r="75" spans="1:19">
      <c r="A75">
        <v>74</v>
      </c>
      <c r="B75" t="s">
        <v>134</v>
      </c>
      <c r="C75">
        <v>575.2944</v>
      </c>
      <c r="D75">
        <v>346.4</v>
      </c>
      <c r="E75">
        <v>-0.65205393411235901</v>
      </c>
      <c r="F75" t="s">
        <v>18</v>
      </c>
      <c r="G75" t="s">
        <v>19</v>
      </c>
      <c r="H75">
        <v>1</v>
      </c>
      <c r="I75" t="s">
        <v>39</v>
      </c>
      <c r="J75" t="s">
        <v>19</v>
      </c>
      <c r="K75">
        <v>0.99</v>
      </c>
      <c r="L75" t="s">
        <v>135</v>
      </c>
      <c r="M75" t="s">
        <v>19</v>
      </c>
      <c r="N75">
        <v>0.85</v>
      </c>
      <c r="O75" t="s">
        <v>136</v>
      </c>
      <c r="P75" t="s">
        <v>19</v>
      </c>
      <c r="Q75">
        <v>0.997</v>
      </c>
      <c r="R75" t="s">
        <v>23</v>
      </c>
      <c r="S75">
        <v>4</v>
      </c>
    </row>
    <row r="76" spans="1:19">
      <c r="A76">
        <v>75</v>
      </c>
      <c r="B76" t="s">
        <v>137</v>
      </c>
      <c r="C76">
        <v>610.05629999999996</v>
      </c>
      <c r="D76">
        <v>218.3</v>
      </c>
      <c r="E76">
        <v>-0.37514046798480599</v>
      </c>
      <c r="F76" t="s">
        <v>18</v>
      </c>
      <c r="G76" t="s">
        <v>19</v>
      </c>
      <c r="H76">
        <v>1</v>
      </c>
      <c r="I76" t="s">
        <v>72</v>
      </c>
      <c r="J76" t="s">
        <v>19</v>
      </c>
      <c r="K76">
        <v>1</v>
      </c>
      <c r="L76" t="s">
        <v>138</v>
      </c>
      <c r="M76" t="s">
        <v>19</v>
      </c>
      <c r="N76">
        <v>0.7</v>
      </c>
      <c r="O76" t="s">
        <v>139</v>
      </c>
      <c r="P76" t="s">
        <v>19</v>
      </c>
      <c r="Q76">
        <v>0.96499999999999997</v>
      </c>
      <c r="R76" t="s">
        <v>23</v>
      </c>
      <c r="S76">
        <v>4</v>
      </c>
    </row>
    <row r="77" spans="1:19">
      <c r="A77">
        <v>76</v>
      </c>
      <c r="B77" t="s">
        <v>140</v>
      </c>
      <c r="C77">
        <v>508.37670000000003</v>
      </c>
      <c r="D77">
        <v>235.5</v>
      </c>
      <c r="E77">
        <v>-0.80907102041339796</v>
      </c>
      <c r="F77" t="s">
        <v>18</v>
      </c>
      <c r="G77" t="s">
        <v>19</v>
      </c>
      <c r="H77">
        <v>1</v>
      </c>
      <c r="I77" t="s">
        <v>20</v>
      </c>
      <c r="J77" t="s">
        <v>19</v>
      </c>
      <c r="K77">
        <v>1</v>
      </c>
      <c r="L77" t="s">
        <v>21</v>
      </c>
      <c r="M77" t="s">
        <v>19</v>
      </c>
      <c r="N77">
        <v>0.99</v>
      </c>
      <c r="O77" t="s">
        <v>22</v>
      </c>
      <c r="P77" t="s">
        <v>19</v>
      </c>
      <c r="Q77">
        <v>0.88100000000000001</v>
      </c>
      <c r="R77" t="s">
        <v>23</v>
      </c>
      <c r="S77">
        <v>4</v>
      </c>
    </row>
    <row r="78" spans="1:19">
      <c r="A78">
        <v>77</v>
      </c>
      <c r="B78" t="s">
        <v>141</v>
      </c>
      <c r="C78">
        <v>568.56679999999994</v>
      </c>
      <c r="D78">
        <v>263.99</v>
      </c>
      <c r="E78">
        <v>-0.93196564879770005</v>
      </c>
      <c r="F78" t="s">
        <v>18</v>
      </c>
      <c r="G78" t="s">
        <v>19</v>
      </c>
      <c r="H78">
        <v>1</v>
      </c>
      <c r="I78" t="s">
        <v>20</v>
      </c>
      <c r="J78" t="s">
        <v>19</v>
      </c>
      <c r="K78">
        <v>1</v>
      </c>
      <c r="L78" t="s">
        <v>30</v>
      </c>
      <c r="M78" t="s">
        <v>19</v>
      </c>
      <c r="N78">
        <v>1</v>
      </c>
      <c r="O78" t="s">
        <v>31</v>
      </c>
      <c r="P78" t="s">
        <v>19</v>
      </c>
      <c r="Q78">
        <v>1</v>
      </c>
      <c r="R78" t="s">
        <v>23</v>
      </c>
      <c r="S78">
        <v>4</v>
      </c>
    </row>
    <row r="79" spans="1:19">
      <c r="A79">
        <v>78</v>
      </c>
      <c r="B79" t="s">
        <v>142</v>
      </c>
      <c r="C79">
        <v>161.04499999999999</v>
      </c>
      <c r="D79">
        <v>126.9</v>
      </c>
      <c r="E79">
        <v>-0.865184896322859</v>
      </c>
      <c r="F79" t="s">
        <v>18</v>
      </c>
      <c r="G79" t="s">
        <v>19</v>
      </c>
      <c r="H79">
        <v>1</v>
      </c>
      <c r="I79" t="s">
        <v>20</v>
      </c>
      <c r="J79" t="s">
        <v>19</v>
      </c>
      <c r="K79">
        <v>0.65</v>
      </c>
      <c r="L79" t="s">
        <v>25</v>
      </c>
      <c r="M79" t="s">
        <v>19</v>
      </c>
      <c r="N79">
        <v>0.99</v>
      </c>
      <c r="O79" t="s">
        <v>26</v>
      </c>
      <c r="P79" t="s">
        <v>19</v>
      </c>
      <c r="Q79">
        <v>1</v>
      </c>
      <c r="R79" t="s">
        <v>23</v>
      </c>
      <c r="S79">
        <v>4</v>
      </c>
    </row>
    <row r="80" spans="1:19">
      <c r="A80">
        <v>79</v>
      </c>
      <c r="B80" t="s">
        <v>143</v>
      </c>
      <c r="C80">
        <v>756.63530000000003</v>
      </c>
      <c r="D80">
        <v>289.3</v>
      </c>
      <c r="E80">
        <v>-0.79047740435737501</v>
      </c>
      <c r="F80" t="s">
        <v>18</v>
      </c>
      <c r="G80" t="s">
        <v>19</v>
      </c>
      <c r="H80">
        <v>1</v>
      </c>
      <c r="I80" t="s">
        <v>20</v>
      </c>
      <c r="J80" t="s">
        <v>19</v>
      </c>
      <c r="K80">
        <v>1</v>
      </c>
      <c r="L80" t="s">
        <v>30</v>
      </c>
      <c r="M80" t="s">
        <v>19</v>
      </c>
      <c r="N80">
        <v>0.96</v>
      </c>
      <c r="O80" t="s">
        <v>91</v>
      </c>
      <c r="P80" t="s">
        <v>19</v>
      </c>
      <c r="Q80">
        <v>0.91</v>
      </c>
      <c r="R80" t="s">
        <v>23</v>
      </c>
      <c r="S80">
        <v>4</v>
      </c>
    </row>
    <row r="81" spans="1:19">
      <c r="A81">
        <v>80</v>
      </c>
      <c r="B81" t="s">
        <v>144</v>
      </c>
      <c r="C81">
        <v>352.04480000000001</v>
      </c>
      <c r="D81">
        <v>170</v>
      </c>
      <c r="E81">
        <v>-0.65172370324450002</v>
      </c>
      <c r="F81" t="s">
        <v>18</v>
      </c>
      <c r="G81" t="s">
        <v>19</v>
      </c>
      <c r="H81">
        <v>1</v>
      </c>
      <c r="I81" t="s">
        <v>72</v>
      </c>
      <c r="J81" t="s">
        <v>19</v>
      </c>
      <c r="K81">
        <v>0.96</v>
      </c>
      <c r="L81" t="s">
        <v>138</v>
      </c>
      <c r="M81" t="s">
        <v>19</v>
      </c>
      <c r="N81">
        <v>0.99</v>
      </c>
      <c r="O81" t="s">
        <v>145</v>
      </c>
      <c r="P81" t="s">
        <v>19</v>
      </c>
      <c r="Q81">
        <v>0.69099999999999995</v>
      </c>
      <c r="R81" t="s">
        <v>23</v>
      </c>
      <c r="S81">
        <v>4</v>
      </c>
    </row>
    <row r="82" spans="1:19">
      <c r="A82">
        <v>81</v>
      </c>
      <c r="B82" t="s">
        <v>146</v>
      </c>
      <c r="C82">
        <v>867.23839999999996</v>
      </c>
      <c r="D82">
        <v>258.2</v>
      </c>
      <c r="E82">
        <v>-0.27008330088619897</v>
      </c>
      <c r="F82" t="s">
        <v>18</v>
      </c>
      <c r="G82" t="s">
        <v>19</v>
      </c>
      <c r="H82">
        <v>0.996</v>
      </c>
      <c r="I82" t="s">
        <v>45</v>
      </c>
      <c r="J82" t="s">
        <v>19</v>
      </c>
      <c r="K82">
        <v>0.94</v>
      </c>
      <c r="L82" t="s">
        <v>46</v>
      </c>
      <c r="M82" t="s">
        <v>19</v>
      </c>
      <c r="N82">
        <v>0.99</v>
      </c>
      <c r="O82" t="s">
        <v>47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147</v>
      </c>
      <c r="C83">
        <v>860.69550000000004</v>
      </c>
      <c r="D83">
        <v>307.5</v>
      </c>
      <c r="E83">
        <v>-0.73448878843225895</v>
      </c>
      <c r="F83" t="s">
        <v>18</v>
      </c>
      <c r="G83" t="s">
        <v>19</v>
      </c>
      <c r="H83">
        <v>1</v>
      </c>
      <c r="I83" t="s">
        <v>20</v>
      </c>
      <c r="J83" t="s">
        <v>19</v>
      </c>
      <c r="K83">
        <v>1</v>
      </c>
      <c r="L83" t="s">
        <v>30</v>
      </c>
      <c r="M83" t="s">
        <v>19</v>
      </c>
      <c r="N83">
        <v>1</v>
      </c>
      <c r="O83" t="s">
        <v>91</v>
      </c>
      <c r="P83" t="s">
        <v>19</v>
      </c>
      <c r="Q83">
        <v>0.75800000000000001</v>
      </c>
      <c r="R83" t="s">
        <v>23</v>
      </c>
      <c r="S83">
        <v>4</v>
      </c>
    </row>
    <row r="84" spans="1:19">
      <c r="A84">
        <v>83</v>
      </c>
      <c r="B84" t="s">
        <v>148</v>
      </c>
      <c r="C84">
        <v>363.21640000000002</v>
      </c>
      <c r="D84">
        <v>188.9</v>
      </c>
      <c r="E84">
        <v>-0.81085003183443405</v>
      </c>
      <c r="F84" t="s">
        <v>18</v>
      </c>
      <c r="G84" t="s">
        <v>19</v>
      </c>
      <c r="H84">
        <v>1</v>
      </c>
      <c r="I84" t="s">
        <v>20</v>
      </c>
      <c r="J84" t="s">
        <v>19</v>
      </c>
      <c r="K84">
        <v>1</v>
      </c>
      <c r="L84" t="s">
        <v>149</v>
      </c>
      <c r="M84" t="s">
        <v>19</v>
      </c>
      <c r="N84">
        <v>0.79</v>
      </c>
      <c r="O84" t="s">
        <v>150</v>
      </c>
      <c r="P84" t="s">
        <v>19</v>
      </c>
      <c r="Q84">
        <v>0.97399999999999998</v>
      </c>
      <c r="R84" t="s">
        <v>23</v>
      </c>
      <c r="S84">
        <v>4</v>
      </c>
    </row>
    <row r="85" spans="1:19">
      <c r="A85">
        <v>84</v>
      </c>
      <c r="B85" t="s">
        <v>119</v>
      </c>
      <c r="C85">
        <v>203.05330000000001</v>
      </c>
      <c r="D85">
        <v>146.5</v>
      </c>
      <c r="E85">
        <v>-0.82658044837481304</v>
      </c>
      <c r="F85" t="s">
        <v>18</v>
      </c>
      <c r="G85" t="s">
        <v>19</v>
      </c>
      <c r="H85">
        <v>1</v>
      </c>
      <c r="I85" t="s">
        <v>45</v>
      </c>
      <c r="J85" t="s">
        <v>19</v>
      </c>
      <c r="K85">
        <v>0.96</v>
      </c>
      <c r="L85" t="s">
        <v>46</v>
      </c>
      <c r="M85" t="s">
        <v>19</v>
      </c>
      <c r="N85">
        <v>1</v>
      </c>
      <c r="O85" t="s">
        <v>47</v>
      </c>
      <c r="P85" t="s">
        <v>19</v>
      </c>
      <c r="Q85">
        <v>0.98899999999999999</v>
      </c>
      <c r="R85" t="s">
        <v>23</v>
      </c>
      <c r="S85">
        <v>4</v>
      </c>
    </row>
    <row r="86" spans="1:19">
      <c r="A86">
        <v>85</v>
      </c>
      <c r="B86" t="s">
        <v>134</v>
      </c>
      <c r="C86">
        <v>1133.6208999999999</v>
      </c>
      <c r="D86">
        <v>324.7</v>
      </c>
      <c r="E86">
        <v>-0.35515340951860702</v>
      </c>
      <c r="F86" t="s">
        <v>18</v>
      </c>
      <c r="G86" t="s">
        <v>19</v>
      </c>
      <c r="H86">
        <v>0.998</v>
      </c>
      <c r="I86" t="s">
        <v>39</v>
      </c>
      <c r="J86" t="s">
        <v>19</v>
      </c>
      <c r="K86">
        <v>1</v>
      </c>
      <c r="L86" t="s">
        <v>135</v>
      </c>
      <c r="M86" t="s">
        <v>19</v>
      </c>
      <c r="N86">
        <v>0.61</v>
      </c>
      <c r="O86" t="s">
        <v>136</v>
      </c>
      <c r="P86" t="s">
        <v>19</v>
      </c>
      <c r="Q86">
        <v>0.94699999999999995</v>
      </c>
      <c r="R86" t="s">
        <v>23</v>
      </c>
      <c r="S86">
        <v>4</v>
      </c>
    </row>
    <row r="87" spans="1:19">
      <c r="A87">
        <v>86</v>
      </c>
      <c r="B87" t="s">
        <v>151</v>
      </c>
      <c r="C87">
        <v>339.23</v>
      </c>
      <c r="D87">
        <v>214.8</v>
      </c>
      <c r="E87">
        <v>-0.85123209276667899</v>
      </c>
      <c r="F87" t="s">
        <v>18</v>
      </c>
      <c r="G87" t="s">
        <v>19</v>
      </c>
      <c r="H87">
        <v>1</v>
      </c>
      <c r="I87" t="s">
        <v>20</v>
      </c>
      <c r="J87" t="s">
        <v>19</v>
      </c>
      <c r="K87">
        <v>1</v>
      </c>
      <c r="L87" t="s">
        <v>149</v>
      </c>
      <c r="M87" t="s">
        <v>19</v>
      </c>
      <c r="N87">
        <v>0.6</v>
      </c>
      <c r="O87" t="s">
        <v>152</v>
      </c>
      <c r="P87" t="s">
        <v>19</v>
      </c>
      <c r="Q87">
        <v>0.64600000000000002</v>
      </c>
      <c r="R87" t="s">
        <v>23</v>
      </c>
      <c r="S87">
        <v>4</v>
      </c>
    </row>
    <row r="88" spans="1:19">
      <c r="A88">
        <v>87</v>
      </c>
      <c r="B88" t="s">
        <v>153</v>
      </c>
      <c r="C88">
        <v>554.26149999999996</v>
      </c>
      <c r="D88">
        <v>222.6</v>
      </c>
      <c r="E88">
        <v>-0.64263825895409399</v>
      </c>
      <c r="F88" t="s">
        <v>18</v>
      </c>
      <c r="G88" t="s">
        <v>19</v>
      </c>
      <c r="H88">
        <v>1</v>
      </c>
      <c r="I88" t="s">
        <v>39</v>
      </c>
      <c r="J88" t="s">
        <v>19</v>
      </c>
      <c r="K88">
        <v>0.82</v>
      </c>
      <c r="L88" t="s">
        <v>40</v>
      </c>
      <c r="M88" t="s">
        <v>19</v>
      </c>
      <c r="N88">
        <v>1</v>
      </c>
      <c r="O88" t="s">
        <v>41</v>
      </c>
      <c r="P88" t="s">
        <v>19</v>
      </c>
      <c r="Q88">
        <v>1</v>
      </c>
      <c r="R88" t="s">
        <v>23</v>
      </c>
      <c r="S88">
        <v>4</v>
      </c>
    </row>
    <row r="89" spans="1:19">
      <c r="A89">
        <v>88</v>
      </c>
      <c r="B89" t="s">
        <v>154</v>
      </c>
      <c r="C89">
        <v>156.06610000000001</v>
      </c>
      <c r="D89">
        <v>142.4</v>
      </c>
      <c r="E89">
        <v>-0.89184409666873399</v>
      </c>
      <c r="F89" t="s">
        <v>18</v>
      </c>
      <c r="G89" t="s">
        <v>19</v>
      </c>
      <c r="H89">
        <v>1</v>
      </c>
      <c r="I89" t="s">
        <v>39</v>
      </c>
      <c r="J89" t="s">
        <v>19</v>
      </c>
      <c r="K89">
        <v>0.81</v>
      </c>
      <c r="L89" t="s">
        <v>40</v>
      </c>
      <c r="M89" t="s">
        <v>19</v>
      </c>
      <c r="N89">
        <v>1</v>
      </c>
      <c r="O89" t="s">
        <v>41</v>
      </c>
      <c r="P89" t="s">
        <v>19</v>
      </c>
      <c r="Q89">
        <v>1</v>
      </c>
      <c r="R89" t="s">
        <v>23</v>
      </c>
      <c r="S89">
        <v>4</v>
      </c>
    </row>
    <row r="90" spans="1:19">
      <c r="A90">
        <v>89</v>
      </c>
      <c r="B90" t="s">
        <v>155</v>
      </c>
      <c r="C90">
        <v>2571.192</v>
      </c>
      <c r="D90">
        <v>317.2</v>
      </c>
      <c r="E90">
        <v>-0.321130640170395</v>
      </c>
      <c r="F90" t="s">
        <v>97</v>
      </c>
      <c r="G90" t="s">
        <v>19</v>
      </c>
      <c r="H90">
        <v>0.72199999999999998</v>
      </c>
      <c r="I90" t="s">
        <v>98</v>
      </c>
      <c r="J90" t="s">
        <v>19</v>
      </c>
      <c r="K90">
        <v>0.79</v>
      </c>
      <c r="L90" t="s">
        <v>99</v>
      </c>
      <c r="M90" t="s">
        <v>19</v>
      </c>
      <c r="N90">
        <v>0.97</v>
      </c>
      <c r="O90" t="s">
        <v>100</v>
      </c>
      <c r="P90" t="s">
        <v>19</v>
      </c>
      <c r="Q90">
        <v>0.97</v>
      </c>
      <c r="R90" t="s">
        <v>23</v>
      </c>
      <c r="S90">
        <v>4</v>
      </c>
    </row>
    <row r="91" spans="1:19">
      <c r="A91">
        <v>90</v>
      </c>
      <c r="B91" t="s">
        <v>156</v>
      </c>
      <c r="C91">
        <v>902.7577</v>
      </c>
      <c r="D91">
        <v>318.7</v>
      </c>
      <c r="E91">
        <v>-0.749724158335766</v>
      </c>
      <c r="F91" t="s">
        <v>18</v>
      </c>
      <c r="G91" t="s">
        <v>19</v>
      </c>
      <c r="H91">
        <v>1</v>
      </c>
      <c r="I91" t="s">
        <v>20</v>
      </c>
      <c r="J91" t="s">
        <v>19</v>
      </c>
      <c r="K91">
        <v>1</v>
      </c>
      <c r="L91" t="s">
        <v>21</v>
      </c>
      <c r="M91" t="s">
        <v>19</v>
      </c>
      <c r="N91">
        <v>0.63</v>
      </c>
      <c r="O91" t="s">
        <v>22</v>
      </c>
      <c r="P91" t="s">
        <v>19</v>
      </c>
      <c r="Q91">
        <v>0.98899999999999999</v>
      </c>
      <c r="R91" t="s">
        <v>23</v>
      </c>
      <c r="S91">
        <v>4</v>
      </c>
    </row>
    <row r="92" spans="1:19">
      <c r="A92">
        <v>91</v>
      </c>
      <c r="B92" t="s">
        <v>157</v>
      </c>
      <c r="C92">
        <v>262.11919999999998</v>
      </c>
      <c r="D92">
        <v>156.80000000000001</v>
      </c>
      <c r="E92">
        <v>-0.82653030442566</v>
      </c>
      <c r="F92" t="s">
        <v>18</v>
      </c>
      <c r="G92" t="s">
        <v>19</v>
      </c>
      <c r="H92">
        <v>1</v>
      </c>
      <c r="I92" t="s">
        <v>39</v>
      </c>
      <c r="J92" t="s">
        <v>19</v>
      </c>
      <c r="K92">
        <v>0.63</v>
      </c>
      <c r="L92" t="s">
        <v>40</v>
      </c>
      <c r="M92" t="s">
        <v>19</v>
      </c>
      <c r="N92">
        <v>1</v>
      </c>
      <c r="O92" t="s">
        <v>41</v>
      </c>
      <c r="P92" t="s">
        <v>19</v>
      </c>
      <c r="Q92">
        <v>1</v>
      </c>
      <c r="R92" t="s">
        <v>23</v>
      </c>
      <c r="S92">
        <v>4</v>
      </c>
    </row>
    <row r="93" spans="1:19">
      <c r="A93">
        <v>92</v>
      </c>
      <c r="B93" t="s">
        <v>158</v>
      </c>
      <c r="C93">
        <v>372.83150000000001</v>
      </c>
      <c r="D93">
        <v>174</v>
      </c>
      <c r="E93">
        <v>-0.41521427348510498</v>
      </c>
      <c r="F93" t="s">
        <v>18</v>
      </c>
      <c r="G93" t="s">
        <v>19</v>
      </c>
      <c r="H93">
        <v>0.998</v>
      </c>
      <c r="I93" t="s">
        <v>77</v>
      </c>
      <c r="J93" t="s">
        <v>19</v>
      </c>
      <c r="K93">
        <v>1</v>
      </c>
      <c r="L93" t="s">
        <v>78</v>
      </c>
      <c r="M93" t="s">
        <v>19</v>
      </c>
      <c r="N93">
        <v>1</v>
      </c>
      <c r="O93" t="s">
        <v>129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93</v>
      </c>
      <c r="B94" t="s">
        <v>159</v>
      </c>
      <c r="C94">
        <v>1143.9794999999999</v>
      </c>
      <c r="D94">
        <v>269.81</v>
      </c>
      <c r="E94">
        <v>-0.70218749481818998</v>
      </c>
      <c r="F94" t="s">
        <v>18</v>
      </c>
      <c r="G94" t="s">
        <v>19</v>
      </c>
      <c r="H94">
        <v>0.91400000000000003</v>
      </c>
      <c r="I94" t="s">
        <v>34</v>
      </c>
      <c r="J94" t="s">
        <v>19</v>
      </c>
      <c r="K94">
        <v>0.94</v>
      </c>
      <c r="L94" t="s">
        <v>35</v>
      </c>
      <c r="M94" t="s">
        <v>19</v>
      </c>
      <c r="N94">
        <v>0.99</v>
      </c>
      <c r="O94" t="s">
        <v>36</v>
      </c>
      <c r="P94" t="s">
        <v>19</v>
      </c>
      <c r="Q94">
        <v>1</v>
      </c>
      <c r="R94" t="s">
        <v>23</v>
      </c>
      <c r="S94">
        <v>4</v>
      </c>
    </row>
    <row r="95" spans="1:19">
      <c r="A95">
        <v>94</v>
      </c>
      <c r="B95" t="s">
        <v>160</v>
      </c>
      <c r="C95">
        <v>199.0008</v>
      </c>
      <c r="D95">
        <v>148.69999999999999</v>
      </c>
      <c r="E95">
        <v>-0.77860527502355104</v>
      </c>
      <c r="F95" t="s">
        <v>18</v>
      </c>
      <c r="G95" t="s">
        <v>19</v>
      </c>
      <c r="H95">
        <v>1</v>
      </c>
      <c r="I95" t="s">
        <v>45</v>
      </c>
      <c r="J95" t="s">
        <v>19</v>
      </c>
      <c r="K95">
        <v>0.7</v>
      </c>
      <c r="L95" t="s">
        <v>46</v>
      </c>
      <c r="M95" t="s">
        <v>19</v>
      </c>
      <c r="N95">
        <v>1</v>
      </c>
      <c r="O95" t="s">
        <v>47</v>
      </c>
      <c r="P95" t="s">
        <v>19</v>
      </c>
      <c r="Q95">
        <v>0.94</v>
      </c>
      <c r="R95" t="s">
        <v>23</v>
      </c>
      <c r="S95">
        <v>4</v>
      </c>
    </row>
    <row r="96" spans="1:19">
      <c r="A96">
        <v>95</v>
      </c>
      <c r="B96" t="s">
        <v>161</v>
      </c>
      <c r="C96">
        <v>361.1472</v>
      </c>
      <c r="D96">
        <v>171.04</v>
      </c>
      <c r="E96">
        <v>-0.74396040106364603</v>
      </c>
      <c r="F96" t="s">
        <v>18</v>
      </c>
      <c r="G96" t="s">
        <v>19</v>
      </c>
      <c r="H96">
        <v>1</v>
      </c>
      <c r="I96" t="s">
        <v>39</v>
      </c>
      <c r="J96" t="s">
        <v>19</v>
      </c>
      <c r="K96">
        <v>0.71</v>
      </c>
      <c r="L96" t="s">
        <v>40</v>
      </c>
      <c r="M96" t="s">
        <v>19</v>
      </c>
      <c r="N96">
        <v>1</v>
      </c>
      <c r="O96" t="s">
        <v>41</v>
      </c>
      <c r="P96" t="s">
        <v>19</v>
      </c>
      <c r="Q96">
        <v>1</v>
      </c>
      <c r="R96" t="s">
        <v>23</v>
      </c>
      <c r="S96">
        <v>4</v>
      </c>
    </row>
    <row r="97" spans="1:19">
      <c r="A97">
        <v>96</v>
      </c>
      <c r="B97" t="s">
        <v>162</v>
      </c>
      <c r="C97">
        <v>173.0461</v>
      </c>
      <c r="D97">
        <v>137.69999999999999</v>
      </c>
      <c r="E97">
        <v>-0.85288504509657104</v>
      </c>
      <c r="F97" t="s">
        <v>18</v>
      </c>
      <c r="G97" t="s">
        <v>19</v>
      </c>
      <c r="H97">
        <v>1</v>
      </c>
      <c r="I97" t="s">
        <v>45</v>
      </c>
      <c r="J97" t="s">
        <v>19</v>
      </c>
      <c r="K97">
        <v>0.81</v>
      </c>
      <c r="L97" t="s">
        <v>46</v>
      </c>
      <c r="M97" t="s">
        <v>19</v>
      </c>
      <c r="N97">
        <v>1</v>
      </c>
      <c r="O97" t="s">
        <v>163</v>
      </c>
      <c r="P97" t="s">
        <v>19</v>
      </c>
      <c r="Q97">
        <v>0.64200000000000002</v>
      </c>
      <c r="R97" t="s">
        <v>23</v>
      </c>
      <c r="S97">
        <v>4</v>
      </c>
    </row>
    <row r="98" spans="1:19">
      <c r="A98">
        <v>97</v>
      </c>
      <c r="B98" t="s">
        <v>164</v>
      </c>
      <c r="C98">
        <v>780.63289999999995</v>
      </c>
      <c r="D98">
        <v>292.39999999999998</v>
      </c>
      <c r="E98">
        <v>-0.76128283804348496</v>
      </c>
      <c r="F98" t="s">
        <v>18</v>
      </c>
      <c r="G98" t="s">
        <v>19</v>
      </c>
      <c r="H98">
        <v>1</v>
      </c>
      <c r="I98" t="s">
        <v>20</v>
      </c>
      <c r="J98" t="s">
        <v>19</v>
      </c>
      <c r="K98">
        <v>1</v>
      </c>
      <c r="L98" t="s">
        <v>30</v>
      </c>
      <c r="M98" t="s">
        <v>19</v>
      </c>
      <c r="N98">
        <v>0.98</v>
      </c>
      <c r="O98" t="s">
        <v>91</v>
      </c>
      <c r="P98" t="s">
        <v>19</v>
      </c>
      <c r="Q98">
        <v>0.88700000000000001</v>
      </c>
      <c r="R98" t="s">
        <v>23</v>
      </c>
      <c r="S98">
        <v>4</v>
      </c>
    </row>
    <row r="99" spans="1:19">
      <c r="A99">
        <v>98</v>
      </c>
      <c r="B99" t="s">
        <v>165</v>
      </c>
      <c r="C99">
        <v>472.67250000000001</v>
      </c>
      <c r="D99">
        <v>164</v>
      </c>
      <c r="E99">
        <v>-0.1447366134135</v>
      </c>
      <c r="F99" t="s">
        <v>97</v>
      </c>
      <c r="G99" t="s">
        <v>19</v>
      </c>
      <c r="H99">
        <v>0.64800000000000002</v>
      </c>
      <c r="I99" t="s">
        <v>98</v>
      </c>
      <c r="J99" t="s">
        <v>19</v>
      </c>
      <c r="K99">
        <v>0.85</v>
      </c>
      <c r="L99" t="s">
        <v>99</v>
      </c>
      <c r="M99" t="s">
        <v>19</v>
      </c>
      <c r="N99">
        <v>1</v>
      </c>
      <c r="O99" t="s">
        <v>100</v>
      </c>
      <c r="P99" t="s">
        <v>19</v>
      </c>
      <c r="Q99">
        <v>0.999</v>
      </c>
      <c r="R99" t="s">
        <v>23</v>
      </c>
      <c r="S99">
        <v>4</v>
      </c>
    </row>
    <row r="100" spans="1:19">
      <c r="A100">
        <v>99</v>
      </c>
      <c r="B100" t="s">
        <v>65</v>
      </c>
      <c r="C100">
        <v>549.28120000000001</v>
      </c>
      <c r="D100">
        <v>242.8</v>
      </c>
      <c r="E100">
        <v>-0.667899022472625</v>
      </c>
      <c r="F100" t="s">
        <v>18</v>
      </c>
      <c r="G100" t="s">
        <v>19</v>
      </c>
      <c r="H100">
        <v>1</v>
      </c>
      <c r="I100" t="s">
        <v>39</v>
      </c>
      <c r="J100" t="s">
        <v>19</v>
      </c>
      <c r="K100">
        <v>0.93</v>
      </c>
      <c r="L100" t="s">
        <v>40</v>
      </c>
      <c r="M100" t="s">
        <v>19</v>
      </c>
      <c r="N100">
        <v>1</v>
      </c>
      <c r="O100" t="s">
        <v>41</v>
      </c>
      <c r="P100" t="s">
        <v>19</v>
      </c>
      <c r="Q100">
        <v>1</v>
      </c>
      <c r="R100" t="s">
        <v>23</v>
      </c>
      <c r="S100">
        <v>4</v>
      </c>
    </row>
    <row r="101" spans="1:19">
      <c r="A101">
        <v>100</v>
      </c>
      <c r="B101" t="s">
        <v>166</v>
      </c>
      <c r="C101">
        <v>335.22219999999999</v>
      </c>
      <c r="D101">
        <v>186.8</v>
      </c>
      <c r="E101">
        <v>-0.84790700954471299</v>
      </c>
      <c r="F101" t="s">
        <v>18</v>
      </c>
      <c r="G101" t="s">
        <v>19</v>
      </c>
      <c r="H101">
        <v>1</v>
      </c>
      <c r="I101" t="s">
        <v>20</v>
      </c>
      <c r="J101" t="s">
        <v>19</v>
      </c>
      <c r="K101">
        <v>1</v>
      </c>
      <c r="L101" t="s">
        <v>25</v>
      </c>
      <c r="M101" t="s">
        <v>19</v>
      </c>
      <c r="N101">
        <v>0.76</v>
      </c>
      <c r="O101" t="s">
        <v>43</v>
      </c>
      <c r="P101" t="s">
        <v>19</v>
      </c>
      <c r="Q101">
        <v>0.64900000000000002</v>
      </c>
      <c r="R101" t="s">
        <v>23</v>
      </c>
      <c r="S101">
        <v>4</v>
      </c>
    </row>
    <row r="102" spans="1:19">
      <c r="A102">
        <v>101</v>
      </c>
      <c r="B102" t="s">
        <v>167</v>
      </c>
      <c r="C102">
        <v>608.08640000000003</v>
      </c>
      <c r="D102">
        <v>210.4</v>
      </c>
      <c r="E102">
        <v>-0.40743996360868101</v>
      </c>
      <c r="F102" t="s">
        <v>18</v>
      </c>
      <c r="G102" t="s">
        <v>19</v>
      </c>
      <c r="H102">
        <v>1</v>
      </c>
      <c r="I102" t="s">
        <v>72</v>
      </c>
      <c r="J102" t="s">
        <v>19</v>
      </c>
      <c r="K102">
        <v>1</v>
      </c>
      <c r="L102" t="s">
        <v>73</v>
      </c>
      <c r="M102" t="s">
        <v>19</v>
      </c>
      <c r="N102">
        <v>0.85</v>
      </c>
      <c r="O102" t="s">
        <v>168</v>
      </c>
      <c r="P102" t="s">
        <v>19</v>
      </c>
      <c r="Q102">
        <v>0.999</v>
      </c>
      <c r="R102" t="s">
        <v>23</v>
      </c>
      <c r="S102">
        <v>4</v>
      </c>
    </row>
    <row r="103" spans="1:19">
      <c r="A103">
        <v>102</v>
      </c>
      <c r="B103" t="s">
        <v>169</v>
      </c>
      <c r="C103">
        <v>168.02770000000001</v>
      </c>
      <c r="D103">
        <v>134.9</v>
      </c>
      <c r="E103">
        <v>-0.84008834924321696</v>
      </c>
      <c r="F103" t="s">
        <v>18</v>
      </c>
      <c r="G103" t="s">
        <v>19</v>
      </c>
      <c r="H103">
        <v>1</v>
      </c>
      <c r="I103" t="s">
        <v>61</v>
      </c>
      <c r="J103" t="s">
        <v>19</v>
      </c>
      <c r="K103">
        <v>0.63</v>
      </c>
      <c r="L103" t="s">
        <v>170</v>
      </c>
      <c r="M103" t="s">
        <v>19</v>
      </c>
      <c r="N103">
        <v>0.56999999999999995</v>
      </c>
      <c r="O103" t="s">
        <v>171</v>
      </c>
      <c r="P103" t="s">
        <v>19</v>
      </c>
      <c r="Q103">
        <v>0.86399999999999999</v>
      </c>
      <c r="R103" t="s">
        <v>23</v>
      </c>
      <c r="S103">
        <v>4</v>
      </c>
    </row>
    <row r="104" spans="1:19">
      <c r="A104">
        <v>103</v>
      </c>
      <c r="B104" t="s">
        <v>172</v>
      </c>
      <c r="C104">
        <v>247.1069</v>
      </c>
      <c r="D104">
        <v>153.4</v>
      </c>
      <c r="E104">
        <v>-0.83099231678826901</v>
      </c>
      <c r="F104" t="s">
        <v>18</v>
      </c>
      <c r="G104" t="s">
        <v>19</v>
      </c>
      <c r="H104">
        <v>1</v>
      </c>
      <c r="I104" t="s">
        <v>39</v>
      </c>
      <c r="J104" t="s">
        <v>19</v>
      </c>
      <c r="K104">
        <v>0.74</v>
      </c>
      <c r="L104" t="s">
        <v>40</v>
      </c>
      <c r="M104" t="s">
        <v>19</v>
      </c>
      <c r="N104">
        <v>0.89</v>
      </c>
      <c r="O104" t="s">
        <v>41</v>
      </c>
      <c r="P104" t="s">
        <v>19</v>
      </c>
      <c r="Q104">
        <v>0.98199999999999998</v>
      </c>
      <c r="R104" t="s">
        <v>23</v>
      </c>
      <c r="S104">
        <v>4</v>
      </c>
    </row>
    <row r="105" spans="1:19">
      <c r="A105">
        <v>104</v>
      </c>
      <c r="B105" t="s">
        <v>173</v>
      </c>
      <c r="C105">
        <v>213.00630000000001</v>
      </c>
      <c r="D105">
        <v>136.5</v>
      </c>
      <c r="E105">
        <v>-0.76846740713230599</v>
      </c>
      <c r="F105" t="s">
        <v>18</v>
      </c>
      <c r="G105" t="s">
        <v>19</v>
      </c>
      <c r="H105">
        <v>1</v>
      </c>
      <c r="I105" t="s">
        <v>39</v>
      </c>
      <c r="J105" t="s">
        <v>19</v>
      </c>
      <c r="K105">
        <v>0.79</v>
      </c>
      <c r="L105" t="s">
        <v>40</v>
      </c>
      <c r="M105" t="s">
        <v>19</v>
      </c>
      <c r="N105">
        <v>1</v>
      </c>
      <c r="O105" t="s">
        <v>88</v>
      </c>
      <c r="P105" t="s">
        <v>19</v>
      </c>
      <c r="Q105">
        <v>0.65</v>
      </c>
      <c r="R105" t="s">
        <v>23</v>
      </c>
      <c r="S105">
        <v>4</v>
      </c>
    </row>
    <row r="106" spans="1:19">
      <c r="A106">
        <v>105</v>
      </c>
      <c r="B106" t="s">
        <v>174</v>
      </c>
      <c r="C106">
        <v>260.05309999999997</v>
      </c>
      <c r="D106">
        <v>151.4</v>
      </c>
      <c r="E106">
        <v>-0.76273721234400704</v>
      </c>
      <c r="F106" t="s">
        <v>18</v>
      </c>
      <c r="G106" t="s">
        <v>19</v>
      </c>
      <c r="H106">
        <v>1</v>
      </c>
      <c r="I106" t="s">
        <v>45</v>
      </c>
      <c r="J106" t="s">
        <v>19</v>
      </c>
      <c r="K106">
        <v>0.87</v>
      </c>
      <c r="L106" t="s">
        <v>46</v>
      </c>
      <c r="M106" t="s">
        <v>19</v>
      </c>
      <c r="N106">
        <v>1</v>
      </c>
      <c r="O106" t="s">
        <v>47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175</v>
      </c>
      <c r="C107">
        <v>802.5702</v>
      </c>
      <c r="D107">
        <v>290.5</v>
      </c>
      <c r="E107">
        <v>-0.67408870364704399</v>
      </c>
      <c r="F107" t="s">
        <v>18</v>
      </c>
      <c r="G107" t="s">
        <v>19</v>
      </c>
      <c r="H107">
        <v>1</v>
      </c>
      <c r="I107" t="s">
        <v>20</v>
      </c>
      <c r="J107" t="s">
        <v>19</v>
      </c>
      <c r="K107">
        <v>1</v>
      </c>
      <c r="L107" t="s">
        <v>21</v>
      </c>
      <c r="M107" t="s">
        <v>19</v>
      </c>
      <c r="N107">
        <v>1</v>
      </c>
      <c r="O107" t="s">
        <v>28</v>
      </c>
      <c r="P107" t="s">
        <v>19</v>
      </c>
      <c r="Q107">
        <v>0.56799999999999995</v>
      </c>
      <c r="R107" t="s">
        <v>23</v>
      </c>
      <c r="S107">
        <v>4</v>
      </c>
    </row>
    <row r="108" spans="1:19">
      <c r="A108">
        <v>107</v>
      </c>
      <c r="B108" t="s">
        <v>176</v>
      </c>
      <c r="C108">
        <v>197.00620000000001</v>
      </c>
      <c r="D108">
        <v>145.9</v>
      </c>
      <c r="E108">
        <v>-0.78623234947974696</v>
      </c>
      <c r="F108" t="s">
        <v>18</v>
      </c>
      <c r="G108" t="s">
        <v>19</v>
      </c>
      <c r="H108">
        <v>1</v>
      </c>
      <c r="I108" t="s">
        <v>39</v>
      </c>
      <c r="J108" t="s">
        <v>19</v>
      </c>
      <c r="K108">
        <v>0.83</v>
      </c>
      <c r="L108" t="s">
        <v>40</v>
      </c>
      <c r="M108" t="s">
        <v>19</v>
      </c>
      <c r="N108">
        <v>1</v>
      </c>
      <c r="O108" t="s">
        <v>88</v>
      </c>
      <c r="P108" t="s">
        <v>19</v>
      </c>
      <c r="Q108">
        <v>0.78200000000000003</v>
      </c>
      <c r="R108" t="s">
        <v>23</v>
      </c>
      <c r="S108">
        <v>4</v>
      </c>
    </row>
    <row r="109" spans="1:19">
      <c r="A109">
        <v>108</v>
      </c>
      <c r="B109" t="s">
        <v>177</v>
      </c>
      <c r="C109">
        <v>396.45690000000002</v>
      </c>
      <c r="D109">
        <v>227.8</v>
      </c>
      <c r="E109">
        <v>-1.42352877953158E-2</v>
      </c>
      <c r="F109" t="s">
        <v>18</v>
      </c>
      <c r="G109" t="s">
        <v>19</v>
      </c>
      <c r="H109">
        <v>1</v>
      </c>
      <c r="I109" t="s">
        <v>178</v>
      </c>
      <c r="J109" t="s">
        <v>19</v>
      </c>
      <c r="K109">
        <v>0.99</v>
      </c>
      <c r="L109" t="s">
        <v>179</v>
      </c>
      <c r="M109" t="s">
        <v>19</v>
      </c>
      <c r="N109">
        <v>1</v>
      </c>
      <c r="O109" t="s">
        <v>180</v>
      </c>
      <c r="P109" t="s">
        <v>19</v>
      </c>
      <c r="Q109">
        <v>0.99399999999999999</v>
      </c>
      <c r="R109" t="s">
        <v>23</v>
      </c>
      <c r="S109">
        <v>4</v>
      </c>
    </row>
    <row r="110" spans="1:19">
      <c r="A110">
        <v>109</v>
      </c>
      <c r="B110" t="s">
        <v>181</v>
      </c>
      <c r="C110">
        <v>811.42010000000005</v>
      </c>
      <c r="D110">
        <v>273.39999999999998</v>
      </c>
      <c r="E110">
        <v>-0.51410733082559501</v>
      </c>
      <c r="F110" t="s">
        <v>18</v>
      </c>
      <c r="G110" t="s">
        <v>19</v>
      </c>
      <c r="H110">
        <v>1</v>
      </c>
      <c r="I110" t="s">
        <v>39</v>
      </c>
      <c r="J110" t="s">
        <v>19</v>
      </c>
      <c r="K110">
        <v>0.99</v>
      </c>
      <c r="L110" t="s">
        <v>40</v>
      </c>
      <c r="M110" t="s">
        <v>19</v>
      </c>
      <c r="N110">
        <v>0.95</v>
      </c>
      <c r="O110" t="s">
        <v>41</v>
      </c>
      <c r="P110" t="s">
        <v>19</v>
      </c>
      <c r="Q110">
        <v>1</v>
      </c>
      <c r="R110" t="s">
        <v>23</v>
      </c>
      <c r="S110">
        <v>4</v>
      </c>
    </row>
    <row r="111" spans="1:19">
      <c r="A111">
        <v>110</v>
      </c>
      <c r="B111" t="s">
        <v>182</v>
      </c>
      <c r="C111">
        <v>240.04900000000001</v>
      </c>
      <c r="D111">
        <v>145.9</v>
      </c>
      <c r="E111">
        <v>-0.78097282857220296</v>
      </c>
      <c r="F111" t="s">
        <v>18</v>
      </c>
      <c r="G111" t="s">
        <v>19</v>
      </c>
      <c r="H111">
        <v>1</v>
      </c>
      <c r="I111" t="s">
        <v>39</v>
      </c>
      <c r="J111" t="s">
        <v>19</v>
      </c>
      <c r="K111">
        <v>0.95</v>
      </c>
      <c r="L111" t="s">
        <v>40</v>
      </c>
      <c r="M111" t="s">
        <v>19</v>
      </c>
      <c r="N111">
        <v>1</v>
      </c>
      <c r="O111" t="s">
        <v>41</v>
      </c>
      <c r="P111" t="s">
        <v>19</v>
      </c>
      <c r="Q111">
        <v>0.94699999999999995</v>
      </c>
      <c r="R111" t="s">
        <v>23</v>
      </c>
      <c r="S111">
        <v>4</v>
      </c>
    </row>
    <row r="112" spans="1:19">
      <c r="A112">
        <v>111</v>
      </c>
      <c r="B112" t="s">
        <v>183</v>
      </c>
      <c r="C112">
        <v>305.08479999999997</v>
      </c>
      <c r="D112">
        <v>166.3</v>
      </c>
      <c r="E112">
        <v>-0.74415698132622798</v>
      </c>
      <c r="F112" t="s">
        <v>18</v>
      </c>
      <c r="G112" t="s">
        <v>19</v>
      </c>
      <c r="H112">
        <v>1</v>
      </c>
      <c r="I112" t="s">
        <v>45</v>
      </c>
      <c r="J112" t="s">
        <v>19</v>
      </c>
      <c r="K112">
        <v>0.64</v>
      </c>
      <c r="L112" t="s">
        <v>46</v>
      </c>
      <c r="M112" t="s">
        <v>19</v>
      </c>
      <c r="N112">
        <v>1</v>
      </c>
      <c r="O112" t="s">
        <v>47</v>
      </c>
      <c r="P112" t="s">
        <v>19</v>
      </c>
      <c r="Q112">
        <v>1</v>
      </c>
      <c r="R112" t="s">
        <v>23</v>
      </c>
      <c r="S112">
        <v>4</v>
      </c>
    </row>
    <row r="113" spans="1:19">
      <c r="A113">
        <v>112</v>
      </c>
      <c r="B113" t="s">
        <v>184</v>
      </c>
      <c r="C113">
        <v>585.05110000000002</v>
      </c>
      <c r="D113">
        <v>218.5</v>
      </c>
      <c r="E113">
        <v>-0.39786007201144002</v>
      </c>
      <c r="F113" t="s">
        <v>18</v>
      </c>
      <c r="G113" t="s">
        <v>19</v>
      </c>
      <c r="H113">
        <v>1</v>
      </c>
      <c r="I113" t="s">
        <v>72</v>
      </c>
      <c r="J113" t="s">
        <v>19</v>
      </c>
      <c r="K113">
        <v>1</v>
      </c>
      <c r="L113" t="s">
        <v>73</v>
      </c>
      <c r="M113" t="s">
        <v>19</v>
      </c>
      <c r="N113">
        <v>0.73</v>
      </c>
      <c r="O113" t="s">
        <v>168</v>
      </c>
      <c r="P113" t="s">
        <v>19</v>
      </c>
      <c r="Q113">
        <v>0.999</v>
      </c>
      <c r="R113" t="s">
        <v>23</v>
      </c>
      <c r="S113">
        <v>4</v>
      </c>
    </row>
    <row r="114" spans="1:19">
      <c r="A114">
        <v>113</v>
      </c>
      <c r="B114" t="s">
        <v>185</v>
      </c>
      <c r="C114">
        <v>466.96589999999998</v>
      </c>
      <c r="D114">
        <v>178.5</v>
      </c>
      <c r="E114">
        <v>-0.44450832859024603</v>
      </c>
      <c r="F114" t="s">
        <v>18</v>
      </c>
      <c r="G114" t="s">
        <v>19</v>
      </c>
      <c r="H114">
        <v>1</v>
      </c>
      <c r="I114" t="s">
        <v>72</v>
      </c>
      <c r="J114" t="s">
        <v>19</v>
      </c>
      <c r="K114">
        <v>0.73</v>
      </c>
      <c r="L114" t="s">
        <v>73</v>
      </c>
      <c r="M114" t="s">
        <v>19</v>
      </c>
      <c r="N114">
        <v>0.83</v>
      </c>
      <c r="O114" t="s">
        <v>110</v>
      </c>
      <c r="P114" t="s">
        <v>19</v>
      </c>
      <c r="Q114">
        <v>0.56000000000000005</v>
      </c>
      <c r="R114" t="s">
        <v>23</v>
      </c>
      <c r="S114">
        <v>4</v>
      </c>
    </row>
    <row r="115" spans="1:19">
      <c r="A115">
        <v>114</v>
      </c>
      <c r="B115" t="s">
        <v>186</v>
      </c>
      <c r="C115">
        <v>869.452</v>
      </c>
      <c r="D115">
        <v>293.10000000000002</v>
      </c>
      <c r="E115">
        <v>-0.481211701559914</v>
      </c>
      <c r="F115" t="s">
        <v>18</v>
      </c>
      <c r="G115" t="s">
        <v>19</v>
      </c>
      <c r="H115">
        <v>1</v>
      </c>
      <c r="I115" t="s">
        <v>39</v>
      </c>
      <c r="J115" t="s">
        <v>19</v>
      </c>
      <c r="K115">
        <v>0.59</v>
      </c>
      <c r="L115" t="s">
        <v>40</v>
      </c>
      <c r="M115" t="s">
        <v>19</v>
      </c>
      <c r="N115">
        <v>0.99</v>
      </c>
      <c r="O115" t="s">
        <v>41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115</v>
      </c>
      <c r="B116" t="s">
        <v>187</v>
      </c>
      <c r="C116">
        <v>782.5675</v>
      </c>
      <c r="D116">
        <v>292.10000000000002</v>
      </c>
      <c r="E116">
        <v>-0.69372275670252703</v>
      </c>
      <c r="F116" t="s">
        <v>18</v>
      </c>
      <c r="G116" t="s">
        <v>19</v>
      </c>
      <c r="H116">
        <v>1</v>
      </c>
      <c r="I116" t="s">
        <v>20</v>
      </c>
      <c r="J116" t="s">
        <v>19</v>
      </c>
      <c r="K116">
        <v>1</v>
      </c>
      <c r="L116" t="s">
        <v>21</v>
      </c>
      <c r="M116" t="s">
        <v>19</v>
      </c>
      <c r="N116">
        <v>0.97</v>
      </c>
      <c r="O116" t="s">
        <v>22</v>
      </c>
      <c r="P116" t="s">
        <v>19</v>
      </c>
      <c r="Q116">
        <v>0.95599999999999996</v>
      </c>
      <c r="R116" t="s">
        <v>23</v>
      </c>
      <c r="S116">
        <v>4</v>
      </c>
    </row>
    <row r="117" spans="1:19">
      <c r="A117">
        <v>116</v>
      </c>
      <c r="B117" t="s">
        <v>188</v>
      </c>
      <c r="C117">
        <v>258.0292</v>
      </c>
      <c r="D117">
        <v>149.5</v>
      </c>
      <c r="E117">
        <v>-0.741097001771436</v>
      </c>
      <c r="F117" t="s">
        <v>18</v>
      </c>
      <c r="G117" t="s">
        <v>19</v>
      </c>
      <c r="H117">
        <v>1</v>
      </c>
      <c r="I117" t="s">
        <v>45</v>
      </c>
      <c r="J117" t="s">
        <v>19</v>
      </c>
      <c r="K117">
        <v>0.86</v>
      </c>
      <c r="L117" t="s">
        <v>46</v>
      </c>
      <c r="M117" t="s">
        <v>19</v>
      </c>
      <c r="N117">
        <v>1</v>
      </c>
      <c r="O117" t="s">
        <v>47</v>
      </c>
      <c r="P117" t="s">
        <v>19</v>
      </c>
      <c r="Q117">
        <v>1</v>
      </c>
      <c r="R117" t="s">
        <v>23</v>
      </c>
      <c r="S117">
        <v>4</v>
      </c>
    </row>
    <row r="118" spans="1:19">
      <c r="A118">
        <v>117</v>
      </c>
      <c r="B118" t="s">
        <v>189</v>
      </c>
      <c r="C118">
        <v>894.52369999999996</v>
      </c>
      <c r="D118">
        <v>298.5</v>
      </c>
      <c r="E118">
        <v>-0.52491784683070397</v>
      </c>
      <c r="F118" t="s">
        <v>18</v>
      </c>
      <c r="G118" t="s">
        <v>19</v>
      </c>
      <c r="H118">
        <v>1</v>
      </c>
      <c r="I118" t="s">
        <v>20</v>
      </c>
      <c r="J118" t="s">
        <v>19</v>
      </c>
      <c r="K118">
        <v>0.99</v>
      </c>
      <c r="L118" t="s">
        <v>21</v>
      </c>
      <c r="M118" t="s">
        <v>19</v>
      </c>
      <c r="N118">
        <v>1</v>
      </c>
      <c r="O118" t="s">
        <v>56</v>
      </c>
      <c r="P118" t="s">
        <v>19</v>
      </c>
      <c r="Q118">
        <v>1</v>
      </c>
      <c r="R118" t="s">
        <v>23</v>
      </c>
      <c r="S118">
        <v>4</v>
      </c>
    </row>
    <row r="119" spans="1:19">
      <c r="A119">
        <v>118</v>
      </c>
      <c r="B119" t="s">
        <v>190</v>
      </c>
      <c r="C119">
        <v>785.65359999999998</v>
      </c>
      <c r="D119">
        <v>296.8</v>
      </c>
      <c r="E119">
        <v>-0.77637696582758098</v>
      </c>
      <c r="F119" t="s">
        <v>18</v>
      </c>
      <c r="G119" t="s">
        <v>19</v>
      </c>
      <c r="H119">
        <v>1</v>
      </c>
      <c r="I119" t="s">
        <v>20</v>
      </c>
      <c r="J119" t="s">
        <v>19</v>
      </c>
      <c r="K119">
        <v>1</v>
      </c>
      <c r="L119" t="s">
        <v>30</v>
      </c>
      <c r="M119" t="s">
        <v>19</v>
      </c>
      <c r="N119">
        <v>0.98</v>
      </c>
      <c r="O119" t="s">
        <v>191</v>
      </c>
      <c r="P119" t="s">
        <v>19</v>
      </c>
      <c r="Q119">
        <v>0.83699999999999997</v>
      </c>
      <c r="R119" t="s">
        <v>23</v>
      </c>
      <c r="S119">
        <v>4</v>
      </c>
    </row>
    <row r="120" spans="1:19">
      <c r="A120">
        <v>119</v>
      </c>
      <c r="B120" t="s">
        <v>37</v>
      </c>
      <c r="C120">
        <v>563.3614</v>
      </c>
      <c r="D120">
        <v>224.3</v>
      </c>
      <c r="E120">
        <v>-0.73237774815311196</v>
      </c>
      <c r="F120" t="s">
        <v>18</v>
      </c>
      <c r="G120" t="s">
        <v>19</v>
      </c>
      <c r="H120">
        <v>1</v>
      </c>
      <c r="I120" t="s">
        <v>20</v>
      </c>
      <c r="J120" t="s">
        <v>19</v>
      </c>
      <c r="K120">
        <v>0.78</v>
      </c>
      <c r="L120" t="s">
        <v>21</v>
      </c>
      <c r="M120" t="s">
        <v>19</v>
      </c>
      <c r="N120">
        <v>0.88</v>
      </c>
      <c r="O120" t="s">
        <v>22</v>
      </c>
      <c r="P120" t="s">
        <v>19</v>
      </c>
      <c r="Q120">
        <v>0.76800000000000002</v>
      </c>
      <c r="R120" t="s">
        <v>23</v>
      </c>
      <c r="S120">
        <v>4</v>
      </c>
    </row>
    <row r="121" spans="1:19">
      <c r="A121">
        <v>120</v>
      </c>
      <c r="B121" t="s">
        <v>192</v>
      </c>
      <c r="C121">
        <v>802.41949999999997</v>
      </c>
      <c r="D121">
        <v>169.9</v>
      </c>
      <c r="E121">
        <v>-0.52355696802112595</v>
      </c>
      <c r="F121" t="s">
        <v>97</v>
      </c>
      <c r="G121" t="s">
        <v>19</v>
      </c>
      <c r="H121">
        <v>0.90200000000000002</v>
      </c>
      <c r="I121" t="s">
        <v>98</v>
      </c>
      <c r="J121" t="s">
        <v>19</v>
      </c>
      <c r="K121">
        <v>0.77</v>
      </c>
      <c r="L121" t="s">
        <v>99</v>
      </c>
      <c r="M121" t="s">
        <v>19</v>
      </c>
      <c r="N121">
        <v>1</v>
      </c>
      <c r="O121" t="s">
        <v>100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121</v>
      </c>
      <c r="B122" t="s">
        <v>193</v>
      </c>
      <c r="C122">
        <v>1621.8278</v>
      </c>
      <c r="D122">
        <v>230.5</v>
      </c>
      <c r="E122">
        <v>-1.6945058813234899E-2</v>
      </c>
      <c r="F122" t="s">
        <v>97</v>
      </c>
      <c r="G122" t="s">
        <v>19</v>
      </c>
      <c r="H122">
        <v>1</v>
      </c>
      <c r="I122" t="s">
        <v>98</v>
      </c>
      <c r="J122" t="s">
        <v>19</v>
      </c>
      <c r="K122">
        <v>1</v>
      </c>
      <c r="L122" t="s">
        <v>99</v>
      </c>
      <c r="M122" t="s">
        <v>19</v>
      </c>
      <c r="N122">
        <v>1</v>
      </c>
      <c r="O122" t="s">
        <v>100</v>
      </c>
      <c r="P122" t="s">
        <v>19</v>
      </c>
      <c r="Q122">
        <v>0.996</v>
      </c>
      <c r="R122" t="s">
        <v>23</v>
      </c>
      <c r="S122">
        <v>4</v>
      </c>
    </row>
    <row r="123" spans="1:19">
      <c r="A123">
        <v>122</v>
      </c>
      <c r="B123" t="s">
        <v>194</v>
      </c>
      <c r="C123">
        <v>773.58190000000002</v>
      </c>
      <c r="D123">
        <v>289.7</v>
      </c>
      <c r="E123">
        <v>-0.71815564561927703</v>
      </c>
      <c r="F123" t="s">
        <v>18</v>
      </c>
      <c r="G123" t="s">
        <v>19</v>
      </c>
      <c r="H123">
        <v>1</v>
      </c>
      <c r="I123" t="s">
        <v>20</v>
      </c>
      <c r="J123" t="s">
        <v>19</v>
      </c>
      <c r="K123">
        <v>1</v>
      </c>
      <c r="L123" t="s">
        <v>30</v>
      </c>
      <c r="M123" t="s">
        <v>19</v>
      </c>
      <c r="N123">
        <v>0.88</v>
      </c>
      <c r="O123" t="s">
        <v>191</v>
      </c>
      <c r="P123" t="s">
        <v>19</v>
      </c>
      <c r="Q123">
        <v>0.82</v>
      </c>
      <c r="R123" t="s">
        <v>23</v>
      </c>
      <c r="S123">
        <v>4</v>
      </c>
    </row>
    <row r="124" spans="1:19">
      <c r="A124">
        <v>123</v>
      </c>
      <c r="B124" t="s">
        <v>195</v>
      </c>
      <c r="C124">
        <v>2143.9155999999998</v>
      </c>
      <c r="D124">
        <v>372.2</v>
      </c>
      <c r="E124">
        <v>-0.52180692421961805</v>
      </c>
      <c r="F124" t="s">
        <v>18</v>
      </c>
      <c r="G124" t="s">
        <v>19</v>
      </c>
      <c r="H124">
        <v>1</v>
      </c>
      <c r="I124" t="s">
        <v>34</v>
      </c>
      <c r="J124" t="s">
        <v>19</v>
      </c>
      <c r="K124">
        <v>0.96</v>
      </c>
      <c r="L124" t="s">
        <v>35</v>
      </c>
      <c r="M124" t="s">
        <v>19</v>
      </c>
      <c r="N124">
        <v>1</v>
      </c>
      <c r="O124" t="s">
        <v>36</v>
      </c>
      <c r="P124" t="s">
        <v>19</v>
      </c>
      <c r="Q124">
        <v>1</v>
      </c>
      <c r="R124" t="s">
        <v>23</v>
      </c>
      <c r="S124">
        <v>4</v>
      </c>
    </row>
    <row r="125" spans="1:19">
      <c r="A125">
        <v>124</v>
      </c>
      <c r="B125" t="s">
        <v>196</v>
      </c>
      <c r="C125">
        <v>203.04570000000001</v>
      </c>
      <c r="D125">
        <v>138.19999999999999</v>
      </c>
      <c r="E125">
        <v>-0.818988934169397</v>
      </c>
      <c r="F125" t="s">
        <v>18</v>
      </c>
      <c r="G125" t="s">
        <v>19</v>
      </c>
      <c r="H125">
        <v>1</v>
      </c>
      <c r="I125" t="s">
        <v>39</v>
      </c>
      <c r="J125" t="s">
        <v>19</v>
      </c>
      <c r="K125">
        <v>0.79</v>
      </c>
      <c r="L125" t="s">
        <v>40</v>
      </c>
      <c r="M125" t="s">
        <v>19</v>
      </c>
      <c r="N125">
        <v>1</v>
      </c>
      <c r="O125" t="s">
        <v>41</v>
      </c>
      <c r="P125" t="s">
        <v>19</v>
      </c>
      <c r="Q125">
        <v>1</v>
      </c>
      <c r="R125" t="s">
        <v>23</v>
      </c>
      <c r="S125">
        <v>4</v>
      </c>
    </row>
    <row r="126" spans="1:19">
      <c r="A126">
        <v>125</v>
      </c>
      <c r="B126" t="s">
        <v>197</v>
      </c>
      <c r="C126">
        <v>816.54949999999997</v>
      </c>
      <c r="D126">
        <v>289.89999999999998</v>
      </c>
      <c r="E126">
        <v>-0.63778008941596898</v>
      </c>
      <c r="F126" t="s">
        <v>18</v>
      </c>
      <c r="G126" t="s">
        <v>19</v>
      </c>
      <c r="H126">
        <v>1</v>
      </c>
      <c r="I126" t="s">
        <v>20</v>
      </c>
      <c r="J126" t="s">
        <v>19</v>
      </c>
      <c r="K126">
        <v>1</v>
      </c>
      <c r="L126" t="s">
        <v>21</v>
      </c>
      <c r="M126" t="s">
        <v>19</v>
      </c>
      <c r="N126">
        <v>1</v>
      </c>
      <c r="O126" t="s">
        <v>28</v>
      </c>
      <c r="P126" t="s">
        <v>19</v>
      </c>
      <c r="Q126">
        <v>0.71499999999999997</v>
      </c>
      <c r="R126" t="s">
        <v>23</v>
      </c>
      <c r="S126">
        <v>4</v>
      </c>
    </row>
    <row r="127" spans="1:19">
      <c r="A127">
        <v>126</v>
      </c>
      <c r="B127" t="s">
        <v>198</v>
      </c>
      <c r="C127">
        <v>375.21710000000002</v>
      </c>
      <c r="D127">
        <v>194.2</v>
      </c>
      <c r="E127">
        <v>-0.79815062722889296</v>
      </c>
      <c r="F127" t="s">
        <v>18</v>
      </c>
      <c r="G127" t="s">
        <v>19</v>
      </c>
      <c r="H127">
        <v>1</v>
      </c>
      <c r="I127" t="s">
        <v>20</v>
      </c>
      <c r="J127" t="s">
        <v>19</v>
      </c>
      <c r="K127">
        <v>1</v>
      </c>
      <c r="L127" t="s">
        <v>25</v>
      </c>
      <c r="M127" t="s">
        <v>19</v>
      </c>
      <c r="N127">
        <v>0.99</v>
      </c>
      <c r="O127" t="s">
        <v>26</v>
      </c>
      <c r="P127" t="s">
        <v>19</v>
      </c>
      <c r="Q127">
        <v>0.80900000000000005</v>
      </c>
      <c r="R127" t="s">
        <v>23</v>
      </c>
      <c r="S127">
        <v>4</v>
      </c>
    </row>
    <row r="128" spans="1:19">
      <c r="A128">
        <v>127</v>
      </c>
      <c r="B128" t="s">
        <v>199</v>
      </c>
      <c r="C128">
        <v>783.43600000000004</v>
      </c>
      <c r="D128">
        <v>271.60000000000002</v>
      </c>
      <c r="E128">
        <v>-0.56125303136150295</v>
      </c>
      <c r="F128" t="s">
        <v>18</v>
      </c>
      <c r="G128" t="s">
        <v>19</v>
      </c>
      <c r="H128">
        <v>1</v>
      </c>
      <c r="I128" t="s">
        <v>39</v>
      </c>
      <c r="J128" t="s">
        <v>19</v>
      </c>
      <c r="K128">
        <v>0.77</v>
      </c>
      <c r="L128" t="s">
        <v>135</v>
      </c>
      <c r="M128" t="s">
        <v>19</v>
      </c>
      <c r="N128">
        <v>0.67</v>
      </c>
      <c r="O128" t="s">
        <v>200</v>
      </c>
      <c r="P128" t="s">
        <v>19</v>
      </c>
      <c r="Q128">
        <v>0.999</v>
      </c>
      <c r="R128" t="s">
        <v>23</v>
      </c>
      <c r="S128">
        <v>4</v>
      </c>
    </row>
    <row r="129" spans="1:19">
      <c r="A129">
        <v>128</v>
      </c>
      <c r="B129" t="s">
        <v>201</v>
      </c>
      <c r="C129">
        <v>344.02659999999997</v>
      </c>
      <c r="D129">
        <v>163.30000000000001</v>
      </c>
      <c r="E129">
        <v>-0.64247643983549096</v>
      </c>
      <c r="F129" t="s">
        <v>18</v>
      </c>
      <c r="G129" t="s">
        <v>19</v>
      </c>
      <c r="H129">
        <v>1</v>
      </c>
      <c r="I129" t="s">
        <v>72</v>
      </c>
      <c r="J129" t="s">
        <v>19</v>
      </c>
      <c r="K129">
        <v>0.98</v>
      </c>
      <c r="L129" t="s">
        <v>73</v>
      </c>
      <c r="M129" t="s">
        <v>19</v>
      </c>
      <c r="N129">
        <v>0.95</v>
      </c>
      <c r="O129" t="s">
        <v>74</v>
      </c>
      <c r="P129" t="s">
        <v>19</v>
      </c>
      <c r="Q129">
        <v>0.83799999999999997</v>
      </c>
      <c r="R129" t="s">
        <v>23</v>
      </c>
      <c r="S129">
        <v>4</v>
      </c>
    </row>
    <row r="130" spans="1:19">
      <c r="A130">
        <v>129</v>
      </c>
      <c r="B130" t="s">
        <v>27</v>
      </c>
      <c r="C130">
        <v>754.47889999999995</v>
      </c>
      <c r="D130">
        <v>275.89999999999998</v>
      </c>
      <c r="E130">
        <v>-0.636485136913848</v>
      </c>
      <c r="F130" t="s">
        <v>18</v>
      </c>
      <c r="G130" t="s">
        <v>19</v>
      </c>
      <c r="H130">
        <v>1</v>
      </c>
      <c r="I130" t="s">
        <v>20</v>
      </c>
      <c r="J130" t="s">
        <v>19</v>
      </c>
      <c r="K130">
        <v>0.95</v>
      </c>
      <c r="L130" t="s">
        <v>21</v>
      </c>
      <c r="M130" t="s">
        <v>19</v>
      </c>
      <c r="N130">
        <v>1</v>
      </c>
      <c r="O130" t="s">
        <v>28</v>
      </c>
      <c r="P130" t="s">
        <v>19</v>
      </c>
      <c r="Q130">
        <v>0.9</v>
      </c>
      <c r="R130" t="s">
        <v>23</v>
      </c>
      <c r="S130">
        <v>4</v>
      </c>
    </row>
    <row r="131" spans="1:19">
      <c r="A131">
        <v>130</v>
      </c>
      <c r="B131" t="s">
        <v>202</v>
      </c>
      <c r="C131">
        <v>1543.954</v>
      </c>
      <c r="D131">
        <v>313.8</v>
      </c>
      <c r="E131">
        <v>-0.23009519958577601</v>
      </c>
      <c r="F131" t="s">
        <v>18</v>
      </c>
      <c r="G131" t="s">
        <v>19</v>
      </c>
      <c r="H131">
        <v>0.99399999999999999</v>
      </c>
      <c r="I131" t="s">
        <v>34</v>
      </c>
      <c r="J131" t="s">
        <v>19</v>
      </c>
      <c r="K131">
        <v>0.96</v>
      </c>
      <c r="L131" t="s">
        <v>35</v>
      </c>
      <c r="M131" t="s">
        <v>19</v>
      </c>
      <c r="N131">
        <v>1</v>
      </c>
      <c r="O131" t="s">
        <v>36</v>
      </c>
      <c r="P131" t="s">
        <v>19</v>
      </c>
      <c r="Q131">
        <v>1</v>
      </c>
      <c r="R131" t="s">
        <v>23</v>
      </c>
      <c r="S131">
        <v>4</v>
      </c>
    </row>
    <row r="132" spans="1:19">
      <c r="A132">
        <v>131</v>
      </c>
      <c r="B132" t="s">
        <v>203</v>
      </c>
      <c r="C132">
        <v>813.68489999999997</v>
      </c>
      <c r="D132">
        <v>302.2</v>
      </c>
      <c r="E132">
        <v>-0.77637856404101102</v>
      </c>
      <c r="F132" t="s">
        <v>18</v>
      </c>
      <c r="G132" t="s">
        <v>19</v>
      </c>
      <c r="H132">
        <v>1</v>
      </c>
      <c r="I132" t="s">
        <v>20</v>
      </c>
      <c r="J132" t="s">
        <v>19</v>
      </c>
      <c r="K132">
        <v>1</v>
      </c>
      <c r="L132" t="s">
        <v>30</v>
      </c>
      <c r="M132" t="s">
        <v>19</v>
      </c>
      <c r="N132">
        <v>1</v>
      </c>
      <c r="O132" t="s">
        <v>191</v>
      </c>
      <c r="P132" t="s">
        <v>19</v>
      </c>
      <c r="Q132">
        <v>0.86199999999999999</v>
      </c>
      <c r="R132" t="s">
        <v>23</v>
      </c>
      <c r="S132">
        <v>4</v>
      </c>
    </row>
    <row r="133" spans="1:19">
      <c r="A133">
        <v>132</v>
      </c>
      <c r="B133" t="s">
        <v>204</v>
      </c>
      <c r="C133">
        <v>190.05449999999999</v>
      </c>
      <c r="D133">
        <v>142.69999999999999</v>
      </c>
      <c r="E133">
        <v>-0.84229428344994495</v>
      </c>
      <c r="F133" t="s">
        <v>18</v>
      </c>
      <c r="G133" t="s">
        <v>19</v>
      </c>
      <c r="H133">
        <v>1</v>
      </c>
      <c r="I133" t="s">
        <v>39</v>
      </c>
      <c r="J133" t="s">
        <v>19</v>
      </c>
      <c r="K133">
        <v>0.77</v>
      </c>
      <c r="L133" t="s">
        <v>40</v>
      </c>
      <c r="M133" t="s">
        <v>19</v>
      </c>
      <c r="N133">
        <v>1</v>
      </c>
      <c r="O133" t="s">
        <v>41</v>
      </c>
      <c r="P133" t="s">
        <v>19</v>
      </c>
      <c r="Q133">
        <v>0.997</v>
      </c>
      <c r="R133" t="s">
        <v>23</v>
      </c>
      <c r="S133">
        <v>4</v>
      </c>
    </row>
    <row r="134" spans="1:19">
      <c r="A134">
        <v>133</v>
      </c>
      <c r="B134" t="s">
        <v>205</v>
      </c>
      <c r="C134">
        <v>112.0509</v>
      </c>
      <c r="D134">
        <v>117.4</v>
      </c>
      <c r="E134">
        <v>-0.92578935266158202</v>
      </c>
      <c r="F134" t="s">
        <v>18</v>
      </c>
      <c r="G134" t="s">
        <v>19</v>
      </c>
      <c r="H134">
        <v>1</v>
      </c>
      <c r="I134" t="s">
        <v>61</v>
      </c>
      <c r="J134" t="s">
        <v>19</v>
      </c>
      <c r="K134">
        <v>0.6</v>
      </c>
      <c r="L134" t="s">
        <v>206</v>
      </c>
      <c r="M134" t="s">
        <v>19</v>
      </c>
      <c r="N134">
        <v>0.9</v>
      </c>
      <c r="O134" t="s">
        <v>207</v>
      </c>
      <c r="P134" t="s">
        <v>19</v>
      </c>
      <c r="Q134">
        <v>1</v>
      </c>
      <c r="R134" t="s">
        <v>23</v>
      </c>
      <c r="S134">
        <v>4</v>
      </c>
    </row>
    <row r="135" spans="1:19">
      <c r="A135">
        <v>134</v>
      </c>
      <c r="B135" t="s">
        <v>208</v>
      </c>
      <c r="C135">
        <v>275.14839999999998</v>
      </c>
      <c r="D135">
        <v>178.4</v>
      </c>
      <c r="E135">
        <v>-0.84118252617219003</v>
      </c>
      <c r="F135" t="s">
        <v>18</v>
      </c>
      <c r="G135" t="s">
        <v>19</v>
      </c>
      <c r="H135">
        <v>1</v>
      </c>
      <c r="I135" t="s">
        <v>178</v>
      </c>
      <c r="J135" t="s">
        <v>19</v>
      </c>
      <c r="K135">
        <v>0.67</v>
      </c>
      <c r="L135" t="s">
        <v>179</v>
      </c>
      <c r="M135" t="s">
        <v>19</v>
      </c>
      <c r="N135">
        <v>0.94</v>
      </c>
      <c r="O135" t="s">
        <v>209</v>
      </c>
      <c r="P135" t="s">
        <v>19</v>
      </c>
      <c r="Q135">
        <v>0.76100000000000001</v>
      </c>
      <c r="R135" t="s">
        <v>23</v>
      </c>
      <c r="S135">
        <v>4</v>
      </c>
    </row>
    <row r="136" spans="1:19">
      <c r="A136">
        <v>135</v>
      </c>
      <c r="B136" t="s">
        <v>210</v>
      </c>
      <c r="C136">
        <v>769.56259999999997</v>
      </c>
      <c r="D136">
        <v>288.3</v>
      </c>
      <c r="E136">
        <v>-0.703343402744395</v>
      </c>
      <c r="F136" t="s">
        <v>18</v>
      </c>
      <c r="G136" t="s">
        <v>19</v>
      </c>
      <c r="H136">
        <v>1</v>
      </c>
      <c r="I136" t="s">
        <v>20</v>
      </c>
      <c r="J136" t="s">
        <v>19</v>
      </c>
      <c r="K136">
        <v>1</v>
      </c>
      <c r="L136" t="s">
        <v>30</v>
      </c>
      <c r="M136" t="s">
        <v>19</v>
      </c>
      <c r="N136">
        <v>0.66</v>
      </c>
      <c r="O136" t="s">
        <v>191</v>
      </c>
      <c r="P136" t="s">
        <v>19</v>
      </c>
      <c r="Q136">
        <v>0.78300000000000003</v>
      </c>
      <c r="R136" t="s">
        <v>23</v>
      </c>
      <c r="S136">
        <v>4</v>
      </c>
    </row>
    <row r="137" spans="1:19">
      <c r="A137">
        <v>136</v>
      </c>
      <c r="B137" t="s">
        <v>211</v>
      </c>
      <c r="C137">
        <v>164.0712</v>
      </c>
      <c r="D137">
        <v>140.1</v>
      </c>
      <c r="E137">
        <v>-0.88800598690784205</v>
      </c>
      <c r="F137" t="s">
        <v>18</v>
      </c>
      <c r="G137" t="s">
        <v>19</v>
      </c>
      <c r="H137">
        <v>1</v>
      </c>
      <c r="I137" t="s">
        <v>39</v>
      </c>
      <c r="J137" t="s">
        <v>19</v>
      </c>
      <c r="K137">
        <v>0.92</v>
      </c>
      <c r="L137" t="s">
        <v>40</v>
      </c>
      <c r="M137" t="s">
        <v>19</v>
      </c>
      <c r="N137">
        <v>1</v>
      </c>
      <c r="O137" t="s">
        <v>41</v>
      </c>
      <c r="P137" t="s">
        <v>19</v>
      </c>
      <c r="Q137">
        <v>1</v>
      </c>
      <c r="R137" t="s">
        <v>23</v>
      </c>
      <c r="S137">
        <v>4</v>
      </c>
    </row>
    <row r="138" spans="1:19">
      <c r="A138">
        <v>137</v>
      </c>
      <c r="B138" t="s">
        <v>212</v>
      </c>
      <c r="C138">
        <v>282.79969999999997</v>
      </c>
      <c r="D138">
        <v>132.80000000000001</v>
      </c>
      <c r="E138">
        <v>-0.48393945248000098</v>
      </c>
      <c r="F138" t="s">
        <v>97</v>
      </c>
      <c r="G138" t="s">
        <v>19</v>
      </c>
      <c r="H138">
        <v>0.65800000000000003</v>
      </c>
      <c r="I138" t="s">
        <v>98</v>
      </c>
      <c r="J138" t="s">
        <v>19</v>
      </c>
      <c r="K138">
        <v>0.78</v>
      </c>
      <c r="L138" t="s">
        <v>99</v>
      </c>
      <c r="M138" t="s">
        <v>19</v>
      </c>
      <c r="N138">
        <v>0.98</v>
      </c>
      <c r="O138" t="s">
        <v>100</v>
      </c>
      <c r="P138" t="s">
        <v>19</v>
      </c>
      <c r="Q138">
        <v>0.99099999999999999</v>
      </c>
      <c r="R138" t="s">
        <v>23</v>
      </c>
      <c r="S138">
        <v>4</v>
      </c>
    </row>
    <row r="139" spans="1:19">
      <c r="A139">
        <v>138</v>
      </c>
      <c r="B139" t="s">
        <v>213</v>
      </c>
      <c r="C139">
        <v>508.988</v>
      </c>
      <c r="D139">
        <v>193.1</v>
      </c>
      <c r="E139">
        <v>-0.41968847222574401</v>
      </c>
      <c r="F139" t="s">
        <v>18</v>
      </c>
      <c r="G139" t="s">
        <v>19</v>
      </c>
      <c r="H139">
        <v>1</v>
      </c>
      <c r="I139" t="s">
        <v>72</v>
      </c>
      <c r="J139" t="s">
        <v>19</v>
      </c>
      <c r="K139">
        <v>1</v>
      </c>
      <c r="L139" t="s">
        <v>138</v>
      </c>
      <c r="M139" t="s">
        <v>19</v>
      </c>
      <c r="N139">
        <v>0.98</v>
      </c>
      <c r="O139" t="s">
        <v>214</v>
      </c>
      <c r="P139" t="s">
        <v>19</v>
      </c>
      <c r="Q139">
        <v>0.84399999999999997</v>
      </c>
      <c r="R139" t="s">
        <v>23</v>
      </c>
      <c r="S139">
        <v>4</v>
      </c>
    </row>
    <row r="140" spans="1:19">
      <c r="A140">
        <v>139</v>
      </c>
      <c r="B140" t="s">
        <v>215</v>
      </c>
      <c r="C140">
        <v>773.65359999999998</v>
      </c>
      <c r="D140">
        <v>297</v>
      </c>
      <c r="E140">
        <v>-0.78977558884673704</v>
      </c>
      <c r="F140" t="s">
        <v>18</v>
      </c>
      <c r="G140" t="s">
        <v>19</v>
      </c>
      <c r="H140">
        <v>1</v>
      </c>
      <c r="I140" t="s">
        <v>20</v>
      </c>
      <c r="J140" t="s">
        <v>19</v>
      </c>
      <c r="K140">
        <v>1</v>
      </c>
      <c r="L140" t="s">
        <v>30</v>
      </c>
      <c r="M140" t="s">
        <v>19</v>
      </c>
      <c r="N140">
        <v>1</v>
      </c>
      <c r="O140" t="s">
        <v>191</v>
      </c>
      <c r="P140" t="s">
        <v>19</v>
      </c>
      <c r="Q140">
        <v>0.872</v>
      </c>
      <c r="R140" t="s">
        <v>23</v>
      </c>
      <c r="S140">
        <v>4</v>
      </c>
    </row>
    <row r="141" spans="1:19">
      <c r="A141">
        <v>140</v>
      </c>
      <c r="B141" t="s">
        <v>216</v>
      </c>
      <c r="C141">
        <v>703.57539999999995</v>
      </c>
      <c r="D141">
        <v>281.2</v>
      </c>
      <c r="E141">
        <v>-0.78982153748529504</v>
      </c>
      <c r="F141" t="s">
        <v>18</v>
      </c>
      <c r="G141" t="s">
        <v>19</v>
      </c>
      <c r="H141">
        <v>1</v>
      </c>
      <c r="I141" t="s">
        <v>20</v>
      </c>
      <c r="J141" t="s">
        <v>19</v>
      </c>
      <c r="K141">
        <v>1</v>
      </c>
      <c r="L141" t="s">
        <v>30</v>
      </c>
      <c r="M141" t="s">
        <v>19</v>
      </c>
      <c r="N141">
        <v>0.97</v>
      </c>
      <c r="O141" t="s">
        <v>191</v>
      </c>
      <c r="P141" t="s">
        <v>19</v>
      </c>
      <c r="Q141">
        <v>0.74199999999999999</v>
      </c>
      <c r="R141" t="s">
        <v>23</v>
      </c>
      <c r="S141">
        <v>4</v>
      </c>
    </row>
    <row r="142" spans="1:19">
      <c r="A142">
        <v>141</v>
      </c>
      <c r="B142" t="s">
        <v>113</v>
      </c>
      <c r="C142">
        <v>946.47720000000004</v>
      </c>
      <c r="D142">
        <v>319.89999999999998</v>
      </c>
      <c r="E142">
        <v>-0.42040906674515099</v>
      </c>
      <c r="F142" t="s">
        <v>18</v>
      </c>
      <c r="G142" t="s">
        <v>19</v>
      </c>
      <c r="H142">
        <v>1</v>
      </c>
      <c r="I142" t="s">
        <v>45</v>
      </c>
      <c r="J142" t="s">
        <v>19</v>
      </c>
      <c r="K142">
        <v>1</v>
      </c>
      <c r="L142" t="s">
        <v>46</v>
      </c>
      <c r="M142" t="s">
        <v>19</v>
      </c>
      <c r="N142">
        <v>1</v>
      </c>
      <c r="O142" t="s">
        <v>47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142</v>
      </c>
      <c r="B143" t="s">
        <v>217</v>
      </c>
      <c r="C143">
        <v>333.27690000000001</v>
      </c>
      <c r="D143">
        <v>187.4</v>
      </c>
      <c r="E143">
        <v>-0.90477903799131798</v>
      </c>
      <c r="F143" t="s">
        <v>18</v>
      </c>
      <c r="G143" t="s">
        <v>19</v>
      </c>
      <c r="H143">
        <v>1</v>
      </c>
      <c r="I143" t="s">
        <v>20</v>
      </c>
      <c r="J143" t="s">
        <v>19</v>
      </c>
      <c r="K143">
        <v>1</v>
      </c>
      <c r="L143" t="s">
        <v>25</v>
      </c>
      <c r="M143" t="s">
        <v>19</v>
      </c>
      <c r="N143">
        <v>0.96</v>
      </c>
      <c r="O143" t="s">
        <v>26</v>
      </c>
      <c r="P143" t="s">
        <v>19</v>
      </c>
      <c r="Q143">
        <v>0.97199999999999998</v>
      </c>
      <c r="R143" t="s">
        <v>23</v>
      </c>
      <c r="S143">
        <v>4</v>
      </c>
    </row>
    <row r="144" spans="1:19">
      <c r="A144">
        <v>143</v>
      </c>
      <c r="B144" t="s">
        <v>144</v>
      </c>
      <c r="C144">
        <v>354.05790000000002</v>
      </c>
      <c r="D144">
        <v>173.9</v>
      </c>
      <c r="E144">
        <v>-0.66257597257782697</v>
      </c>
      <c r="F144" t="s">
        <v>18</v>
      </c>
      <c r="G144" t="s">
        <v>19</v>
      </c>
      <c r="H144">
        <v>1</v>
      </c>
      <c r="I144" t="s">
        <v>72</v>
      </c>
      <c r="J144" t="s">
        <v>19</v>
      </c>
      <c r="K144">
        <v>0.84</v>
      </c>
      <c r="L144" t="s">
        <v>138</v>
      </c>
      <c r="M144" t="s">
        <v>19</v>
      </c>
      <c r="N144">
        <v>1</v>
      </c>
      <c r="O144" t="s">
        <v>145</v>
      </c>
      <c r="P144" t="s">
        <v>19</v>
      </c>
      <c r="Q144">
        <v>0.621</v>
      </c>
      <c r="R144" t="s">
        <v>23</v>
      </c>
      <c r="S144">
        <v>4</v>
      </c>
    </row>
    <row r="145" spans="1:19">
      <c r="A145">
        <v>144</v>
      </c>
      <c r="B145" t="s">
        <v>218</v>
      </c>
      <c r="C145">
        <v>767.428</v>
      </c>
      <c r="D145">
        <v>270.60000000000002</v>
      </c>
      <c r="E145">
        <v>-0.57112679446913694</v>
      </c>
      <c r="F145" t="s">
        <v>18</v>
      </c>
      <c r="G145" t="s">
        <v>19</v>
      </c>
      <c r="H145">
        <v>1</v>
      </c>
      <c r="I145" t="s">
        <v>39</v>
      </c>
      <c r="J145" t="s">
        <v>19</v>
      </c>
      <c r="K145">
        <v>0.94</v>
      </c>
      <c r="L145" t="s">
        <v>40</v>
      </c>
      <c r="M145" t="s">
        <v>19</v>
      </c>
      <c r="N145">
        <v>0.95</v>
      </c>
      <c r="O145" t="s">
        <v>41</v>
      </c>
      <c r="P145" t="s">
        <v>19</v>
      </c>
      <c r="Q145">
        <v>1</v>
      </c>
      <c r="R145" t="s">
        <v>23</v>
      </c>
      <c r="S145">
        <v>4</v>
      </c>
    </row>
    <row r="146" spans="1:19">
      <c r="A146">
        <v>145</v>
      </c>
      <c r="B146" t="s">
        <v>90</v>
      </c>
      <c r="C146">
        <v>870.67100000000005</v>
      </c>
      <c r="D146">
        <v>303.7</v>
      </c>
      <c r="E146">
        <v>-0.69885062477158</v>
      </c>
      <c r="F146" t="s">
        <v>18</v>
      </c>
      <c r="G146" t="s">
        <v>19</v>
      </c>
      <c r="H146">
        <v>1</v>
      </c>
      <c r="I146" t="s">
        <v>20</v>
      </c>
      <c r="J146" t="s">
        <v>19</v>
      </c>
      <c r="K146">
        <v>1</v>
      </c>
      <c r="L146" t="s">
        <v>30</v>
      </c>
      <c r="M146" t="s">
        <v>19</v>
      </c>
      <c r="N146">
        <v>0.98</v>
      </c>
      <c r="O146" t="s">
        <v>91</v>
      </c>
      <c r="P146" t="s">
        <v>19</v>
      </c>
      <c r="Q146">
        <v>0.99</v>
      </c>
      <c r="R146" t="s">
        <v>23</v>
      </c>
      <c r="S146">
        <v>4</v>
      </c>
    </row>
    <row r="147" spans="1:19">
      <c r="A147">
        <v>146</v>
      </c>
      <c r="B147" t="s">
        <v>219</v>
      </c>
      <c r="C147">
        <v>622.56679999999994</v>
      </c>
      <c r="D147">
        <v>183.4</v>
      </c>
      <c r="E147">
        <v>-0.87167184521138097</v>
      </c>
      <c r="F147" t="s">
        <v>97</v>
      </c>
      <c r="G147" t="s">
        <v>19</v>
      </c>
      <c r="H147">
        <v>0.65</v>
      </c>
      <c r="I147" t="s">
        <v>98</v>
      </c>
      <c r="J147" t="s">
        <v>19</v>
      </c>
      <c r="K147">
        <v>0.76</v>
      </c>
      <c r="L147" t="s">
        <v>99</v>
      </c>
      <c r="M147" t="s">
        <v>19</v>
      </c>
      <c r="N147">
        <v>0.97</v>
      </c>
      <c r="O147" t="s">
        <v>100</v>
      </c>
      <c r="P147" t="s">
        <v>19</v>
      </c>
      <c r="Q147">
        <v>0.999</v>
      </c>
      <c r="R147" t="s">
        <v>23</v>
      </c>
      <c r="S147">
        <v>4</v>
      </c>
    </row>
    <row r="148" spans="1:19">
      <c r="A148">
        <v>147</v>
      </c>
      <c r="B148" t="s">
        <v>220</v>
      </c>
      <c r="C148">
        <v>296.99970000000002</v>
      </c>
      <c r="D148">
        <v>149.1</v>
      </c>
      <c r="E148">
        <v>-0.668084415240628</v>
      </c>
      <c r="F148" t="s">
        <v>18</v>
      </c>
      <c r="G148" t="s">
        <v>19</v>
      </c>
      <c r="H148">
        <v>0.998</v>
      </c>
      <c r="I148" t="s">
        <v>77</v>
      </c>
      <c r="J148" t="s">
        <v>19</v>
      </c>
      <c r="K148">
        <v>0.85</v>
      </c>
      <c r="L148" t="s">
        <v>78</v>
      </c>
      <c r="M148" t="s">
        <v>19</v>
      </c>
      <c r="N148">
        <v>0.99</v>
      </c>
      <c r="O148" t="s">
        <v>221</v>
      </c>
      <c r="P148" t="s">
        <v>19</v>
      </c>
      <c r="Q148">
        <v>0.74199999999999999</v>
      </c>
      <c r="R148" t="s">
        <v>23</v>
      </c>
      <c r="S148">
        <v>4</v>
      </c>
    </row>
    <row r="149" spans="1:19">
      <c r="A149">
        <v>148</v>
      </c>
      <c r="B149" t="s">
        <v>222</v>
      </c>
      <c r="C149">
        <v>792.63289999999995</v>
      </c>
      <c r="D149">
        <v>293.10000000000002</v>
      </c>
      <c r="E149">
        <v>-0.747884215024328</v>
      </c>
      <c r="F149" t="s">
        <v>18</v>
      </c>
      <c r="G149" t="s">
        <v>19</v>
      </c>
      <c r="H149">
        <v>1</v>
      </c>
      <c r="I149" t="s">
        <v>20</v>
      </c>
      <c r="J149" t="s">
        <v>19</v>
      </c>
      <c r="K149">
        <v>1</v>
      </c>
      <c r="L149" t="s">
        <v>30</v>
      </c>
      <c r="M149" t="s">
        <v>19</v>
      </c>
      <c r="N149">
        <v>0.96</v>
      </c>
      <c r="O149" t="s">
        <v>91</v>
      </c>
      <c r="P149" t="s">
        <v>19</v>
      </c>
      <c r="Q149">
        <v>0.89900000000000002</v>
      </c>
      <c r="R149" t="s">
        <v>23</v>
      </c>
      <c r="S149">
        <v>4</v>
      </c>
    </row>
    <row r="150" spans="1:19">
      <c r="A150">
        <v>149</v>
      </c>
      <c r="B150" t="s">
        <v>223</v>
      </c>
      <c r="C150">
        <v>912.57060000000001</v>
      </c>
      <c r="D150">
        <v>306.60000000000002</v>
      </c>
      <c r="E150">
        <v>-0.55166754601702905</v>
      </c>
      <c r="F150" t="s">
        <v>18</v>
      </c>
      <c r="G150" t="s">
        <v>19</v>
      </c>
      <c r="H150">
        <v>1</v>
      </c>
      <c r="I150" t="s">
        <v>20</v>
      </c>
      <c r="J150" t="s">
        <v>19</v>
      </c>
      <c r="K150">
        <v>0.9</v>
      </c>
      <c r="L150" t="s">
        <v>21</v>
      </c>
      <c r="M150" t="s">
        <v>19</v>
      </c>
      <c r="N150">
        <v>0.97</v>
      </c>
      <c r="O150" t="s">
        <v>56</v>
      </c>
      <c r="P150" t="s">
        <v>19</v>
      </c>
      <c r="Q150">
        <v>1</v>
      </c>
      <c r="R150" t="s">
        <v>23</v>
      </c>
      <c r="S150">
        <v>4</v>
      </c>
    </row>
    <row r="151" spans="1:19">
      <c r="A151">
        <v>150</v>
      </c>
      <c r="B151" t="s">
        <v>151</v>
      </c>
      <c r="C151">
        <v>317.24799999999999</v>
      </c>
      <c r="D151">
        <v>176.1</v>
      </c>
      <c r="E151">
        <v>-0.89377613703396697</v>
      </c>
      <c r="F151" t="s">
        <v>18</v>
      </c>
      <c r="G151" t="s">
        <v>19</v>
      </c>
      <c r="H151">
        <v>1</v>
      </c>
      <c r="I151" t="s">
        <v>20</v>
      </c>
      <c r="J151" t="s">
        <v>19</v>
      </c>
      <c r="K151">
        <v>0.99</v>
      </c>
      <c r="L151" t="s">
        <v>149</v>
      </c>
      <c r="M151" t="s">
        <v>19</v>
      </c>
      <c r="N151">
        <v>0.59</v>
      </c>
      <c r="O151" t="s">
        <v>152</v>
      </c>
      <c r="P151" t="s">
        <v>19</v>
      </c>
      <c r="Q151">
        <v>0.95599999999999996</v>
      </c>
      <c r="R151" t="s">
        <v>23</v>
      </c>
      <c r="S151">
        <v>4</v>
      </c>
    </row>
    <row r="152" spans="1:19">
      <c r="A152">
        <v>151</v>
      </c>
      <c r="B152" t="s">
        <v>224</v>
      </c>
      <c r="C152">
        <v>795.49159999999995</v>
      </c>
      <c r="D152">
        <v>284.2</v>
      </c>
      <c r="E152">
        <v>-0.60339232805563403</v>
      </c>
      <c r="F152" t="s">
        <v>18</v>
      </c>
      <c r="G152" t="s">
        <v>19</v>
      </c>
      <c r="H152">
        <v>1</v>
      </c>
      <c r="I152" t="s">
        <v>20</v>
      </c>
      <c r="J152" t="s">
        <v>19</v>
      </c>
      <c r="K152">
        <v>1</v>
      </c>
      <c r="L152" t="s">
        <v>21</v>
      </c>
      <c r="M152" t="s">
        <v>19</v>
      </c>
      <c r="N152">
        <v>1</v>
      </c>
      <c r="O152" t="s">
        <v>225</v>
      </c>
      <c r="P152" t="s">
        <v>19</v>
      </c>
      <c r="Q152">
        <v>0.57699999999999996</v>
      </c>
      <c r="R152" t="s">
        <v>23</v>
      </c>
      <c r="S152">
        <v>4</v>
      </c>
    </row>
    <row r="153" spans="1:19">
      <c r="A153">
        <v>152</v>
      </c>
      <c r="B153" t="s">
        <v>226</v>
      </c>
      <c r="C153">
        <v>164.07939999999999</v>
      </c>
      <c r="D153">
        <v>131.9</v>
      </c>
      <c r="E153">
        <v>-0.89619683118209503</v>
      </c>
      <c r="F153" t="s">
        <v>18</v>
      </c>
      <c r="G153" t="s">
        <v>19</v>
      </c>
      <c r="H153">
        <v>1</v>
      </c>
      <c r="I153" t="s">
        <v>178</v>
      </c>
      <c r="J153" t="s">
        <v>19</v>
      </c>
      <c r="K153">
        <v>0.65</v>
      </c>
      <c r="L153" t="s">
        <v>179</v>
      </c>
      <c r="M153" t="s">
        <v>19</v>
      </c>
      <c r="N153">
        <v>0.96</v>
      </c>
      <c r="O153" t="s">
        <v>209</v>
      </c>
      <c r="P153" t="s">
        <v>19</v>
      </c>
      <c r="Q153">
        <v>0.754</v>
      </c>
      <c r="R153" t="s">
        <v>23</v>
      </c>
      <c r="S153">
        <v>4</v>
      </c>
    </row>
    <row r="154" spans="1:19">
      <c r="A154">
        <v>153</v>
      </c>
      <c r="B154" t="s">
        <v>227</v>
      </c>
      <c r="C154">
        <v>690.50340000000006</v>
      </c>
      <c r="D154">
        <v>266.8</v>
      </c>
      <c r="E154">
        <v>-0.73241710416095895</v>
      </c>
      <c r="F154" t="s">
        <v>18</v>
      </c>
      <c r="G154" t="s">
        <v>19</v>
      </c>
      <c r="H154">
        <v>1</v>
      </c>
      <c r="I154" t="s">
        <v>20</v>
      </c>
      <c r="J154" t="s">
        <v>19</v>
      </c>
      <c r="K154">
        <v>0.96</v>
      </c>
      <c r="L154" t="s">
        <v>21</v>
      </c>
      <c r="M154" t="s">
        <v>19</v>
      </c>
      <c r="N154">
        <v>1</v>
      </c>
      <c r="O154" t="s">
        <v>225</v>
      </c>
      <c r="P154" t="s">
        <v>19</v>
      </c>
      <c r="Q154">
        <v>0.53300000000000003</v>
      </c>
      <c r="R154" t="s">
        <v>23</v>
      </c>
      <c r="S154">
        <v>4</v>
      </c>
    </row>
    <row r="155" spans="1:19">
      <c r="A155">
        <v>154</v>
      </c>
      <c r="B155" t="s">
        <v>228</v>
      </c>
      <c r="C155">
        <v>375.21469999999999</v>
      </c>
      <c r="D155">
        <v>195.4</v>
      </c>
      <c r="E155">
        <v>-0.79575330695348601</v>
      </c>
      <c r="F155" t="s">
        <v>18</v>
      </c>
      <c r="G155" t="s">
        <v>19</v>
      </c>
      <c r="H155">
        <v>1</v>
      </c>
      <c r="I155" t="s">
        <v>20</v>
      </c>
      <c r="J155" t="s">
        <v>19</v>
      </c>
      <c r="K155">
        <v>1</v>
      </c>
      <c r="L155" t="s">
        <v>25</v>
      </c>
      <c r="M155" t="s">
        <v>19</v>
      </c>
      <c r="N155">
        <v>1</v>
      </c>
      <c r="O155" t="s">
        <v>43</v>
      </c>
      <c r="P155" t="s">
        <v>19</v>
      </c>
      <c r="Q155">
        <v>0.96699999999999997</v>
      </c>
      <c r="R155" t="s">
        <v>23</v>
      </c>
      <c r="S155">
        <v>4</v>
      </c>
    </row>
    <row r="156" spans="1:19">
      <c r="A156">
        <v>155</v>
      </c>
      <c r="B156" t="s">
        <v>229</v>
      </c>
      <c r="C156">
        <v>311.29559999999998</v>
      </c>
      <c r="D156">
        <v>185.9</v>
      </c>
      <c r="E156">
        <v>-0.948022300672278</v>
      </c>
      <c r="F156" t="s">
        <v>18</v>
      </c>
      <c r="G156" t="s">
        <v>19</v>
      </c>
      <c r="H156">
        <v>1</v>
      </c>
      <c r="I156" t="s">
        <v>20</v>
      </c>
      <c r="J156" t="s">
        <v>19</v>
      </c>
      <c r="K156">
        <v>1</v>
      </c>
      <c r="L156" t="s">
        <v>25</v>
      </c>
      <c r="M156" t="s">
        <v>19</v>
      </c>
      <c r="N156">
        <v>0.94</v>
      </c>
      <c r="O156" t="s">
        <v>26</v>
      </c>
      <c r="P156" t="s">
        <v>19</v>
      </c>
      <c r="Q156">
        <v>0.97499999999999998</v>
      </c>
      <c r="R156" t="s">
        <v>23</v>
      </c>
      <c r="S156">
        <v>4</v>
      </c>
    </row>
    <row r="157" spans="1:19">
      <c r="A157">
        <v>156</v>
      </c>
      <c r="B157" t="s">
        <v>230</v>
      </c>
      <c r="C157">
        <v>391.28539999999998</v>
      </c>
      <c r="D157">
        <v>200.5</v>
      </c>
      <c r="E157">
        <v>-0.84850953604058099</v>
      </c>
      <c r="F157" t="s">
        <v>18</v>
      </c>
      <c r="G157" t="s">
        <v>19</v>
      </c>
      <c r="H157">
        <v>1</v>
      </c>
      <c r="I157" t="s">
        <v>61</v>
      </c>
      <c r="J157" t="s">
        <v>19</v>
      </c>
      <c r="K157">
        <v>0.65</v>
      </c>
      <c r="L157" t="s">
        <v>231</v>
      </c>
      <c r="M157" t="s">
        <v>19</v>
      </c>
      <c r="N157">
        <v>0.73</v>
      </c>
      <c r="O157" t="s">
        <v>232</v>
      </c>
      <c r="P157" t="s">
        <v>19</v>
      </c>
      <c r="Q157">
        <v>0.93799999999999994</v>
      </c>
      <c r="R157" t="s">
        <v>23</v>
      </c>
      <c r="S157">
        <v>4</v>
      </c>
    </row>
    <row r="158" spans="1:19">
      <c r="A158">
        <v>157</v>
      </c>
      <c r="B158" t="s">
        <v>146</v>
      </c>
      <c r="C158">
        <v>851.26</v>
      </c>
      <c r="D158">
        <v>257.2</v>
      </c>
      <c r="E158">
        <v>-0.30952401405704699</v>
      </c>
      <c r="F158" t="s">
        <v>18</v>
      </c>
      <c r="G158" t="s">
        <v>19</v>
      </c>
      <c r="H158">
        <v>1</v>
      </c>
      <c r="I158" t="s">
        <v>45</v>
      </c>
      <c r="J158" t="s">
        <v>19</v>
      </c>
      <c r="K158">
        <v>0.97</v>
      </c>
      <c r="L158" t="s">
        <v>46</v>
      </c>
      <c r="M158" t="s">
        <v>19</v>
      </c>
      <c r="N158">
        <v>1</v>
      </c>
      <c r="O158" t="s">
        <v>47</v>
      </c>
      <c r="P158" t="s">
        <v>19</v>
      </c>
      <c r="Q158">
        <v>1</v>
      </c>
      <c r="R158" t="s">
        <v>23</v>
      </c>
      <c r="S158">
        <v>4</v>
      </c>
    </row>
    <row r="159" spans="1:19">
      <c r="A159">
        <v>158</v>
      </c>
      <c r="B159" t="s">
        <v>233</v>
      </c>
      <c r="C159">
        <v>138.05279999999999</v>
      </c>
      <c r="D159">
        <v>136.1</v>
      </c>
      <c r="E159">
        <v>-0.89865688133801302</v>
      </c>
      <c r="F159" t="s">
        <v>18</v>
      </c>
      <c r="G159" t="s">
        <v>19</v>
      </c>
      <c r="H159">
        <v>1</v>
      </c>
      <c r="I159" t="s">
        <v>45</v>
      </c>
      <c r="J159" t="s">
        <v>19</v>
      </c>
      <c r="K159">
        <v>0.6</v>
      </c>
      <c r="L159" t="s">
        <v>46</v>
      </c>
      <c r="M159" t="s">
        <v>19</v>
      </c>
      <c r="N159">
        <v>0.99</v>
      </c>
      <c r="O159" t="s">
        <v>47</v>
      </c>
      <c r="P159" t="s">
        <v>19</v>
      </c>
      <c r="Q159">
        <v>0.94099999999999995</v>
      </c>
      <c r="R159" t="s">
        <v>23</v>
      </c>
      <c r="S159">
        <v>4</v>
      </c>
    </row>
    <row r="160" spans="1:19">
      <c r="A160">
        <v>159</v>
      </c>
      <c r="B160" t="s">
        <v>234</v>
      </c>
      <c r="C160">
        <v>746.56299999999999</v>
      </c>
      <c r="D160">
        <v>274.7</v>
      </c>
      <c r="E160">
        <v>-0.72942365024368905</v>
      </c>
      <c r="F160" t="s">
        <v>18</v>
      </c>
      <c r="G160" t="s">
        <v>19</v>
      </c>
      <c r="H160">
        <v>1</v>
      </c>
      <c r="I160" t="s">
        <v>20</v>
      </c>
      <c r="J160" t="s">
        <v>19</v>
      </c>
      <c r="K160">
        <v>0.99</v>
      </c>
      <c r="L160" t="s">
        <v>21</v>
      </c>
      <c r="M160" t="s">
        <v>19</v>
      </c>
      <c r="N160">
        <v>0.98</v>
      </c>
      <c r="O160" t="s">
        <v>28</v>
      </c>
      <c r="P160" t="s">
        <v>19</v>
      </c>
      <c r="Q160">
        <v>0.99399999999999999</v>
      </c>
      <c r="R160" t="s">
        <v>23</v>
      </c>
      <c r="S160">
        <v>4</v>
      </c>
    </row>
    <row r="161" spans="1:19">
      <c r="A161">
        <v>160</v>
      </c>
      <c r="B161" t="s">
        <v>235</v>
      </c>
      <c r="C161">
        <v>740.45609999999999</v>
      </c>
      <c r="D161">
        <v>263.5</v>
      </c>
      <c r="E161">
        <v>-0.629342321153331</v>
      </c>
      <c r="F161" t="s">
        <v>18</v>
      </c>
      <c r="G161" t="s">
        <v>19</v>
      </c>
      <c r="H161">
        <v>1</v>
      </c>
      <c r="I161" t="s">
        <v>45</v>
      </c>
      <c r="J161" t="s">
        <v>19</v>
      </c>
      <c r="K161">
        <v>0.77</v>
      </c>
      <c r="L161" t="s">
        <v>46</v>
      </c>
      <c r="M161" t="s">
        <v>19</v>
      </c>
      <c r="N161">
        <v>1</v>
      </c>
      <c r="O161" t="s">
        <v>47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236</v>
      </c>
      <c r="C162">
        <v>718.53869999999995</v>
      </c>
      <c r="D162">
        <v>275.8</v>
      </c>
      <c r="E162">
        <v>-0.73641423616675195</v>
      </c>
      <c r="F162" t="s">
        <v>18</v>
      </c>
      <c r="G162" t="s">
        <v>19</v>
      </c>
      <c r="H162">
        <v>1</v>
      </c>
      <c r="I162" t="s">
        <v>20</v>
      </c>
      <c r="J162" t="s">
        <v>19</v>
      </c>
      <c r="K162">
        <v>1</v>
      </c>
      <c r="L162" t="s">
        <v>21</v>
      </c>
      <c r="M162" t="s">
        <v>19</v>
      </c>
      <c r="N162">
        <v>1</v>
      </c>
      <c r="O162" t="s">
        <v>28</v>
      </c>
      <c r="P162" t="s">
        <v>19</v>
      </c>
      <c r="Q162">
        <v>0.97299999999999998</v>
      </c>
      <c r="R162" t="s">
        <v>23</v>
      </c>
      <c r="S162">
        <v>4</v>
      </c>
    </row>
    <row r="163" spans="1:19">
      <c r="A163">
        <v>162</v>
      </c>
      <c r="B163" t="s">
        <v>237</v>
      </c>
      <c r="C163">
        <v>646.03250000000003</v>
      </c>
      <c r="D163">
        <v>227.2</v>
      </c>
      <c r="E163">
        <v>-0.31117117286294199</v>
      </c>
      <c r="F163" t="s">
        <v>18</v>
      </c>
      <c r="G163" t="s">
        <v>19</v>
      </c>
      <c r="H163">
        <v>1</v>
      </c>
      <c r="I163" t="s">
        <v>72</v>
      </c>
      <c r="J163" t="s">
        <v>19</v>
      </c>
      <c r="K163">
        <v>0.86</v>
      </c>
      <c r="L163" t="s">
        <v>73</v>
      </c>
      <c r="M163" t="s">
        <v>19</v>
      </c>
      <c r="N163">
        <v>0.81</v>
      </c>
      <c r="O163" t="s">
        <v>168</v>
      </c>
      <c r="P163" t="s">
        <v>19</v>
      </c>
      <c r="Q163">
        <v>0.99299999999999999</v>
      </c>
      <c r="R163" t="s">
        <v>23</v>
      </c>
      <c r="S163">
        <v>4</v>
      </c>
    </row>
    <row r="164" spans="1:19">
      <c r="A164">
        <v>163</v>
      </c>
      <c r="B164" t="s">
        <v>238</v>
      </c>
      <c r="C164">
        <v>788.61689999999999</v>
      </c>
      <c r="D164">
        <v>289.39999999999998</v>
      </c>
      <c r="E164">
        <v>-0.73636828752819405</v>
      </c>
      <c r="F164" t="s">
        <v>18</v>
      </c>
      <c r="G164" t="s">
        <v>19</v>
      </c>
      <c r="H164">
        <v>1</v>
      </c>
      <c r="I164" t="s">
        <v>20</v>
      </c>
      <c r="J164" t="s">
        <v>19</v>
      </c>
      <c r="K164">
        <v>1</v>
      </c>
      <c r="L164" t="s">
        <v>21</v>
      </c>
      <c r="M164" t="s">
        <v>19</v>
      </c>
      <c r="N164">
        <v>0.74</v>
      </c>
      <c r="O164" t="s">
        <v>22</v>
      </c>
      <c r="P164" t="s">
        <v>19</v>
      </c>
      <c r="Q164">
        <v>0.99299999999999999</v>
      </c>
      <c r="R164" t="s">
        <v>23</v>
      </c>
      <c r="S164">
        <v>4</v>
      </c>
    </row>
    <row r="165" spans="1:19">
      <c r="A165">
        <v>164</v>
      </c>
      <c r="B165" t="s">
        <v>238</v>
      </c>
      <c r="C165">
        <v>822.57600000000002</v>
      </c>
      <c r="D165">
        <v>296.3</v>
      </c>
      <c r="E165">
        <v>-0.65755118928063905</v>
      </c>
      <c r="F165" t="s">
        <v>18</v>
      </c>
      <c r="G165" t="s">
        <v>19</v>
      </c>
      <c r="H165">
        <v>1</v>
      </c>
      <c r="I165" t="s">
        <v>20</v>
      </c>
      <c r="J165" t="s">
        <v>19</v>
      </c>
      <c r="K165">
        <v>1</v>
      </c>
      <c r="L165" t="s">
        <v>21</v>
      </c>
      <c r="M165" t="s">
        <v>19</v>
      </c>
      <c r="N165">
        <v>1</v>
      </c>
      <c r="O165" t="s">
        <v>22</v>
      </c>
      <c r="P165" t="s">
        <v>19</v>
      </c>
      <c r="Q165">
        <v>0.93600000000000005</v>
      </c>
      <c r="R165" t="s">
        <v>23</v>
      </c>
      <c r="S165">
        <v>4</v>
      </c>
    </row>
    <row r="166" spans="1:19">
      <c r="A166">
        <v>165</v>
      </c>
      <c r="B166" t="s">
        <v>239</v>
      </c>
      <c r="C166">
        <v>520.3537</v>
      </c>
      <c r="D166">
        <v>229.7</v>
      </c>
      <c r="E166">
        <v>-0.77269807808829705</v>
      </c>
      <c r="F166" t="s">
        <v>18</v>
      </c>
      <c r="G166" t="s">
        <v>19</v>
      </c>
      <c r="H166">
        <v>1</v>
      </c>
      <c r="I166" t="s">
        <v>20</v>
      </c>
      <c r="J166" t="s">
        <v>19</v>
      </c>
      <c r="K166">
        <v>0.94</v>
      </c>
      <c r="L166" t="s">
        <v>30</v>
      </c>
      <c r="M166" t="s">
        <v>19</v>
      </c>
      <c r="N166">
        <v>0.7</v>
      </c>
      <c r="O166" t="s">
        <v>91</v>
      </c>
      <c r="P166" t="s">
        <v>19</v>
      </c>
      <c r="Q166">
        <v>0.94599999999999995</v>
      </c>
      <c r="R166" t="s">
        <v>23</v>
      </c>
      <c r="S166">
        <v>4</v>
      </c>
    </row>
    <row r="167" spans="1:19">
      <c r="A167">
        <v>166</v>
      </c>
      <c r="B167" t="s">
        <v>240</v>
      </c>
      <c r="C167">
        <v>116.0703</v>
      </c>
      <c r="D167">
        <v>125.4</v>
      </c>
      <c r="E167">
        <v>-0.94070148388131303</v>
      </c>
      <c r="F167" t="s">
        <v>18</v>
      </c>
      <c r="G167" t="s">
        <v>19</v>
      </c>
      <c r="H167">
        <v>1</v>
      </c>
      <c r="I167" t="s">
        <v>39</v>
      </c>
      <c r="J167" t="s">
        <v>19</v>
      </c>
      <c r="K167">
        <v>1</v>
      </c>
      <c r="L167" t="s">
        <v>40</v>
      </c>
      <c r="M167" t="s">
        <v>19</v>
      </c>
      <c r="N167">
        <v>1</v>
      </c>
      <c r="O167" t="s">
        <v>41</v>
      </c>
      <c r="P167" t="s">
        <v>19</v>
      </c>
      <c r="Q167">
        <v>1</v>
      </c>
      <c r="R167" t="s">
        <v>23</v>
      </c>
      <c r="S167">
        <v>4</v>
      </c>
    </row>
    <row r="168" spans="1:19">
      <c r="A168">
        <v>167</v>
      </c>
      <c r="B168" t="s">
        <v>241</v>
      </c>
      <c r="C168">
        <v>644.01149999999996</v>
      </c>
      <c r="D168">
        <v>205.1</v>
      </c>
      <c r="E168">
        <v>-0.29242772428972302</v>
      </c>
      <c r="F168" t="s">
        <v>18</v>
      </c>
      <c r="G168" t="s">
        <v>19</v>
      </c>
      <c r="H168">
        <v>1</v>
      </c>
      <c r="I168" t="s">
        <v>34</v>
      </c>
      <c r="J168" t="s">
        <v>19</v>
      </c>
      <c r="K168">
        <v>0.8</v>
      </c>
      <c r="L168" t="s">
        <v>35</v>
      </c>
      <c r="M168" t="s">
        <v>19</v>
      </c>
      <c r="N168">
        <v>0.97</v>
      </c>
      <c r="O168" t="s">
        <v>36</v>
      </c>
      <c r="P168" t="s">
        <v>19</v>
      </c>
      <c r="Q168">
        <v>0.997</v>
      </c>
      <c r="R168" t="s">
        <v>23</v>
      </c>
      <c r="S168">
        <v>4</v>
      </c>
    </row>
    <row r="169" spans="1:19">
      <c r="A169">
        <v>168</v>
      </c>
      <c r="B169" t="s">
        <v>242</v>
      </c>
      <c r="C169">
        <v>222.01499999999999</v>
      </c>
      <c r="D169">
        <v>147.6</v>
      </c>
      <c r="E169">
        <v>-0.76710872586619405</v>
      </c>
      <c r="F169" t="s">
        <v>18</v>
      </c>
      <c r="G169" t="s">
        <v>19</v>
      </c>
      <c r="H169">
        <v>1</v>
      </c>
      <c r="I169" t="s">
        <v>61</v>
      </c>
      <c r="J169" t="s">
        <v>19</v>
      </c>
      <c r="K169">
        <v>0.73</v>
      </c>
      <c r="L169" t="s">
        <v>170</v>
      </c>
      <c r="M169" t="s">
        <v>19</v>
      </c>
      <c r="N169">
        <v>0.71</v>
      </c>
      <c r="O169" t="s">
        <v>171</v>
      </c>
      <c r="P169" t="s">
        <v>19</v>
      </c>
      <c r="Q169">
        <v>0.73199999999999998</v>
      </c>
      <c r="R169" t="s">
        <v>23</v>
      </c>
      <c r="S169">
        <v>4</v>
      </c>
    </row>
    <row r="170" spans="1:19">
      <c r="A170">
        <v>169</v>
      </c>
      <c r="B170" t="s">
        <v>243</v>
      </c>
      <c r="C170">
        <v>298.34739999999999</v>
      </c>
      <c r="D170">
        <v>182.7</v>
      </c>
      <c r="E170">
        <v>-1.42796382203869E-2</v>
      </c>
      <c r="F170" t="s">
        <v>18</v>
      </c>
      <c r="G170" t="s">
        <v>19</v>
      </c>
      <c r="H170">
        <v>1</v>
      </c>
      <c r="I170" t="s">
        <v>178</v>
      </c>
      <c r="J170" t="s">
        <v>19</v>
      </c>
      <c r="K170">
        <v>0.96</v>
      </c>
      <c r="L170" t="s">
        <v>179</v>
      </c>
      <c r="M170" t="s">
        <v>19</v>
      </c>
      <c r="N170">
        <v>0.99</v>
      </c>
      <c r="O170" t="s">
        <v>180</v>
      </c>
      <c r="P170" t="s">
        <v>19</v>
      </c>
      <c r="Q170">
        <v>0.96699999999999997</v>
      </c>
      <c r="R170" t="s">
        <v>23</v>
      </c>
      <c r="S170">
        <v>4</v>
      </c>
    </row>
    <row r="171" spans="1:19">
      <c r="A171">
        <v>170</v>
      </c>
      <c r="B171" t="s">
        <v>244</v>
      </c>
      <c r="C171">
        <v>834.67989999999998</v>
      </c>
      <c r="D171">
        <v>302.89999999999998</v>
      </c>
      <c r="E171">
        <v>-0.74793655651706104</v>
      </c>
      <c r="F171" t="s">
        <v>18</v>
      </c>
      <c r="G171" t="s">
        <v>19</v>
      </c>
      <c r="H171">
        <v>1</v>
      </c>
      <c r="I171" t="s">
        <v>20</v>
      </c>
      <c r="J171" t="s">
        <v>19</v>
      </c>
      <c r="K171">
        <v>1</v>
      </c>
      <c r="L171" t="s">
        <v>30</v>
      </c>
      <c r="M171" t="s">
        <v>19</v>
      </c>
      <c r="N171">
        <v>1</v>
      </c>
      <c r="O171" t="s">
        <v>91</v>
      </c>
      <c r="P171" t="s">
        <v>19</v>
      </c>
      <c r="Q171">
        <v>0.90100000000000002</v>
      </c>
      <c r="R171" t="s">
        <v>23</v>
      </c>
      <c r="S171">
        <v>4</v>
      </c>
    </row>
    <row r="172" spans="1:19">
      <c r="A172">
        <v>171</v>
      </c>
      <c r="B172" t="s">
        <v>137</v>
      </c>
      <c r="C172">
        <v>588.07439999999997</v>
      </c>
      <c r="D172">
        <v>217.8</v>
      </c>
      <c r="E172">
        <v>-0.41778440059692901</v>
      </c>
      <c r="F172" t="s">
        <v>18</v>
      </c>
      <c r="G172" t="s">
        <v>19</v>
      </c>
      <c r="H172">
        <v>1</v>
      </c>
      <c r="I172" t="s">
        <v>72</v>
      </c>
      <c r="J172" t="s">
        <v>19</v>
      </c>
      <c r="K172">
        <v>1</v>
      </c>
      <c r="L172" t="s">
        <v>138</v>
      </c>
      <c r="M172" t="s">
        <v>19</v>
      </c>
      <c r="N172">
        <v>0.87</v>
      </c>
      <c r="O172" t="s">
        <v>139</v>
      </c>
      <c r="P172" t="s">
        <v>19</v>
      </c>
      <c r="Q172">
        <v>0.99399999999999999</v>
      </c>
      <c r="R172" t="s">
        <v>23</v>
      </c>
      <c r="S172">
        <v>4</v>
      </c>
    </row>
    <row r="173" spans="1:19">
      <c r="A173">
        <v>172</v>
      </c>
      <c r="B173" t="s">
        <v>245</v>
      </c>
      <c r="C173">
        <v>523.20180000000005</v>
      </c>
      <c r="D173">
        <v>212.8</v>
      </c>
      <c r="E173">
        <v>-0.617618026569971</v>
      </c>
      <c r="F173" t="s">
        <v>18</v>
      </c>
      <c r="G173" t="s">
        <v>19</v>
      </c>
      <c r="H173">
        <v>1</v>
      </c>
      <c r="I173" t="s">
        <v>45</v>
      </c>
      <c r="J173" t="s">
        <v>19</v>
      </c>
      <c r="K173">
        <v>0.81</v>
      </c>
      <c r="L173" t="s">
        <v>46</v>
      </c>
      <c r="M173" t="s">
        <v>19</v>
      </c>
      <c r="N173">
        <v>1</v>
      </c>
      <c r="O173" t="s">
        <v>47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173</v>
      </c>
      <c r="B174" t="s">
        <v>246</v>
      </c>
      <c r="C174">
        <v>730.61969999999997</v>
      </c>
      <c r="D174">
        <v>285.7</v>
      </c>
      <c r="E174">
        <v>-0.80392517244217698</v>
      </c>
      <c r="F174" t="s">
        <v>18</v>
      </c>
      <c r="G174" t="s">
        <v>19</v>
      </c>
      <c r="H174">
        <v>1</v>
      </c>
      <c r="I174" t="s">
        <v>20</v>
      </c>
      <c r="J174" t="s">
        <v>19</v>
      </c>
      <c r="K174">
        <v>1</v>
      </c>
      <c r="L174" t="s">
        <v>30</v>
      </c>
      <c r="M174" t="s">
        <v>19</v>
      </c>
      <c r="N174">
        <v>0.98</v>
      </c>
      <c r="O174" t="s">
        <v>91</v>
      </c>
      <c r="P174" t="s">
        <v>19</v>
      </c>
      <c r="Q174">
        <v>0.88700000000000001</v>
      </c>
      <c r="R174" t="s">
        <v>23</v>
      </c>
      <c r="S174">
        <v>4</v>
      </c>
    </row>
    <row r="175" spans="1:19">
      <c r="A175">
        <v>174</v>
      </c>
      <c r="B175" t="s">
        <v>247</v>
      </c>
      <c r="C175">
        <v>732.35299999999995</v>
      </c>
      <c r="D175">
        <v>247.4</v>
      </c>
      <c r="E175">
        <v>-0.53528985300226894</v>
      </c>
      <c r="F175" t="s">
        <v>18</v>
      </c>
      <c r="G175" t="s">
        <v>19</v>
      </c>
      <c r="H175">
        <v>1</v>
      </c>
      <c r="I175" t="s">
        <v>39</v>
      </c>
      <c r="J175" t="s">
        <v>19</v>
      </c>
      <c r="K175">
        <v>0.73</v>
      </c>
      <c r="L175" t="s">
        <v>135</v>
      </c>
      <c r="M175" t="s">
        <v>19</v>
      </c>
      <c r="N175">
        <v>0.84</v>
      </c>
      <c r="O175" t="s">
        <v>200</v>
      </c>
      <c r="P175" t="s">
        <v>19</v>
      </c>
      <c r="Q175">
        <v>0.998</v>
      </c>
      <c r="R175" t="s">
        <v>23</v>
      </c>
      <c r="S175">
        <v>4</v>
      </c>
    </row>
    <row r="176" spans="1:19">
      <c r="A176">
        <v>175</v>
      </c>
      <c r="B176" t="s">
        <v>248</v>
      </c>
      <c r="C176">
        <v>127.0502</v>
      </c>
      <c r="D176">
        <v>122.1</v>
      </c>
      <c r="E176">
        <v>-0.90834185547394997</v>
      </c>
      <c r="F176" t="s">
        <v>18</v>
      </c>
      <c r="G176" t="s">
        <v>19</v>
      </c>
      <c r="H176">
        <v>1</v>
      </c>
      <c r="I176" t="s">
        <v>61</v>
      </c>
      <c r="J176" t="s">
        <v>19</v>
      </c>
      <c r="K176">
        <v>0.94</v>
      </c>
      <c r="L176" t="s">
        <v>206</v>
      </c>
      <c r="M176" t="s">
        <v>19</v>
      </c>
      <c r="N176">
        <v>0.62</v>
      </c>
      <c r="O176" t="s">
        <v>207</v>
      </c>
      <c r="P176" t="s">
        <v>19</v>
      </c>
      <c r="Q176">
        <v>0.999</v>
      </c>
      <c r="R176" t="s">
        <v>23</v>
      </c>
      <c r="S176">
        <v>4</v>
      </c>
    </row>
    <row r="177" spans="1:19">
      <c r="A177">
        <v>176</v>
      </c>
      <c r="B177" t="s">
        <v>249</v>
      </c>
      <c r="C177">
        <v>194.0453</v>
      </c>
      <c r="D177">
        <v>137.5</v>
      </c>
      <c r="E177">
        <v>-0.82863834805453995</v>
      </c>
      <c r="F177" t="s">
        <v>18</v>
      </c>
      <c r="G177" t="s">
        <v>19</v>
      </c>
      <c r="H177">
        <v>1</v>
      </c>
      <c r="I177" t="s">
        <v>77</v>
      </c>
      <c r="J177" t="s">
        <v>19</v>
      </c>
      <c r="K177">
        <v>0.56999999999999995</v>
      </c>
      <c r="L177" t="s">
        <v>78</v>
      </c>
      <c r="M177" t="s">
        <v>19</v>
      </c>
      <c r="N177">
        <v>0.79</v>
      </c>
      <c r="O177" t="s">
        <v>117</v>
      </c>
      <c r="P177" t="s">
        <v>19</v>
      </c>
      <c r="Q177">
        <v>0.81</v>
      </c>
      <c r="R177" t="s">
        <v>23</v>
      </c>
      <c r="S177">
        <v>4</v>
      </c>
    </row>
    <row r="178" spans="1:19">
      <c r="A178">
        <v>177</v>
      </c>
      <c r="B178" t="s">
        <v>250</v>
      </c>
      <c r="C178">
        <v>345.01220000000001</v>
      </c>
      <c r="D178">
        <v>164.1</v>
      </c>
      <c r="E178">
        <v>-0.62697596626492202</v>
      </c>
      <c r="F178" t="s">
        <v>18</v>
      </c>
      <c r="G178" t="s">
        <v>19</v>
      </c>
      <c r="H178">
        <v>1</v>
      </c>
      <c r="I178" t="s">
        <v>72</v>
      </c>
      <c r="J178" t="s">
        <v>19</v>
      </c>
      <c r="K178">
        <v>0.98</v>
      </c>
      <c r="L178" t="s">
        <v>73</v>
      </c>
      <c r="M178" t="s">
        <v>19</v>
      </c>
      <c r="N178">
        <v>0.9</v>
      </c>
      <c r="O178" t="s">
        <v>74</v>
      </c>
      <c r="P178" t="s">
        <v>19</v>
      </c>
      <c r="Q178">
        <v>0.90800000000000003</v>
      </c>
      <c r="R178" t="s">
        <v>23</v>
      </c>
      <c r="S178">
        <v>4</v>
      </c>
    </row>
    <row r="179" spans="1:19">
      <c r="A179">
        <v>178</v>
      </c>
      <c r="B179" t="s">
        <v>29</v>
      </c>
      <c r="C179">
        <v>552.53290000000004</v>
      </c>
      <c r="D179">
        <v>260.5</v>
      </c>
      <c r="E179">
        <v>-0.91596833060009397</v>
      </c>
      <c r="F179" t="s">
        <v>18</v>
      </c>
      <c r="G179" t="s">
        <v>19</v>
      </c>
      <c r="H179">
        <v>1</v>
      </c>
      <c r="I179" t="s">
        <v>20</v>
      </c>
      <c r="J179" t="s">
        <v>19</v>
      </c>
      <c r="K179">
        <v>1</v>
      </c>
      <c r="L179" t="s">
        <v>30</v>
      </c>
      <c r="M179" t="s">
        <v>19</v>
      </c>
      <c r="N179">
        <v>1</v>
      </c>
      <c r="O179" t="s">
        <v>31</v>
      </c>
      <c r="P179" t="s">
        <v>19</v>
      </c>
      <c r="Q179">
        <v>1</v>
      </c>
      <c r="R179" t="s">
        <v>23</v>
      </c>
      <c r="S179">
        <v>4</v>
      </c>
    </row>
    <row r="180" spans="1:19">
      <c r="A180">
        <v>179</v>
      </c>
      <c r="B180" t="s">
        <v>251</v>
      </c>
      <c r="C180">
        <v>870.75260000000003</v>
      </c>
      <c r="D180">
        <v>314.8</v>
      </c>
      <c r="E180">
        <v>-0.780359514135057</v>
      </c>
      <c r="F180" t="s">
        <v>18</v>
      </c>
      <c r="G180" t="s">
        <v>19</v>
      </c>
      <c r="H180">
        <v>1</v>
      </c>
      <c r="I180" t="s">
        <v>20</v>
      </c>
      <c r="J180" t="s">
        <v>19</v>
      </c>
      <c r="K180">
        <v>1</v>
      </c>
      <c r="L180" t="s">
        <v>30</v>
      </c>
      <c r="M180" t="s">
        <v>19</v>
      </c>
      <c r="N180">
        <v>1</v>
      </c>
      <c r="O180" t="s">
        <v>91</v>
      </c>
      <c r="P180" t="s">
        <v>19</v>
      </c>
      <c r="Q180">
        <v>0.99399999999999999</v>
      </c>
      <c r="R180" t="s">
        <v>23</v>
      </c>
      <c r="S180">
        <v>4</v>
      </c>
    </row>
    <row r="181" spans="1:19">
      <c r="A181">
        <v>180</v>
      </c>
      <c r="B181" t="s">
        <v>252</v>
      </c>
      <c r="C181">
        <v>605.00649999999996</v>
      </c>
      <c r="D181">
        <v>216.4</v>
      </c>
      <c r="E181">
        <v>-0.33097883186167099</v>
      </c>
      <c r="F181" t="s">
        <v>18</v>
      </c>
      <c r="G181" t="s">
        <v>19</v>
      </c>
      <c r="H181">
        <v>0.998</v>
      </c>
      <c r="I181" t="s">
        <v>72</v>
      </c>
      <c r="J181" t="s">
        <v>19</v>
      </c>
      <c r="K181">
        <v>0.96</v>
      </c>
      <c r="L181" t="s">
        <v>73</v>
      </c>
      <c r="M181" t="s">
        <v>19</v>
      </c>
      <c r="N181">
        <v>0.91</v>
      </c>
      <c r="O181" t="s">
        <v>168</v>
      </c>
      <c r="P181" t="s">
        <v>19</v>
      </c>
      <c r="Q181">
        <v>1</v>
      </c>
      <c r="R181" t="s">
        <v>23</v>
      </c>
      <c r="S181">
        <v>4</v>
      </c>
    </row>
    <row r="182" spans="1:19">
      <c r="A182">
        <v>181</v>
      </c>
      <c r="B182" t="s">
        <v>253</v>
      </c>
      <c r="C182">
        <v>371.25619999999998</v>
      </c>
      <c r="D182">
        <v>202.3</v>
      </c>
      <c r="E182">
        <v>-0.841673177721873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0.96</v>
      </c>
      <c r="L182" t="s">
        <v>25</v>
      </c>
      <c r="M182" t="s">
        <v>19</v>
      </c>
      <c r="N182">
        <v>0.74</v>
      </c>
      <c r="O182" t="s">
        <v>26</v>
      </c>
      <c r="P182" t="s">
        <v>19</v>
      </c>
      <c r="Q182">
        <v>0.71899999999999997</v>
      </c>
      <c r="R182" t="s">
        <v>23</v>
      </c>
      <c r="S182">
        <v>4</v>
      </c>
    </row>
    <row r="183" spans="1:19">
      <c r="A183">
        <v>182</v>
      </c>
      <c r="B183" t="s">
        <v>185</v>
      </c>
      <c r="C183">
        <v>490.96170000000001</v>
      </c>
      <c r="D183">
        <v>185.1</v>
      </c>
      <c r="E183">
        <v>-0.41351577206995699</v>
      </c>
      <c r="F183" t="s">
        <v>18</v>
      </c>
      <c r="G183" t="s">
        <v>19</v>
      </c>
      <c r="H183">
        <v>1</v>
      </c>
      <c r="I183" t="s">
        <v>72</v>
      </c>
      <c r="J183" t="s">
        <v>19</v>
      </c>
      <c r="K183">
        <v>0.89</v>
      </c>
      <c r="L183" t="s">
        <v>73</v>
      </c>
      <c r="M183" t="s">
        <v>19</v>
      </c>
      <c r="N183">
        <v>0.8</v>
      </c>
      <c r="O183" t="s">
        <v>110</v>
      </c>
      <c r="P183" t="s">
        <v>19</v>
      </c>
      <c r="Q183">
        <v>0.60799999999999998</v>
      </c>
      <c r="R183" t="s">
        <v>23</v>
      </c>
      <c r="S183">
        <v>4</v>
      </c>
    </row>
    <row r="184" spans="1:19">
      <c r="A184">
        <v>183</v>
      </c>
      <c r="B184" t="s">
        <v>254</v>
      </c>
      <c r="C184">
        <v>880.50800000000004</v>
      </c>
      <c r="D184">
        <v>298</v>
      </c>
      <c r="E184">
        <v>-0.52486710355162802</v>
      </c>
      <c r="F184" t="s">
        <v>18</v>
      </c>
      <c r="G184" t="s">
        <v>19</v>
      </c>
      <c r="H184">
        <v>0.998</v>
      </c>
      <c r="I184" t="s">
        <v>20</v>
      </c>
      <c r="J184" t="s">
        <v>19</v>
      </c>
      <c r="K184">
        <v>1</v>
      </c>
      <c r="L184" t="s">
        <v>21</v>
      </c>
      <c r="M184" t="s">
        <v>19</v>
      </c>
      <c r="N184">
        <v>1</v>
      </c>
      <c r="O184" t="s">
        <v>56</v>
      </c>
      <c r="P184" t="s">
        <v>19</v>
      </c>
      <c r="Q184">
        <v>1</v>
      </c>
      <c r="R184" t="s">
        <v>23</v>
      </c>
      <c r="S184">
        <v>4</v>
      </c>
    </row>
    <row r="185" spans="1:19">
      <c r="A185">
        <v>184</v>
      </c>
      <c r="B185" t="s">
        <v>255</v>
      </c>
      <c r="C185">
        <v>407.22160000000002</v>
      </c>
      <c r="D185">
        <v>202.4</v>
      </c>
      <c r="E185">
        <v>-0.76691594136076402</v>
      </c>
      <c r="F185" t="s">
        <v>18</v>
      </c>
      <c r="G185" t="s">
        <v>19</v>
      </c>
      <c r="H185">
        <v>1</v>
      </c>
      <c r="I185" t="s">
        <v>39</v>
      </c>
      <c r="J185" t="s">
        <v>19</v>
      </c>
      <c r="K185">
        <v>0.64</v>
      </c>
      <c r="L185" t="s">
        <v>40</v>
      </c>
      <c r="M185" t="s">
        <v>19</v>
      </c>
      <c r="N185">
        <v>1</v>
      </c>
      <c r="O185" t="s">
        <v>41</v>
      </c>
      <c r="P185" t="s">
        <v>19</v>
      </c>
      <c r="Q185">
        <v>1</v>
      </c>
      <c r="R185" t="s">
        <v>23</v>
      </c>
      <c r="S185">
        <v>4</v>
      </c>
    </row>
    <row r="186" spans="1:19">
      <c r="A186">
        <v>185</v>
      </c>
      <c r="B186" t="s">
        <v>256</v>
      </c>
      <c r="C186">
        <v>206.08260000000001</v>
      </c>
      <c r="D186">
        <v>147.1</v>
      </c>
      <c r="E186">
        <v>-0.85249807764881802</v>
      </c>
      <c r="F186" t="s">
        <v>18</v>
      </c>
      <c r="G186" t="s">
        <v>19</v>
      </c>
      <c r="H186">
        <v>1</v>
      </c>
      <c r="I186" t="s">
        <v>39</v>
      </c>
      <c r="J186" t="s">
        <v>19</v>
      </c>
      <c r="K186">
        <v>0.64</v>
      </c>
      <c r="L186" t="s">
        <v>40</v>
      </c>
      <c r="M186" t="s">
        <v>19</v>
      </c>
      <c r="N186">
        <v>1</v>
      </c>
      <c r="O186" t="s">
        <v>41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186</v>
      </c>
      <c r="B187" t="s">
        <v>257</v>
      </c>
      <c r="C187">
        <v>566.19629999999995</v>
      </c>
      <c r="D187">
        <v>221.5</v>
      </c>
      <c r="E187">
        <v>-0.56411243511991005</v>
      </c>
      <c r="F187" t="s">
        <v>18</v>
      </c>
      <c r="G187" t="s">
        <v>19</v>
      </c>
      <c r="H187">
        <v>1</v>
      </c>
      <c r="I187" t="s">
        <v>45</v>
      </c>
      <c r="J187" t="s">
        <v>19</v>
      </c>
      <c r="K187">
        <v>0.7</v>
      </c>
      <c r="L187" t="s">
        <v>46</v>
      </c>
      <c r="M187" t="s">
        <v>19</v>
      </c>
      <c r="N187">
        <v>1</v>
      </c>
      <c r="O187" t="s">
        <v>47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187</v>
      </c>
      <c r="B188" t="s">
        <v>258</v>
      </c>
      <c r="C188">
        <v>876.47670000000005</v>
      </c>
      <c r="D188">
        <v>290.3</v>
      </c>
      <c r="E188">
        <v>-0.498068259299771</v>
      </c>
      <c r="F188" t="s">
        <v>18</v>
      </c>
      <c r="G188" t="s">
        <v>19</v>
      </c>
      <c r="H188">
        <v>0.996</v>
      </c>
      <c r="I188" t="s">
        <v>20</v>
      </c>
      <c r="J188" t="s">
        <v>19</v>
      </c>
      <c r="K188">
        <v>0.95</v>
      </c>
      <c r="L188" t="s">
        <v>21</v>
      </c>
      <c r="M188" t="s">
        <v>19</v>
      </c>
      <c r="N188">
        <v>1</v>
      </c>
      <c r="O188" t="s">
        <v>56</v>
      </c>
      <c r="P188" t="s">
        <v>19</v>
      </c>
      <c r="Q188">
        <v>0.99299999999999999</v>
      </c>
      <c r="R188" t="s">
        <v>23</v>
      </c>
      <c r="S188">
        <v>4</v>
      </c>
    </row>
    <row r="189" spans="1:19">
      <c r="A189">
        <v>188</v>
      </c>
      <c r="B189" t="s">
        <v>259</v>
      </c>
      <c r="C189">
        <v>195.9888</v>
      </c>
      <c r="D189">
        <v>150</v>
      </c>
      <c r="E189">
        <v>-0.76996832940139404</v>
      </c>
      <c r="F189" t="s">
        <v>18</v>
      </c>
      <c r="G189" t="s">
        <v>19</v>
      </c>
      <c r="H189">
        <v>1</v>
      </c>
      <c r="I189" t="s">
        <v>39</v>
      </c>
      <c r="J189" t="s">
        <v>19</v>
      </c>
      <c r="K189">
        <v>0.77</v>
      </c>
      <c r="L189" t="s">
        <v>40</v>
      </c>
      <c r="M189" t="s">
        <v>19</v>
      </c>
      <c r="N189">
        <v>1</v>
      </c>
      <c r="O189" t="s">
        <v>41</v>
      </c>
      <c r="P189" t="s">
        <v>19</v>
      </c>
      <c r="Q189">
        <v>0.874</v>
      </c>
      <c r="R189" t="s">
        <v>23</v>
      </c>
      <c r="S189">
        <v>4</v>
      </c>
    </row>
    <row r="190" spans="1:19">
      <c r="A190">
        <v>189</v>
      </c>
      <c r="B190" t="s">
        <v>260</v>
      </c>
      <c r="C190">
        <v>317.20929999999998</v>
      </c>
      <c r="D190">
        <v>198.2</v>
      </c>
      <c r="E190">
        <v>-0.85511934759324504</v>
      </c>
      <c r="F190" t="s">
        <v>18</v>
      </c>
      <c r="G190" t="s">
        <v>19</v>
      </c>
      <c r="H190">
        <v>1</v>
      </c>
      <c r="I190" t="s">
        <v>20</v>
      </c>
      <c r="J190" t="s">
        <v>19</v>
      </c>
      <c r="K190">
        <v>1</v>
      </c>
      <c r="L190" t="s">
        <v>25</v>
      </c>
      <c r="M190" t="s">
        <v>19</v>
      </c>
      <c r="N190">
        <v>0.92</v>
      </c>
      <c r="O190" t="s">
        <v>261</v>
      </c>
      <c r="P190" t="s">
        <v>19</v>
      </c>
      <c r="Q190">
        <v>0.81100000000000005</v>
      </c>
      <c r="R190" t="s">
        <v>23</v>
      </c>
      <c r="S190">
        <v>4</v>
      </c>
    </row>
    <row r="191" spans="1:19">
      <c r="A191">
        <v>190</v>
      </c>
      <c r="B191" t="s">
        <v>262</v>
      </c>
      <c r="C191">
        <v>304.90949999999998</v>
      </c>
      <c r="D191">
        <v>163.4</v>
      </c>
      <c r="E191">
        <v>-0.56905271287752202</v>
      </c>
      <c r="F191" t="s">
        <v>18</v>
      </c>
      <c r="G191" t="s">
        <v>19</v>
      </c>
      <c r="H191">
        <v>1</v>
      </c>
      <c r="I191" t="s">
        <v>77</v>
      </c>
      <c r="J191" t="s">
        <v>19</v>
      </c>
      <c r="K191">
        <v>0.99</v>
      </c>
      <c r="L191" t="s">
        <v>78</v>
      </c>
      <c r="M191" t="s">
        <v>19</v>
      </c>
      <c r="N191">
        <v>1</v>
      </c>
      <c r="O191" t="s">
        <v>129</v>
      </c>
      <c r="P191" t="s">
        <v>19</v>
      </c>
      <c r="Q191">
        <v>0.99299999999999999</v>
      </c>
      <c r="R191" t="s">
        <v>23</v>
      </c>
      <c r="S191">
        <v>4</v>
      </c>
    </row>
    <row r="192" spans="1:19">
      <c r="A192">
        <v>191</v>
      </c>
      <c r="B192" t="s">
        <v>263</v>
      </c>
      <c r="C192">
        <v>236.98740000000001</v>
      </c>
      <c r="D192">
        <v>152.6</v>
      </c>
      <c r="E192">
        <v>-0.722791263925188</v>
      </c>
      <c r="F192" t="s">
        <v>18</v>
      </c>
      <c r="G192" t="s">
        <v>19</v>
      </c>
      <c r="H192">
        <v>1</v>
      </c>
      <c r="I192" t="s">
        <v>77</v>
      </c>
      <c r="J192" t="s">
        <v>19</v>
      </c>
      <c r="K192">
        <v>0.99</v>
      </c>
      <c r="L192" t="s">
        <v>78</v>
      </c>
      <c r="M192" t="s">
        <v>19</v>
      </c>
      <c r="N192">
        <v>1</v>
      </c>
      <c r="O192" t="s">
        <v>129</v>
      </c>
      <c r="P192" t="s">
        <v>19</v>
      </c>
      <c r="Q192">
        <v>0.86699999999999999</v>
      </c>
      <c r="R192" t="s">
        <v>23</v>
      </c>
      <c r="S192">
        <v>4</v>
      </c>
    </row>
    <row r="193" spans="1:19">
      <c r="A193">
        <v>192</v>
      </c>
      <c r="B193" t="s">
        <v>264</v>
      </c>
      <c r="C193">
        <v>439.21899999999999</v>
      </c>
      <c r="D193">
        <v>203.2</v>
      </c>
      <c r="E193">
        <v>-0.72858918301119502</v>
      </c>
      <c r="F193" t="s">
        <v>18</v>
      </c>
      <c r="G193" t="s">
        <v>19</v>
      </c>
      <c r="H193">
        <v>1</v>
      </c>
      <c r="I193" t="s">
        <v>39</v>
      </c>
      <c r="J193" t="s">
        <v>19</v>
      </c>
      <c r="K193">
        <v>0.63</v>
      </c>
      <c r="L193" t="s">
        <v>40</v>
      </c>
      <c r="M193" t="s">
        <v>19</v>
      </c>
      <c r="N193">
        <v>1</v>
      </c>
      <c r="O193" t="s">
        <v>41</v>
      </c>
      <c r="P193" t="s">
        <v>19</v>
      </c>
      <c r="Q193">
        <v>1</v>
      </c>
      <c r="R193" t="s">
        <v>23</v>
      </c>
      <c r="S193">
        <v>4</v>
      </c>
    </row>
    <row r="194" spans="1:19">
      <c r="A194">
        <v>193</v>
      </c>
      <c r="B194" t="s">
        <v>265</v>
      </c>
      <c r="C194">
        <v>820.56349999999998</v>
      </c>
      <c r="D194">
        <v>295.10000000000002</v>
      </c>
      <c r="E194">
        <v>-0.64729825001609198</v>
      </c>
      <c r="F194" t="s">
        <v>18</v>
      </c>
      <c r="G194" t="s">
        <v>19</v>
      </c>
      <c r="H194">
        <v>1</v>
      </c>
      <c r="I194" t="s">
        <v>20</v>
      </c>
      <c r="J194" t="s">
        <v>19</v>
      </c>
      <c r="K194">
        <v>1</v>
      </c>
      <c r="L194" t="s">
        <v>21</v>
      </c>
      <c r="M194" t="s">
        <v>19</v>
      </c>
      <c r="N194">
        <v>1</v>
      </c>
      <c r="O194" t="s">
        <v>22</v>
      </c>
      <c r="P194" t="s">
        <v>19</v>
      </c>
      <c r="Q194">
        <v>0.79600000000000004</v>
      </c>
      <c r="R194" t="s">
        <v>23</v>
      </c>
      <c r="S194">
        <v>4</v>
      </c>
    </row>
    <row r="195" spans="1:19">
      <c r="A195">
        <v>194</v>
      </c>
      <c r="B195" t="s">
        <v>266</v>
      </c>
      <c r="C195">
        <v>1821.7207000000001</v>
      </c>
      <c r="D195">
        <v>272.7</v>
      </c>
      <c r="E195">
        <v>-0.68665425787048695</v>
      </c>
      <c r="F195" t="s">
        <v>97</v>
      </c>
      <c r="G195" t="s">
        <v>19</v>
      </c>
      <c r="H195">
        <v>0.85799999999999998</v>
      </c>
      <c r="I195" t="s">
        <v>98</v>
      </c>
      <c r="J195" t="s">
        <v>19</v>
      </c>
      <c r="K195">
        <v>0.76</v>
      </c>
      <c r="L195" t="s">
        <v>99</v>
      </c>
      <c r="M195" t="s">
        <v>19</v>
      </c>
      <c r="N195">
        <v>0.99</v>
      </c>
      <c r="O195" t="s">
        <v>100</v>
      </c>
      <c r="P195" t="s">
        <v>19</v>
      </c>
      <c r="Q195">
        <v>0.99299999999999999</v>
      </c>
      <c r="R195" t="s">
        <v>23</v>
      </c>
      <c r="S195">
        <v>4</v>
      </c>
    </row>
    <row r="196" spans="1:19">
      <c r="A196">
        <v>195</v>
      </c>
      <c r="B196" t="s">
        <v>267</v>
      </c>
      <c r="C196">
        <v>166.0729</v>
      </c>
      <c r="D196">
        <v>133.4</v>
      </c>
      <c r="E196">
        <v>-0.887470984933032</v>
      </c>
      <c r="F196" t="s">
        <v>18</v>
      </c>
      <c r="G196" t="s">
        <v>19</v>
      </c>
      <c r="H196">
        <v>1</v>
      </c>
      <c r="I196" t="s">
        <v>61</v>
      </c>
      <c r="J196" t="s">
        <v>19</v>
      </c>
      <c r="K196">
        <v>0.63</v>
      </c>
      <c r="L196" t="s">
        <v>268</v>
      </c>
      <c r="M196" t="s">
        <v>19</v>
      </c>
      <c r="N196">
        <v>0.55000000000000004</v>
      </c>
      <c r="O196" t="s">
        <v>269</v>
      </c>
      <c r="P196" t="s">
        <v>19</v>
      </c>
      <c r="Q196">
        <v>1</v>
      </c>
      <c r="R196" t="s">
        <v>23</v>
      </c>
      <c r="S196">
        <v>4</v>
      </c>
    </row>
    <row r="197" spans="1:19">
      <c r="A197">
        <v>196</v>
      </c>
      <c r="B197" t="s">
        <v>270</v>
      </c>
      <c r="C197">
        <v>743.69680000000005</v>
      </c>
      <c r="D197">
        <v>413.6</v>
      </c>
      <c r="E197">
        <v>-0.86642391135194397</v>
      </c>
      <c r="F197" t="s">
        <v>18</v>
      </c>
      <c r="G197" t="s">
        <v>19</v>
      </c>
      <c r="H197">
        <v>1</v>
      </c>
      <c r="I197" t="s">
        <v>39</v>
      </c>
      <c r="J197" t="s">
        <v>19</v>
      </c>
      <c r="K197">
        <v>1</v>
      </c>
      <c r="L197" t="s">
        <v>40</v>
      </c>
      <c r="M197" t="s">
        <v>19</v>
      </c>
      <c r="N197">
        <v>0.97</v>
      </c>
      <c r="O197" t="s">
        <v>41</v>
      </c>
      <c r="P197" t="s">
        <v>19</v>
      </c>
      <c r="Q197">
        <v>1</v>
      </c>
      <c r="R197" t="s">
        <v>23</v>
      </c>
      <c r="S197">
        <v>4</v>
      </c>
    </row>
    <row r="198" spans="1:19">
      <c r="A198">
        <v>197</v>
      </c>
      <c r="B198" t="s">
        <v>271</v>
      </c>
      <c r="C198">
        <v>149.00970000000001</v>
      </c>
      <c r="D198">
        <v>118.3</v>
      </c>
      <c r="E198">
        <v>-0.84332293362479005</v>
      </c>
      <c r="F198" t="s">
        <v>18</v>
      </c>
      <c r="G198" t="s">
        <v>19</v>
      </c>
      <c r="H198">
        <v>1</v>
      </c>
      <c r="I198" t="s">
        <v>45</v>
      </c>
      <c r="J198" t="s">
        <v>19</v>
      </c>
      <c r="K198">
        <v>0.95</v>
      </c>
      <c r="L198" t="s">
        <v>46</v>
      </c>
      <c r="M198" t="s">
        <v>19</v>
      </c>
      <c r="N198">
        <v>1</v>
      </c>
      <c r="O198" t="s">
        <v>47</v>
      </c>
      <c r="P198" t="s">
        <v>19</v>
      </c>
      <c r="Q198">
        <v>0.93600000000000005</v>
      </c>
      <c r="R198" t="s">
        <v>23</v>
      </c>
      <c r="S198">
        <v>4</v>
      </c>
    </row>
    <row r="199" spans="1:19">
      <c r="A199">
        <v>198</v>
      </c>
      <c r="B199" t="s">
        <v>272</v>
      </c>
      <c r="C199">
        <v>192.98779999999999</v>
      </c>
      <c r="D199">
        <v>143.19999999999999</v>
      </c>
      <c r="E199">
        <v>-0.77231910170809204</v>
      </c>
      <c r="F199" t="s">
        <v>18</v>
      </c>
      <c r="G199" t="s">
        <v>19</v>
      </c>
      <c r="H199">
        <v>1</v>
      </c>
      <c r="I199" t="s">
        <v>45</v>
      </c>
      <c r="J199" t="s">
        <v>19</v>
      </c>
      <c r="K199">
        <v>0.61</v>
      </c>
      <c r="L199" t="s">
        <v>46</v>
      </c>
      <c r="M199" t="s">
        <v>19</v>
      </c>
      <c r="N199">
        <v>1</v>
      </c>
      <c r="O199" t="s">
        <v>47</v>
      </c>
      <c r="P199" t="s">
        <v>19</v>
      </c>
      <c r="Q199">
        <v>0.997</v>
      </c>
      <c r="R199" t="s">
        <v>23</v>
      </c>
      <c r="S199">
        <v>4</v>
      </c>
    </row>
    <row r="200" spans="1:19">
      <c r="A200">
        <v>199</v>
      </c>
      <c r="B200" t="s">
        <v>252</v>
      </c>
      <c r="C200">
        <v>565.04669999999999</v>
      </c>
      <c r="D200">
        <v>207.3</v>
      </c>
      <c r="E200">
        <v>-0.41579602320518899</v>
      </c>
      <c r="F200" t="s">
        <v>18</v>
      </c>
      <c r="G200" t="s">
        <v>19</v>
      </c>
      <c r="H200">
        <v>1</v>
      </c>
      <c r="I200" t="s">
        <v>72</v>
      </c>
      <c r="J200" t="s">
        <v>19</v>
      </c>
      <c r="K200">
        <v>1</v>
      </c>
      <c r="L200" t="s">
        <v>73</v>
      </c>
      <c r="M200" t="s">
        <v>19</v>
      </c>
      <c r="N200">
        <v>0.89</v>
      </c>
      <c r="O200" t="s">
        <v>168</v>
      </c>
      <c r="P200" t="s">
        <v>19</v>
      </c>
      <c r="Q200">
        <v>0.97699999999999998</v>
      </c>
      <c r="R200" t="s">
        <v>23</v>
      </c>
      <c r="S200">
        <v>4</v>
      </c>
    </row>
    <row r="201" spans="1:19">
      <c r="A201">
        <v>200</v>
      </c>
      <c r="B201" t="s">
        <v>273</v>
      </c>
      <c r="C201">
        <v>1018.5692</v>
      </c>
      <c r="D201">
        <v>312.3</v>
      </c>
      <c r="E201">
        <v>-0.43191460585353503</v>
      </c>
      <c r="F201" t="s">
        <v>18</v>
      </c>
      <c r="G201" t="s">
        <v>19</v>
      </c>
      <c r="H201">
        <v>1</v>
      </c>
      <c r="I201" t="s">
        <v>39</v>
      </c>
      <c r="J201" t="s">
        <v>19</v>
      </c>
      <c r="K201">
        <v>0.98</v>
      </c>
      <c r="L201" t="s">
        <v>40</v>
      </c>
      <c r="M201" t="s">
        <v>19</v>
      </c>
      <c r="N201">
        <v>1</v>
      </c>
      <c r="O201" t="s">
        <v>41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201</v>
      </c>
      <c r="B202" t="s">
        <v>173</v>
      </c>
      <c r="C202">
        <v>215.01679999999999</v>
      </c>
      <c r="D202">
        <v>142.80000000000001</v>
      </c>
      <c r="E202">
        <v>-0.77672257950061396</v>
      </c>
      <c r="F202" t="s">
        <v>18</v>
      </c>
      <c r="G202" t="s">
        <v>19</v>
      </c>
      <c r="H202">
        <v>1</v>
      </c>
      <c r="I202" t="s">
        <v>39</v>
      </c>
      <c r="J202" t="s">
        <v>19</v>
      </c>
      <c r="K202">
        <v>0.96</v>
      </c>
      <c r="L202" t="s">
        <v>40</v>
      </c>
      <c r="M202" t="s">
        <v>19</v>
      </c>
      <c r="N202">
        <v>1</v>
      </c>
      <c r="O202" t="s">
        <v>88</v>
      </c>
      <c r="P202" t="s">
        <v>19</v>
      </c>
      <c r="Q202">
        <v>0.79100000000000004</v>
      </c>
      <c r="R202" t="s">
        <v>23</v>
      </c>
      <c r="S202">
        <v>4</v>
      </c>
    </row>
    <row r="203" spans="1:19">
      <c r="A203">
        <v>202</v>
      </c>
      <c r="B203" t="s">
        <v>274</v>
      </c>
      <c r="C203">
        <v>277.07589999999999</v>
      </c>
      <c r="D203">
        <v>168.1</v>
      </c>
      <c r="E203">
        <v>-0.76653037234973498</v>
      </c>
      <c r="F203" t="s">
        <v>18</v>
      </c>
      <c r="G203" t="s">
        <v>19</v>
      </c>
      <c r="H203">
        <v>1</v>
      </c>
      <c r="I203" t="s">
        <v>77</v>
      </c>
      <c r="J203" t="s">
        <v>19</v>
      </c>
      <c r="K203">
        <v>0.84</v>
      </c>
      <c r="L203" t="s">
        <v>78</v>
      </c>
      <c r="M203" t="s">
        <v>19</v>
      </c>
      <c r="N203">
        <v>0.93</v>
      </c>
      <c r="O203" t="s">
        <v>275</v>
      </c>
      <c r="P203" t="s">
        <v>19</v>
      </c>
      <c r="Q203">
        <v>0.95799999999999996</v>
      </c>
      <c r="R203" t="s">
        <v>23</v>
      </c>
      <c r="S203">
        <v>4</v>
      </c>
    </row>
    <row r="204" spans="1:19">
      <c r="A204">
        <v>203</v>
      </c>
      <c r="B204" t="s">
        <v>276</v>
      </c>
      <c r="C204">
        <v>171.0069</v>
      </c>
      <c r="D204">
        <v>127.4</v>
      </c>
      <c r="E204">
        <v>-0.81596191776830596</v>
      </c>
      <c r="F204" t="s">
        <v>18</v>
      </c>
      <c r="G204" t="s">
        <v>19</v>
      </c>
      <c r="H204">
        <v>1</v>
      </c>
      <c r="I204" t="s">
        <v>20</v>
      </c>
      <c r="J204" t="s">
        <v>19</v>
      </c>
      <c r="K204">
        <v>0.84</v>
      </c>
      <c r="L204" t="s">
        <v>21</v>
      </c>
      <c r="M204" t="s">
        <v>19</v>
      </c>
      <c r="N204">
        <v>0.87</v>
      </c>
      <c r="O204" t="s">
        <v>225</v>
      </c>
      <c r="P204" t="s">
        <v>19</v>
      </c>
      <c r="Q204">
        <v>0.96699999999999997</v>
      </c>
      <c r="R204" t="s">
        <v>23</v>
      </c>
      <c r="S204">
        <v>4</v>
      </c>
    </row>
    <row r="205" spans="1:19">
      <c r="A205">
        <v>204</v>
      </c>
      <c r="B205" t="s">
        <v>277</v>
      </c>
      <c r="C205">
        <v>202.08680000000001</v>
      </c>
      <c r="D205">
        <v>145.80000000000001</v>
      </c>
      <c r="E205">
        <v>-0.86115959580379797</v>
      </c>
      <c r="F205" t="s">
        <v>18</v>
      </c>
      <c r="G205" t="s">
        <v>19</v>
      </c>
      <c r="H205">
        <v>1</v>
      </c>
      <c r="I205" t="s">
        <v>61</v>
      </c>
      <c r="J205" t="s">
        <v>19</v>
      </c>
      <c r="K205">
        <v>0.72</v>
      </c>
      <c r="L205" t="s">
        <v>62</v>
      </c>
      <c r="M205" t="s">
        <v>19</v>
      </c>
      <c r="N205">
        <v>0.97</v>
      </c>
      <c r="O205" t="s">
        <v>278</v>
      </c>
      <c r="P205" t="s">
        <v>19</v>
      </c>
      <c r="Q205">
        <v>0.88900000000000001</v>
      </c>
      <c r="R205" t="s">
        <v>23</v>
      </c>
      <c r="S205">
        <v>4</v>
      </c>
    </row>
    <row r="206" spans="1:19">
      <c r="A206">
        <v>205</v>
      </c>
      <c r="B206" t="s">
        <v>176</v>
      </c>
      <c r="C206">
        <v>173.0086</v>
      </c>
      <c r="D206">
        <v>131.9</v>
      </c>
      <c r="E206">
        <v>-0.815426915793523</v>
      </c>
      <c r="F206" t="s">
        <v>18</v>
      </c>
      <c r="G206" t="s">
        <v>19</v>
      </c>
      <c r="H206">
        <v>1</v>
      </c>
      <c r="I206" t="s">
        <v>39</v>
      </c>
      <c r="J206" t="s">
        <v>19</v>
      </c>
      <c r="K206">
        <v>0.77</v>
      </c>
      <c r="L206" t="s">
        <v>40</v>
      </c>
      <c r="M206" t="s">
        <v>19</v>
      </c>
      <c r="N206">
        <v>1</v>
      </c>
      <c r="O206" t="s">
        <v>88</v>
      </c>
      <c r="P206" t="s">
        <v>19</v>
      </c>
      <c r="Q206">
        <v>0.78800000000000003</v>
      </c>
      <c r="R206" t="s">
        <v>23</v>
      </c>
      <c r="S206">
        <v>4</v>
      </c>
    </row>
    <row r="207" spans="1:19">
      <c r="A207">
        <v>206</v>
      </c>
      <c r="B207" t="s">
        <v>279</v>
      </c>
      <c r="C207">
        <v>878.53129999999999</v>
      </c>
      <c r="D207">
        <v>297.8</v>
      </c>
      <c r="E207">
        <v>-0.55037419172845103</v>
      </c>
      <c r="F207" t="s">
        <v>18</v>
      </c>
      <c r="G207" t="s">
        <v>19</v>
      </c>
      <c r="H207">
        <v>1</v>
      </c>
      <c r="I207" t="s">
        <v>20</v>
      </c>
      <c r="J207" t="s">
        <v>19</v>
      </c>
      <c r="K207">
        <v>0.99</v>
      </c>
      <c r="L207" t="s">
        <v>21</v>
      </c>
      <c r="M207" t="s">
        <v>19</v>
      </c>
      <c r="N207">
        <v>1</v>
      </c>
      <c r="O207" t="s">
        <v>56</v>
      </c>
      <c r="P207" t="s">
        <v>19</v>
      </c>
      <c r="Q207">
        <v>1</v>
      </c>
      <c r="R207" t="s">
        <v>23</v>
      </c>
      <c r="S207">
        <v>4</v>
      </c>
    </row>
    <row r="208" spans="1:19">
      <c r="A208">
        <v>207</v>
      </c>
      <c r="B208" t="s">
        <v>280</v>
      </c>
      <c r="C208">
        <v>817.71619999999996</v>
      </c>
      <c r="D208">
        <v>306.5</v>
      </c>
      <c r="E208">
        <v>-0.80317740829286799</v>
      </c>
      <c r="F208" t="s">
        <v>18</v>
      </c>
      <c r="G208" t="s">
        <v>19</v>
      </c>
      <c r="H208">
        <v>1</v>
      </c>
      <c r="I208" t="s">
        <v>20</v>
      </c>
      <c r="J208" t="s">
        <v>19</v>
      </c>
      <c r="K208">
        <v>1</v>
      </c>
      <c r="L208" t="s">
        <v>30</v>
      </c>
      <c r="M208" t="s">
        <v>19</v>
      </c>
      <c r="N208">
        <v>1</v>
      </c>
      <c r="O208" t="s">
        <v>191</v>
      </c>
      <c r="P208" t="s">
        <v>19</v>
      </c>
      <c r="Q208">
        <v>0.73799999999999999</v>
      </c>
      <c r="R208" t="s">
        <v>23</v>
      </c>
      <c r="S208">
        <v>4</v>
      </c>
    </row>
    <row r="209" spans="1:19">
      <c r="A209">
        <v>208</v>
      </c>
      <c r="B209" t="s">
        <v>281</v>
      </c>
      <c r="C209">
        <v>121.0519</v>
      </c>
      <c r="D209">
        <v>121.7</v>
      </c>
      <c r="E209">
        <v>-0.91673926884527601</v>
      </c>
      <c r="F209" t="s">
        <v>18</v>
      </c>
      <c r="G209" t="s">
        <v>19</v>
      </c>
      <c r="H209">
        <v>1</v>
      </c>
      <c r="I209" t="s">
        <v>61</v>
      </c>
      <c r="J209" t="s">
        <v>19</v>
      </c>
      <c r="K209">
        <v>0.9</v>
      </c>
      <c r="L209" t="s">
        <v>268</v>
      </c>
      <c r="M209" t="s">
        <v>19</v>
      </c>
      <c r="N209">
        <v>0.54</v>
      </c>
      <c r="O209" t="s">
        <v>269</v>
      </c>
      <c r="P209" t="s">
        <v>19</v>
      </c>
      <c r="Q209">
        <v>0.997</v>
      </c>
      <c r="R209" t="s">
        <v>23</v>
      </c>
      <c r="S209">
        <v>4</v>
      </c>
    </row>
    <row r="210" spans="1:19">
      <c r="A210">
        <v>209</v>
      </c>
      <c r="B210" t="s">
        <v>24</v>
      </c>
      <c r="C210">
        <v>305.24799999999999</v>
      </c>
      <c r="D210">
        <v>182</v>
      </c>
      <c r="E210">
        <v>-0.90717476005318098</v>
      </c>
      <c r="F210" t="s">
        <v>18</v>
      </c>
      <c r="G210" t="s">
        <v>19</v>
      </c>
      <c r="H210">
        <v>1</v>
      </c>
      <c r="I210" t="s">
        <v>20</v>
      </c>
      <c r="J210" t="s">
        <v>19</v>
      </c>
      <c r="K210">
        <v>0.99</v>
      </c>
      <c r="L210" t="s">
        <v>25</v>
      </c>
      <c r="M210" t="s">
        <v>19</v>
      </c>
      <c r="N210">
        <v>1</v>
      </c>
      <c r="O210" t="s">
        <v>26</v>
      </c>
      <c r="P210" t="s">
        <v>19</v>
      </c>
      <c r="Q210">
        <v>0.995</v>
      </c>
      <c r="R210" t="s">
        <v>23</v>
      </c>
      <c r="S210">
        <v>4</v>
      </c>
    </row>
    <row r="211" spans="1:19">
      <c r="A211">
        <v>210</v>
      </c>
      <c r="B211" t="s">
        <v>282</v>
      </c>
      <c r="C211">
        <v>664.49170000000004</v>
      </c>
      <c r="D211">
        <v>267.3</v>
      </c>
      <c r="E211">
        <v>-0.749760517693289</v>
      </c>
      <c r="F211" t="s">
        <v>18</v>
      </c>
      <c r="G211" t="s">
        <v>19</v>
      </c>
      <c r="H211">
        <v>1</v>
      </c>
      <c r="I211" t="s">
        <v>20</v>
      </c>
      <c r="J211" t="s">
        <v>19</v>
      </c>
      <c r="K211">
        <v>1</v>
      </c>
      <c r="L211" t="s">
        <v>21</v>
      </c>
      <c r="M211" t="s">
        <v>19</v>
      </c>
      <c r="N211">
        <v>1</v>
      </c>
      <c r="O211" t="s">
        <v>28</v>
      </c>
      <c r="P211" t="s">
        <v>19</v>
      </c>
      <c r="Q211">
        <v>0.79800000000000004</v>
      </c>
      <c r="R211" t="s">
        <v>23</v>
      </c>
      <c r="S211">
        <v>4</v>
      </c>
    </row>
    <row r="212" spans="1:19">
      <c r="A212">
        <v>211</v>
      </c>
      <c r="B212" t="s">
        <v>283</v>
      </c>
      <c r="C212">
        <v>295.26369999999997</v>
      </c>
      <c r="D212">
        <v>186</v>
      </c>
      <c r="E212">
        <v>-0.93402274937068297</v>
      </c>
      <c r="F212" t="s">
        <v>18</v>
      </c>
      <c r="G212" t="s">
        <v>19</v>
      </c>
      <c r="H212">
        <v>1</v>
      </c>
      <c r="I212" t="s">
        <v>20</v>
      </c>
      <c r="J212" t="s">
        <v>19</v>
      </c>
      <c r="K212">
        <v>1</v>
      </c>
      <c r="L212" t="s">
        <v>25</v>
      </c>
      <c r="M212" t="s">
        <v>19</v>
      </c>
      <c r="N212">
        <v>0.95</v>
      </c>
      <c r="O212" t="s">
        <v>261</v>
      </c>
      <c r="P212" t="s">
        <v>19</v>
      </c>
      <c r="Q212">
        <v>0.66500000000000004</v>
      </c>
      <c r="R212" t="s">
        <v>23</v>
      </c>
      <c r="S212">
        <v>4</v>
      </c>
    </row>
    <row r="213" spans="1:19">
      <c r="A213">
        <v>212</v>
      </c>
      <c r="B213" t="s">
        <v>284</v>
      </c>
      <c r="C213">
        <v>307.26130000000001</v>
      </c>
      <c r="D213">
        <v>190.6</v>
      </c>
      <c r="E213">
        <v>-0.91822680607617702</v>
      </c>
      <c r="F213" t="s">
        <v>18</v>
      </c>
      <c r="G213" t="s">
        <v>19</v>
      </c>
      <c r="H213">
        <v>1</v>
      </c>
      <c r="I213" t="s">
        <v>20</v>
      </c>
      <c r="J213" t="s">
        <v>19</v>
      </c>
      <c r="K213">
        <v>0.98</v>
      </c>
      <c r="L213" t="s">
        <v>25</v>
      </c>
      <c r="M213" t="s">
        <v>19</v>
      </c>
      <c r="N213">
        <v>1</v>
      </c>
      <c r="O213" t="s">
        <v>26</v>
      </c>
      <c r="P213" t="s">
        <v>19</v>
      </c>
      <c r="Q213">
        <v>0.95499999999999996</v>
      </c>
      <c r="R213" t="s">
        <v>23</v>
      </c>
      <c r="S213">
        <v>4</v>
      </c>
    </row>
    <row r="214" spans="1:19">
      <c r="A214">
        <v>213</v>
      </c>
      <c r="B214" t="s">
        <v>105</v>
      </c>
      <c r="C214">
        <v>489.1105</v>
      </c>
      <c r="D214">
        <v>198.5</v>
      </c>
      <c r="E214">
        <v>-0.564382732981073</v>
      </c>
      <c r="F214" t="s">
        <v>18</v>
      </c>
      <c r="G214" t="s">
        <v>19</v>
      </c>
      <c r="H214">
        <v>1</v>
      </c>
      <c r="I214" t="s">
        <v>72</v>
      </c>
      <c r="J214" t="s">
        <v>19</v>
      </c>
      <c r="K214">
        <v>0.87</v>
      </c>
      <c r="L214" t="s">
        <v>73</v>
      </c>
      <c r="M214" t="s">
        <v>19</v>
      </c>
      <c r="N214">
        <v>0.95</v>
      </c>
      <c r="O214" t="s">
        <v>74</v>
      </c>
      <c r="P214" t="s">
        <v>19</v>
      </c>
      <c r="Q214">
        <v>0.99199999999999999</v>
      </c>
      <c r="R214" t="s">
        <v>23</v>
      </c>
      <c r="S214">
        <v>4</v>
      </c>
    </row>
    <row r="215" spans="1:19">
      <c r="A215">
        <v>214</v>
      </c>
      <c r="B215" t="s">
        <v>285</v>
      </c>
      <c r="C215">
        <v>826.56489999999997</v>
      </c>
      <c r="D215">
        <v>292.89999999999998</v>
      </c>
      <c r="E215">
        <v>-0.64199737533374401</v>
      </c>
      <c r="F215" t="s">
        <v>18</v>
      </c>
      <c r="G215" t="s">
        <v>19</v>
      </c>
      <c r="H215">
        <v>1</v>
      </c>
      <c r="I215" t="s">
        <v>20</v>
      </c>
      <c r="J215" t="s">
        <v>19</v>
      </c>
      <c r="K215">
        <v>1</v>
      </c>
      <c r="L215" t="s">
        <v>21</v>
      </c>
      <c r="M215" t="s">
        <v>19</v>
      </c>
      <c r="N215">
        <v>1</v>
      </c>
      <c r="O215" t="s">
        <v>22</v>
      </c>
      <c r="P215" t="s">
        <v>19</v>
      </c>
      <c r="Q215">
        <v>0.80200000000000005</v>
      </c>
      <c r="R215" t="s">
        <v>23</v>
      </c>
      <c r="S215">
        <v>4</v>
      </c>
    </row>
    <row r="216" spans="1:19">
      <c r="A216">
        <v>215</v>
      </c>
      <c r="B216" t="s">
        <v>286</v>
      </c>
      <c r="C216">
        <v>630.44740000000002</v>
      </c>
      <c r="D216">
        <v>260.8</v>
      </c>
      <c r="E216">
        <v>-0.743472746164343</v>
      </c>
      <c r="F216" t="s">
        <v>18</v>
      </c>
      <c r="G216" t="s">
        <v>19</v>
      </c>
      <c r="H216">
        <v>1</v>
      </c>
      <c r="I216" t="s">
        <v>20</v>
      </c>
      <c r="J216" t="s">
        <v>19</v>
      </c>
      <c r="K216">
        <v>1</v>
      </c>
      <c r="L216" t="s">
        <v>21</v>
      </c>
      <c r="M216" t="s">
        <v>19</v>
      </c>
      <c r="N216">
        <v>1</v>
      </c>
      <c r="O216" t="s">
        <v>22</v>
      </c>
      <c r="P216" t="s">
        <v>19</v>
      </c>
      <c r="Q216">
        <v>0.68500000000000005</v>
      </c>
      <c r="R216" t="s">
        <v>23</v>
      </c>
      <c r="S216">
        <v>4</v>
      </c>
    </row>
    <row r="217" spans="1:19">
      <c r="A217">
        <v>216</v>
      </c>
      <c r="B217" t="s">
        <v>287</v>
      </c>
      <c r="C217">
        <v>375.21710000000002</v>
      </c>
      <c r="D217">
        <v>198.2</v>
      </c>
      <c r="E217">
        <v>-0.79815062722889296</v>
      </c>
      <c r="F217" t="s">
        <v>18</v>
      </c>
      <c r="G217" t="s">
        <v>19</v>
      </c>
      <c r="H217">
        <v>1</v>
      </c>
      <c r="I217" t="s">
        <v>20</v>
      </c>
      <c r="J217" t="s">
        <v>19</v>
      </c>
      <c r="K217">
        <v>1</v>
      </c>
      <c r="L217" t="s">
        <v>25</v>
      </c>
      <c r="M217" t="s">
        <v>19</v>
      </c>
      <c r="N217">
        <v>0.94</v>
      </c>
      <c r="O217" t="s">
        <v>26</v>
      </c>
      <c r="P217" t="s">
        <v>19</v>
      </c>
      <c r="Q217">
        <v>0.621</v>
      </c>
      <c r="R217" t="s">
        <v>23</v>
      </c>
      <c r="S217">
        <v>4</v>
      </c>
    </row>
    <row r="218" spans="1:19">
      <c r="A218">
        <v>217</v>
      </c>
      <c r="B218" t="s">
        <v>288</v>
      </c>
      <c r="C218">
        <v>814.50379999999996</v>
      </c>
      <c r="D218">
        <v>276.2</v>
      </c>
      <c r="E218">
        <v>-0.59436421967518505</v>
      </c>
      <c r="F218" t="s">
        <v>18</v>
      </c>
      <c r="G218" t="s">
        <v>19</v>
      </c>
      <c r="H218">
        <v>1</v>
      </c>
      <c r="I218" t="s">
        <v>39</v>
      </c>
      <c r="J218" t="s">
        <v>19</v>
      </c>
      <c r="K218">
        <v>0.66</v>
      </c>
      <c r="L218" t="s">
        <v>40</v>
      </c>
      <c r="M218" t="s">
        <v>19</v>
      </c>
      <c r="N218">
        <v>0.97</v>
      </c>
      <c r="O218" t="s">
        <v>41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218</v>
      </c>
      <c r="B219" t="s">
        <v>289</v>
      </c>
      <c r="C219">
        <v>1470.6873000000001</v>
      </c>
      <c r="D219">
        <v>364.9</v>
      </c>
      <c r="E219">
        <v>-4.5201274015880699E-2</v>
      </c>
      <c r="F219" t="s">
        <v>18</v>
      </c>
      <c r="G219" t="s">
        <v>19</v>
      </c>
      <c r="H219">
        <v>1</v>
      </c>
      <c r="I219" t="s">
        <v>39</v>
      </c>
      <c r="J219" t="s">
        <v>19</v>
      </c>
      <c r="K219">
        <v>0.87</v>
      </c>
      <c r="L219" t="s">
        <v>40</v>
      </c>
      <c r="M219" t="s">
        <v>19</v>
      </c>
      <c r="N219">
        <v>0.97</v>
      </c>
      <c r="O219" t="s">
        <v>41</v>
      </c>
      <c r="P219" t="s">
        <v>19</v>
      </c>
      <c r="Q219">
        <v>1</v>
      </c>
      <c r="R219" t="s">
        <v>23</v>
      </c>
      <c r="S219">
        <v>4</v>
      </c>
    </row>
    <row r="220" spans="1:19">
      <c r="A220">
        <v>219</v>
      </c>
      <c r="B220" t="s">
        <v>290</v>
      </c>
      <c r="C220">
        <v>359.18400000000003</v>
      </c>
      <c r="D220">
        <v>191.4</v>
      </c>
      <c r="E220">
        <v>-0.78295241578962305</v>
      </c>
      <c r="F220" t="s">
        <v>18</v>
      </c>
      <c r="G220" t="s">
        <v>19</v>
      </c>
      <c r="H220">
        <v>1</v>
      </c>
      <c r="I220" t="s">
        <v>20</v>
      </c>
      <c r="J220" t="s">
        <v>19</v>
      </c>
      <c r="K220">
        <v>0.94</v>
      </c>
      <c r="L220" t="s">
        <v>149</v>
      </c>
      <c r="M220" t="s">
        <v>19</v>
      </c>
      <c r="N220">
        <v>0.85</v>
      </c>
      <c r="O220" t="s">
        <v>150</v>
      </c>
      <c r="P220" t="s">
        <v>19</v>
      </c>
      <c r="Q220">
        <v>0.998</v>
      </c>
      <c r="R220" t="s">
        <v>23</v>
      </c>
      <c r="S220">
        <v>4</v>
      </c>
    </row>
    <row r="221" spans="1:19">
      <c r="A221">
        <v>220</v>
      </c>
      <c r="B221" t="s">
        <v>162</v>
      </c>
      <c r="C221">
        <v>175.06059999999999</v>
      </c>
      <c r="D221">
        <v>148.6</v>
      </c>
      <c r="E221">
        <v>-0.86513575125724196</v>
      </c>
      <c r="F221" t="s">
        <v>18</v>
      </c>
      <c r="G221" t="s">
        <v>19</v>
      </c>
      <c r="H221">
        <v>1</v>
      </c>
      <c r="I221" t="s">
        <v>45</v>
      </c>
      <c r="J221" t="s">
        <v>19</v>
      </c>
      <c r="K221">
        <v>0.63</v>
      </c>
      <c r="L221" t="s">
        <v>46</v>
      </c>
      <c r="M221" t="s">
        <v>19</v>
      </c>
      <c r="N221">
        <v>1</v>
      </c>
      <c r="O221" t="s">
        <v>163</v>
      </c>
      <c r="P221" t="s">
        <v>19</v>
      </c>
      <c r="Q221">
        <v>0.66600000000000004</v>
      </c>
      <c r="R221" t="s">
        <v>23</v>
      </c>
      <c r="S221">
        <v>4</v>
      </c>
    </row>
    <row r="222" spans="1:19">
      <c r="A222">
        <v>221</v>
      </c>
      <c r="B222" t="s">
        <v>291</v>
      </c>
      <c r="C222">
        <v>202.06790000000001</v>
      </c>
      <c r="D222">
        <v>141.9</v>
      </c>
      <c r="E222">
        <v>-0.84228069863505095</v>
      </c>
      <c r="F222" t="s">
        <v>18</v>
      </c>
      <c r="G222" t="s">
        <v>19</v>
      </c>
      <c r="H222">
        <v>1</v>
      </c>
      <c r="I222" t="s">
        <v>45</v>
      </c>
      <c r="J222" t="s">
        <v>19</v>
      </c>
      <c r="K222">
        <v>0.9</v>
      </c>
      <c r="L222" t="s">
        <v>46</v>
      </c>
      <c r="M222" t="s">
        <v>19</v>
      </c>
      <c r="N222">
        <v>1</v>
      </c>
      <c r="O222" t="s">
        <v>47</v>
      </c>
      <c r="P222" t="s">
        <v>19</v>
      </c>
      <c r="Q222">
        <v>0.998</v>
      </c>
      <c r="R222" t="s">
        <v>23</v>
      </c>
      <c r="S222">
        <v>4</v>
      </c>
    </row>
    <row r="223" spans="1:19">
      <c r="A223">
        <v>222</v>
      </c>
      <c r="B223" t="s">
        <v>292</v>
      </c>
      <c r="C223">
        <v>354.19490000000002</v>
      </c>
      <c r="D223">
        <v>448.3</v>
      </c>
      <c r="E223">
        <v>-0.79942300496503504</v>
      </c>
      <c r="F223" t="s">
        <v>18</v>
      </c>
      <c r="G223" t="s">
        <v>19</v>
      </c>
      <c r="H223">
        <v>1</v>
      </c>
      <c r="I223" t="s">
        <v>39</v>
      </c>
      <c r="J223" t="s">
        <v>19</v>
      </c>
      <c r="K223">
        <v>0.96</v>
      </c>
      <c r="L223" t="s">
        <v>40</v>
      </c>
      <c r="M223" t="s">
        <v>19</v>
      </c>
      <c r="N223">
        <v>0.96</v>
      </c>
      <c r="O223" t="s">
        <v>41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223</v>
      </c>
      <c r="B224" t="s">
        <v>293</v>
      </c>
      <c r="C224">
        <v>372.83150000000001</v>
      </c>
      <c r="D224">
        <v>173.3</v>
      </c>
      <c r="E224">
        <v>-0.41521427348510498</v>
      </c>
      <c r="F224" t="s">
        <v>18</v>
      </c>
      <c r="G224" t="s">
        <v>19</v>
      </c>
      <c r="H224">
        <v>1</v>
      </c>
      <c r="I224" t="s">
        <v>77</v>
      </c>
      <c r="J224" t="s">
        <v>19</v>
      </c>
      <c r="K224">
        <v>1</v>
      </c>
      <c r="L224" t="s">
        <v>78</v>
      </c>
      <c r="M224" t="s">
        <v>19</v>
      </c>
      <c r="N224">
        <v>1</v>
      </c>
      <c r="O224" t="s">
        <v>129</v>
      </c>
      <c r="P224" t="s">
        <v>19</v>
      </c>
      <c r="Q224">
        <v>1</v>
      </c>
      <c r="R224" t="s">
        <v>23</v>
      </c>
      <c r="S224">
        <v>4</v>
      </c>
    </row>
    <row r="225" spans="1:19">
      <c r="A225">
        <v>224</v>
      </c>
      <c r="B225" t="s">
        <v>294</v>
      </c>
      <c r="C225">
        <v>201.03710000000001</v>
      </c>
      <c r="D225">
        <v>144.69999999999999</v>
      </c>
      <c r="E225">
        <v>-0.81263164035240698</v>
      </c>
      <c r="F225" t="s">
        <v>18</v>
      </c>
      <c r="G225" t="s">
        <v>19</v>
      </c>
      <c r="H225">
        <v>1</v>
      </c>
      <c r="I225" t="s">
        <v>45</v>
      </c>
      <c r="J225" t="s">
        <v>19</v>
      </c>
      <c r="K225">
        <v>0.53</v>
      </c>
      <c r="L225" t="s">
        <v>46</v>
      </c>
      <c r="M225" t="s">
        <v>19</v>
      </c>
      <c r="N225">
        <v>1</v>
      </c>
      <c r="O225" t="s">
        <v>47</v>
      </c>
      <c r="P225" t="s">
        <v>19</v>
      </c>
      <c r="Q225">
        <v>0.94899999999999995</v>
      </c>
      <c r="R225" t="s">
        <v>23</v>
      </c>
      <c r="S225">
        <v>4</v>
      </c>
    </row>
    <row r="226" spans="1:19">
      <c r="A226">
        <v>225</v>
      </c>
      <c r="B226" t="s">
        <v>295</v>
      </c>
      <c r="C226">
        <v>888.57299999999998</v>
      </c>
      <c r="D226">
        <v>300</v>
      </c>
      <c r="E226">
        <v>-0.58086211233080598</v>
      </c>
      <c r="F226" t="s">
        <v>18</v>
      </c>
      <c r="G226" t="s">
        <v>19</v>
      </c>
      <c r="H226">
        <v>1</v>
      </c>
      <c r="I226" t="s">
        <v>20</v>
      </c>
      <c r="J226" t="s">
        <v>19</v>
      </c>
      <c r="K226">
        <v>1</v>
      </c>
      <c r="L226" t="s">
        <v>21</v>
      </c>
      <c r="M226" t="s">
        <v>19</v>
      </c>
      <c r="N226">
        <v>1</v>
      </c>
      <c r="O226" t="s">
        <v>56</v>
      </c>
      <c r="P226" t="s">
        <v>19</v>
      </c>
      <c r="Q226">
        <v>0.999</v>
      </c>
      <c r="R226" t="s">
        <v>23</v>
      </c>
      <c r="S226">
        <v>4</v>
      </c>
    </row>
    <row r="227" spans="1:19">
      <c r="A227">
        <v>226</v>
      </c>
      <c r="B227" t="s">
        <v>296</v>
      </c>
      <c r="C227">
        <v>111.0446</v>
      </c>
      <c r="D227">
        <v>113.9</v>
      </c>
      <c r="E227">
        <v>-0.92061293885694795</v>
      </c>
      <c r="F227" t="s">
        <v>18</v>
      </c>
      <c r="G227" t="s">
        <v>19</v>
      </c>
      <c r="H227">
        <v>1</v>
      </c>
      <c r="I227" t="s">
        <v>77</v>
      </c>
      <c r="J227" t="s">
        <v>19</v>
      </c>
      <c r="K227">
        <v>0.64</v>
      </c>
      <c r="L227" t="s">
        <v>297</v>
      </c>
      <c r="M227" t="s">
        <v>19</v>
      </c>
      <c r="N227">
        <v>0.96</v>
      </c>
      <c r="O227" t="s">
        <v>298</v>
      </c>
      <c r="P227" t="s">
        <v>19</v>
      </c>
      <c r="Q227">
        <v>1</v>
      </c>
      <c r="R227" t="s">
        <v>23</v>
      </c>
      <c r="S227">
        <v>4</v>
      </c>
    </row>
    <row r="228" spans="1:19">
      <c r="A228">
        <v>227</v>
      </c>
      <c r="B228" t="s">
        <v>299</v>
      </c>
      <c r="C228">
        <v>603.02070000000003</v>
      </c>
      <c r="D228">
        <v>210.9</v>
      </c>
      <c r="E228">
        <v>-0.34739608066104199</v>
      </c>
      <c r="F228" t="s">
        <v>18</v>
      </c>
      <c r="G228" t="s">
        <v>19</v>
      </c>
      <c r="H228">
        <v>1</v>
      </c>
      <c r="I228" t="s">
        <v>72</v>
      </c>
      <c r="J228" t="s">
        <v>19</v>
      </c>
      <c r="K228">
        <v>0.99</v>
      </c>
      <c r="L228" t="s">
        <v>73</v>
      </c>
      <c r="M228" t="s">
        <v>19</v>
      </c>
      <c r="N228">
        <v>0.92</v>
      </c>
      <c r="O228" t="s">
        <v>168</v>
      </c>
      <c r="P228" t="s">
        <v>19</v>
      </c>
      <c r="Q228">
        <v>1</v>
      </c>
      <c r="R228" t="s">
        <v>23</v>
      </c>
      <c r="S228">
        <v>4</v>
      </c>
    </row>
    <row r="229" spans="1:19">
      <c r="A229">
        <v>228</v>
      </c>
      <c r="B229" t="s">
        <v>300</v>
      </c>
      <c r="C229">
        <v>550.27380000000005</v>
      </c>
      <c r="D229">
        <v>224</v>
      </c>
      <c r="E229">
        <v>-0.65939073303866302</v>
      </c>
      <c r="F229" t="s">
        <v>18</v>
      </c>
      <c r="G229" t="s">
        <v>19</v>
      </c>
      <c r="H229">
        <v>1</v>
      </c>
      <c r="I229" t="s">
        <v>39</v>
      </c>
      <c r="J229" t="s">
        <v>19</v>
      </c>
      <c r="K229">
        <v>0.85</v>
      </c>
      <c r="L229" t="s">
        <v>40</v>
      </c>
      <c r="M229" t="s">
        <v>19</v>
      </c>
      <c r="N229">
        <v>1</v>
      </c>
      <c r="O229" t="s">
        <v>41</v>
      </c>
      <c r="P229" t="s">
        <v>19</v>
      </c>
      <c r="Q229">
        <v>1</v>
      </c>
      <c r="R229" t="s">
        <v>23</v>
      </c>
      <c r="S229">
        <v>4</v>
      </c>
    </row>
    <row r="230" spans="1:19">
      <c r="A230">
        <v>229</v>
      </c>
      <c r="B230" t="s">
        <v>301</v>
      </c>
      <c r="C230">
        <v>126.0671</v>
      </c>
      <c r="D230">
        <v>121.1</v>
      </c>
      <c r="E230">
        <v>-0.92633953766478805</v>
      </c>
      <c r="F230" t="s">
        <v>18</v>
      </c>
      <c r="G230" t="s">
        <v>19</v>
      </c>
      <c r="H230">
        <v>1</v>
      </c>
      <c r="I230" t="s">
        <v>61</v>
      </c>
      <c r="J230" t="s">
        <v>19</v>
      </c>
      <c r="K230">
        <v>0.8</v>
      </c>
      <c r="L230" t="s">
        <v>206</v>
      </c>
      <c r="M230" t="s">
        <v>19</v>
      </c>
      <c r="N230">
        <v>0.84</v>
      </c>
      <c r="O230" t="s">
        <v>207</v>
      </c>
      <c r="P230" t="s">
        <v>19</v>
      </c>
      <c r="Q230">
        <v>1</v>
      </c>
      <c r="R230" t="s">
        <v>23</v>
      </c>
      <c r="S230">
        <v>4</v>
      </c>
    </row>
    <row r="231" spans="1:19">
      <c r="A231">
        <v>230</v>
      </c>
      <c r="B231" t="s">
        <v>302</v>
      </c>
      <c r="C231">
        <v>893.54600000000005</v>
      </c>
      <c r="D231">
        <v>289.2</v>
      </c>
      <c r="E231">
        <v>-0.54830949964127695</v>
      </c>
      <c r="F231" t="s">
        <v>18</v>
      </c>
      <c r="G231" t="s">
        <v>19</v>
      </c>
      <c r="H231">
        <v>1</v>
      </c>
      <c r="I231" t="s">
        <v>39</v>
      </c>
      <c r="J231" t="s">
        <v>19</v>
      </c>
      <c r="K231">
        <v>0.6</v>
      </c>
      <c r="L231" t="s">
        <v>40</v>
      </c>
      <c r="M231" t="s">
        <v>19</v>
      </c>
      <c r="N231">
        <v>0.75</v>
      </c>
      <c r="O231" t="s">
        <v>41</v>
      </c>
      <c r="P231" t="s">
        <v>19</v>
      </c>
      <c r="Q231">
        <v>1</v>
      </c>
      <c r="R231" t="s">
        <v>23</v>
      </c>
      <c r="S231">
        <v>4</v>
      </c>
    </row>
    <row r="232" spans="1:19">
      <c r="A232">
        <v>231</v>
      </c>
      <c r="B232" t="s">
        <v>303</v>
      </c>
      <c r="C232">
        <v>186.22219999999999</v>
      </c>
      <c r="D232">
        <v>145.69999999999999</v>
      </c>
      <c r="E232">
        <v>-1.42732453662973E-2</v>
      </c>
      <c r="F232" t="s">
        <v>18</v>
      </c>
      <c r="G232" t="s">
        <v>19</v>
      </c>
      <c r="H232">
        <v>0.96</v>
      </c>
      <c r="I232" t="s">
        <v>178</v>
      </c>
      <c r="J232" t="s">
        <v>19</v>
      </c>
      <c r="K232">
        <v>1</v>
      </c>
      <c r="L232" t="s">
        <v>179</v>
      </c>
      <c r="M232" t="s">
        <v>19</v>
      </c>
      <c r="N232">
        <v>0.99</v>
      </c>
      <c r="O232" t="s">
        <v>180</v>
      </c>
      <c r="P232" t="s">
        <v>19</v>
      </c>
      <c r="Q232">
        <v>0.82899999999999996</v>
      </c>
      <c r="R232" t="s">
        <v>23</v>
      </c>
      <c r="S232">
        <v>4</v>
      </c>
    </row>
    <row r="233" spans="1:19">
      <c r="A233">
        <v>232</v>
      </c>
      <c r="B233" t="s">
        <v>273</v>
      </c>
      <c r="C233">
        <v>2094.1327999999999</v>
      </c>
      <c r="D233">
        <v>460.3</v>
      </c>
      <c r="E233">
        <v>-0.79459200505652905</v>
      </c>
      <c r="F233" t="s">
        <v>18</v>
      </c>
      <c r="G233" t="s">
        <v>19</v>
      </c>
      <c r="H233">
        <v>1</v>
      </c>
      <c r="I233" t="s">
        <v>39</v>
      </c>
      <c r="J233" t="s">
        <v>19</v>
      </c>
      <c r="K233">
        <v>1</v>
      </c>
      <c r="L233" t="s">
        <v>40</v>
      </c>
      <c r="M233" t="s">
        <v>19</v>
      </c>
      <c r="N233">
        <v>0.98</v>
      </c>
      <c r="O233" t="s">
        <v>41</v>
      </c>
      <c r="P233" t="s">
        <v>19</v>
      </c>
      <c r="Q233">
        <v>1</v>
      </c>
      <c r="R233" t="s">
        <v>23</v>
      </c>
      <c r="S233">
        <v>4</v>
      </c>
    </row>
    <row r="234" spans="1:19">
      <c r="A234">
        <v>233</v>
      </c>
      <c r="B234" t="s">
        <v>304</v>
      </c>
      <c r="C234">
        <v>168.07730000000001</v>
      </c>
      <c r="D234">
        <v>141.1</v>
      </c>
      <c r="E234">
        <v>-0.88963296826807403</v>
      </c>
      <c r="F234" t="s">
        <v>18</v>
      </c>
      <c r="G234" t="s">
        <v>19</v>
      </c>
      <c r="H234">
        <v>1</v>
      </c>
      <c r="I234" t="s">
        <v>39</v>
      </c>
      <c r="J234" t="s">
        <v>19</v>
      </c>
      <c r="K234">
        <v>0.86</v>
      </c>
      <c r="L234" t="s">
        <v>40</v>
      </c>
      <c r="M234" t="s">
        <v>19</v>
      </c>
      <c r="N234">
        <v>1</v>
      </c>
      <c r="O234" t="s">
        <v>41</v>
      </c>
      <c r="P234" t="s">
        <v>19</v>
      </c>
      <c r="Q234">
        <v>1</v>
      </c>
      <c r="R234" t="s">
        <v>23</v>
      </c>
      <c r="S234">
        <v>4</v>
      </c>
    </row>
    <row r="235" spans="1:19">
      <c r="A235">
        <v>234</v>
      </c>
      <c r="B235" t="s">
        <v>29</v>
      </c>
      <c r="C235">
        <v>596.53459999999995</v>
      </c>
      <c r="D235">
        <v>259.2</v>
      </c>
      <c r="E235">
        <v>-0.86853814805806495</v>
      </c>
      <c r="F235" t="s">
        <v>18</v>
      </c>
      <c r="G235" t="s">
        <v>19</v>
      </c>
      <c r="H235">
        <v>1</v>
      </c>
      <c r="I235" t="s">
        <v>20</v>
      </c>
      <c r="J235" t="s">
        <v>19</v>
      </c>
      <c r="K235">
        <v>0.99</v>
      </c>
      <c r="L235" t="s">
        <v>30</v>
      </c>
      <c r="M235" t="s">
        <v>19</v>
      </c>
      <c r="N235">
        <v>1</v>
      </c>
      <c r="O235" t="s">
        <v>31</v>
      </c>
      <c r="P235" t="s">
        <v>19</v>
      </c>
      <c r="Q235">
        <v>0.99099999999999999</v>
      </c>
      <c r="R235" t="s">
        <v>23</v>
      </c>
      <c r="S235">
        <v>4</v>
      </c>
    </row>
    <row r="236" spans="1:19">
      <c r="A236">
        <v>235</v>
      </c>
      <c r="B236" t="s">
        <v>305</v>
      </c>
      <c r="C236">
        <v>231.01159999999999</v>
      </c>
      <c r="D236">
        <v>137.5</v>
      </c>
      <c r="E236">
        <v>-0.75366355487832903</v>
      </c>
      <c r="F236" t="s">
        <v>18</v>
      </c>
      <c r="G236" t="s">
        <v>19</v>
      </c>
      <c r="H236">
        <v>1</v>
      </c>
      <c r="I236" t="s">
        <v>45</v>
      </c>
      <c r="J236" t="s">
        <v>19</v>
      </c>
      <c r="K236">
        <v>0.9</v>
      </c>
      <c r="L236" t="s">
        <v>46</v>
      </c>
      <c r="M236" t="s">
        <v>19</v>
      </c>
      <c r="N236">
        <v>1</v>
      </c>
      <c r="O236" t="s">
        <v>47</v>
      </c>
      <c r="P236" t="s">
        <v>19</v>
      </c>
      <c r="Q236">
        <v>0.99199999999999999</v>
      </c>
      <c r="R236" t="s">
        <v>23</v>
      </c>
      <c r="S236">
        <v>4</v>
      </c>
    </row>
    <row r="237" spans="1:19">
      <c r="A237">
        <v>236</v>
      </c>
      <c r="B237" t="s">
        <v>32</v>
      </c>
      <c r="C237">
        <v>796.5258</v>
      </c>
      <c r="D237">
        <v>284.39999999999998</v>
      </c>
      <c r="E237">
        <v>-0.63643759006174605</v>
      </c>
      <c r="F237" t="s">
        <v>18</v>
      </c>
      <c r="G237" t="s">
        <v>19</v>
      </c>
      <c r="H237">
        <v>1</v>
      </c>
      <c r="I237" t="s">
        <v>20</v>
      </c>
      <c r="J237" t="s">
        <v>19</v>
      </c>
      <c r="K237">
        <v>1</v>
      </c>
      <c r="L237" t="s">
        <v>21</v>
      </c>
      <c r="M237" t="s">
        <v>19</v>
      </c>
      <c r="N237">
        <v>1</v>
      </c>
      <c r="O237" t="s">
        <v>22</v>
      </c>
      <c r="P237" t="s">
        <v>19</v>
      </c>
      <c r="Q237">
        <v>0.57299999999999995</v>
      </c>
      <c r="R237" t="s">
        <v>23</v>
      </c>
      <c r="S237">
        <v>4</v>
      </c>
    </row>
    <row r="238" spans="1:19">
      <c r="A238">
        <v>237</v>
      </c>
      <c r="B238" t="s">
        <v>306</v>
      </c>
      <c r="C238">
        <v>181.07</v>
      </c>
      <c r="D238">
        <v>139</v>
      </c>
      <c r="E238">
        <v>-0.86782594415959102</v>
      </c>
      <c r="F238" t="s">
        <v>18</v>
      </c>
      <c r="G238" t="s">
        <v>19</v>
      </c>
      <c r="H238">
        <v>1</v>
      </c>
      <c r="I238" t="s">
        <v>61</v>
      </c>
      <c r="J238" t="s">
        <v>19</v>
      </c>
      <c r="K238">
        <v>0.89</v>
      </c>
      <c r="L238" t="s">
        <v>268</v>
      </c>
      <c r="M238" t="s">
        <v>19</v>
      </c>
      <c r="N238">
        <v>0.9</v>
      </c>
      <c r="O238" t="s">
        <v>269</v>
      </c>
      <c r="P238" t="s">
        <v>19</v>
      </c>
      <c r="Q238">
        <v>1</v>
      </c>
      <c r="R238" t="s">
        <v>23</v>
      </c>
      <c r="S238">
        <v>4</v>
      </c>
    </row>
    <row r="239" spans="1:19">
      <c r="A239">
        <v>238</v>
      </c>
      <c r="B239" t="s">
        <v>307</v>
      </c>
      <c r="C239">
        <v>644.6345</v>
      </c>
      <c r="D239">
        <v>277.7</v>
      </c>
      <c r="E239">
        <v>-0.91473211244465302</v>
      </c>
      <c r="F239" t="s">
        <v>18</v>
      </c>
      <c r="G239" t="s">
        <v>19</v>
      </c>
      <c r="H239">
        <v>1</v>
      </c>
      <c r="I239" t="s">
        <v>20</v>
      </c>
      <c r="J239" t="s">
        <v>19</v>
      </c>
      <c r="K239">
        <v>1</v>
      </c>
      <c r="L239" t="s">
        <v>30</v>
      </c>
      <c r="M239" t="s">
        <v>19</v>
      </c>
      <c r="N239">
        <v>1</v>
      </c>
      <c r="O239" t="s">
        <v>31</v>
      </c>
      <c r="P239" t="s">
        <v>19</v>
      </c>
      <c r="Q239">
        <v>1</v>
      </c>
      <c r="R239" t="s">
        <v>23</v>
      </c>
      <c r="S239">
        <v>4</v>
      </c>
    </row>
    <row r="240" spans="1:19">
      <c r="A240">
        <v>239</v>
      </c>
      <c r="B240" t="s">
        <v>308</v>
      </c>
      <c r="C240">
        <v>888.57060000000001</v>
      </c>
      <c r="D240">
        <v>301.8</v>
      </c>
      <c r="E240">
        <v>-0.57846479205545598</v>
      </c>
      <c r="F240" t="s">
        <v>18</v>
      </c>
      <c r="G240" t="s">
        <v>19</v>
      </c>
      <c r="H240">
        <v>1</v>
      </c>
      <c r="I240" t="s">
        <v>20</v>
      </c>
      <c r="J240" t="s">
        <v>19</v>
      </c>
      <c r="K240">
        <v>0.97</v>
      </c>
      <c r="L240" t="s">
        <v>21</v>
      </c>
      <c r="M240" t="s">
        <v>19</v>
      </c>
      <c r="N240">
        <v>1</v>
      </c>
      <c r="O240" t="s">
        <v>56</v>
      </c>
      <c r="P240" t="s">
        <v>19</v>
      </c>
      <c r="Q240">
        <v>0.999</v>
      </c>
      <c r="R240" t="s">
        <v>23</v>
      </c>
      <c r="S240">
        <v>4</v>
      </c>
    </row>
    <row r="241" spans="1:19">
      <c r="A241">
        <v>240</v>
      </c>
      <c r="B241" t="s">
        <v>309</v>
      </c>
      <c r="C241">
        <v>744.49199999999996</v>
      </c>
      <c r="D241">
        <v>272.7</v>
      </c>
      <c r="E241">
        <v>-0.66073602926644504</v>
      </c>
      <c r="F241" t="s">
        <v>18</v>
      </c>
      <c r="G241" t="s">
        <v>19</v>
      </c>
      <c r="H241">
        <v>1</v>
      </c>
      <c r="I241" t="s">
        <v>20</v>
      </c>
      <c r="J241" t="s">
        <v>19</v>
      </c>
      <c r="K241">
        <v>0.74</v>
      </c>
      <c r="L241" t="s">
        <v>21</v>
      </c>
      <c r="M241" t="s">
        <v>19</v>
      </c>
      <c r="N241">
        <v>1</v>
      </c>
      <c r="O241" t="s">
        <v>28</v>
      </c>
      <c r="P241" t="s">
        <v>19</v>
      </c>
      <c r="Q241">
        <v>0.72</v>
      </c>
      <c r="R241" t="s">
        <v>23</v>
      </c>
      <c r="S241">
        <v>4</v>
      </c>
    </row>
    <row r="242" spans="1:19">
      <c r="A242">
        <v>241</v>
      </c>
      <c r="B242" t="s">
        <v>239</v>
      </c>
      <c r="C242">
        <v>484.3227</v>
      </c>
      <c r="D242">
        <v>226.2</v>
      </c>
      <c r="E242">
        <v>-0.78192856025532398</v>
      </c>
      <c r="F242" t="s">
        <v>18</v>
      </c>
      <c r="G242" t="s">
        <v>19</v>
      </c>
      <c r="H242">
        <v>1</v>
      </c>
      <c r="I242" t="s">
        <v>20</v>
      </c>
      <c r="J242" t="s">
        <v>19</v>
      </c>
      <c r="K242">
        <v>0.98</v>
      </c>
      <c r="L242" t="s">
        <v>30</v>
      </c>
      <c r="M242" t="s">
        <v>19</v>
      </c>
      <c r="N242">
        <v>0.77</v>
      </c>
      <c r="O242" t="s">
        <v>91</v>
      </c>
      <c r="P242" t="s">
        <v>19</v>
      </c>
      <c r="Q242">
        <v>0.96399999999999997</v>
      </c>
      <c r="R242" t="s">
        <v>23</v>
      </c>
      <c r="S242">
        <v>4</v>
      </c>
    </row>
    <row r="243" spans="1:19">
      <c r="A243">
        <v>242</v>
      </c>
      <c r="B243" t="s">
        <v>310</v>
      </c>
      <c r="C243">
        <v>186.99959999999999</v>
      </c>
      <c r="D243">
        <v>136.30000000000001</v>
      </c>
      <c r="E243">
        <v>-0.79080523790503299</v>
      </c>
      <c r="F243" t="s">
        <v>18</v>
      </c>
      <c r="G243" t="s">
        <v>19</v>
      </c>
      <c r="H243">
        <v>1</v>
      </c>
      <c r="I243" t="s">
        <v>45</v>
      </c>
      <c r="J243" t="s">
        <v>19</v>
      </c>
      <c r="K243">
        <v>0.76</v>
      </c>
      <c r="L243" t="s">
        <v>46</v>
      </c>
      <c r="M243" t="s">
        <v>19</v>
      </c>
      <c r="N243">
        <v>1</v>
      </c>
      <c r="O243" t="s">
        <v>47</v>
      </c>
      <c r="P243" t="s">
        <v>19</v>
      </c>
      <c r="Q243">
        <v>1</v>
      </c>
      <c r="R243" t="s">
        <v>23</v>
      </c>
      <c r="S243">
        <v>4</v>
      </c>
    </row>
    <row r="244" spans="1:19">
      <c r="A244">
        <v>243</v>
      </c>
      <c r="B244" t="s">
        <v>311</v>
      </c>
      <c r="C244">
        <v>132.10239999999999</v>
      </c>
      <c r="D244">
        <v>127.9</v>
      </c>
      <c r="E244">
        <v>-0.954900811872477</v>
      </c>
      <c r="F244" t="s">
        <v>18</v>
      </c>
      <c r="G244" t="s">
        <v>19</v>
      </c>
      <c r="H244">
        <v>1</v>
      </c>
      <c r="I244" t="s">
        <v>39</v>
      </c>
      <c r="J244" t="s">
        <v>19</v>
      </c>
      <c r="K244">
        <v>0.95</v>
      </c>
      <c r="L244" t="s">
        <v>40</v>
      </c>
      <c r="M244" t="s">
        <v>19</v>
      </c>
      <c r="N244">
        <v>1</v>
      </c>
      <c r="O244" t="s">
        <v>41</v>
      </c>
      <c r="P244" t="s">
        <v>19</v>
      </c>
      <c r="Q244">
        <v>1</v>
      </c>
      <c r="R244" t="s">
        <v>23</v>
      </c>
      <c r="S244">
        <v>4</v>
      </c>
    </row>
    <row r="245" spans="1:19">
      <c r="A245">
        <v>244</v>
      </c>
      <c r="B245" t="s">
        <v>312</v>
      </c>
      <c r="C245">
        <v>827.70060000000001</v>
      </c>
      <c r="D245">
        <v>305.7</v>
      </c>
      <c r="E245">
        <v>-0.77642930732019999</v>
      </c>
      <c r="F245" t="s">
        <v>18</v>
      </c>
      <c r="G245" t="s">
        <v>19</v>
      </c>
      <c r="H245">
        <v>1</v>
      </c>
      <c r="I245" t="s">
        <v>20</v>
      </c>
      <c r="J245" t="s">
        <v>19</v>
      </c>
      <c r="K245">
        <v>1</v>
      </c>
      <c r="L245" t="s">
        <v>30</v>
      </c>
      <c r="M245" t="s">
        <v>19</v>
      </c>
      <c r="N245">
        <v>1</v>
      </c>
      <c r="O245" t="s">
        <v>191</v>
      </c>
      <c r="P245" t="s">
        <v>19</v>
      </c>
      <c r="Q245">
        <v>0.73899999999999999</v>
      </c>
      <c r="R245" t="s">
        <v>23</v>
      </c>
      <c r="S245">
        <v>4</v>
      </c>
    </row>
    <row r="246" spans="1:19">
      <c r="A246">
        <v>245</v>
      </c>
      <c r="B246" t="s">
        <v>301</v>
      </c>
      <c r="C246">
        <v>148.04750000000001</v>
      </c>
      <c r="D246">
        <v>135.69999999999999</v>
      </c>
      <c r="E246">
        <v>-0.88219727988055796</v>
      </c>
      <c r="F246" t="s">
        <v>18</v>
      </c>
      <c r="G246" t="s">
        <v>19</v>
      </c>
      <c r="H246">
        <v>1</v>
      </c>
      <c r="I246" t="s">
        <v>61</v>
      </c>
      <c r="J246" t="s">
        <v>19</v>
      </c>
      <c r="K246">
        <v>0.7</v>
      </c>
      <c r="L246" t="s">
        <v>206</v>
      </c>
      <c r="M246" t="s">
        <v>19</v>
      </c>
      <c r="N246">
        <v>0.52</v>
      </c>
      <c r="O246" t="s">
        <v>207</v>
      </c>
      <c r="P246" t="s">
        <v>19</v>
      </c>
      <c r="Q246">
        <v>0.999</v>
      </c>
      <c r="R246" t="s">
        <v>23</v>
      </c>
      <c r="S246">
        <v>4</v>
      </c>
    </row>
    <row r="247" spans="1:19">
      <c r="A247">
        <v>246</v>
      </c>
      <c r="B247" t="s">
        <v>313</v>
      </c>
      <c r="C247">
        <v>680.83259999999996</v>
      </c>
      <c r="D247">
        <v>201</v>
      </c>
      <c r="E247">
        <v>-7.2415054451994407E-2</v>
      </c>
      <c r="F247" t="s">
        <v>18</v>
      </c>
      <c r="G247" t="s">
        <v>19</v>
      </c>
      <c r="H247">
        <v>0.996</v>
      </c>
      <c r="I247" t="s">
        <v>45</v>
      </c>
      <c r="J247" t="s">
        <v>19</v>
      </c>
      <c r="K247">
        <v>0.72</v>
      </c>
      <c r="L247" t="s">
        <v>46</v>
      </c>
      <c r="M247" t="s">
        <v>19</v>
      </c>
      <c r="N247">
        <v>1</v>
      </c>
      <c r="O247" t="s">
        <v>163</v>
      </c>
      <c r="P247" t="s">
        <v>19</v>
      </c>
      <c r="Q247">
        <v>0.85199999999999998</v>
      </c>
      <c r="R247" t="s">
        <v>23</v>
      </c>
      <c r="S247">
        <v>4</v>
      </c>
    </row>
    <row r="248" spans="1:19">
      <c r="A248">
        <v>247</v>
      </c>
      <c r="B248" t="s">
        <v>314</v>
      </c>
      <c r="C248">
        <v>190.08600000000001</v>
      </c>
      <c r="D248">
        <v>138.69999999999999</v>
      </c>
      <c r="E248">
        <v>-0.87375911206453305</v>
      </c>
      <c r="F248" t="s">
        <v>18</v>
      </c>
      <c r="G248" t="s">
        <v>19</v>
      </c>
      <c r="H248">
        <v>1</v>
      </c>
      <c r="I248" t="s">
        <v>61</v>
      </c>
      <c r="J248" t="s">
        <v>19</v>
      </c>
      <c r="K248">
        <v>0.76</v>
      </c>
      <c r="L248" t="s">
        <v>62</v>
      </c>
      <c r="M248" t="s">
        <v>19</v>
      </c>
      <c r="N248">
        <v>0.74</v>
      </c>
      <c r="O248" t="s">
        <v>278</v>
      </c>
      <c r="P248" t="s">
        <v>19</v>
      </c>
      <c r="Q248">
        <v>0.89800000000000002</v>
      </c>
      <c r="R248" t="s">
        <v>23</v>
      </c>
      <c r="S248">
        <v>4</v>
      </c>
    </row>
    <row r="249" spans="1:19">
      <c r="A249">
        <v>248</v>
      </c>
      <c r="B249" t="s">
        <v>315</v>
      </c>
      <c r="C249">
        <v>259.02280000000002</v>
      </c>
      <c r="D249">
        <v>149.69999999999999</v>
      </c>
      <c r="E249">
        <v>-0.73358759578542299</v>
      </c>
      <c r="F249" t="s">
        <v>18</v>
      </c>
      <c r="G249" t="s">
        <v>19</v>
      </c>
      <c r="H249">
        <v>1</v>
      </c>
      <c r="I249" t="s">
        <v>45</v>
      </c>
      <c r="J249" t="s">
        <v>19</v>
      </c>
      <c r="K249">
        <v>0.95</v>
      </c>
      <c r="L249" t="s">
        <v>46</v>
      </c>
      <c r="M249" t="s">
        <v>19</v>
      </c>
      <c r="N249">
        <v>1</v>
      </c>
      <c r="O249" t="s">
        <v>47</v>
      </c>
      <c r="P249" t="s">
        <v>19</v>
      </c>
      <c r="Q249">
        <v>1</v>
      </c>
      <c r="R249" t="s">
        <v>23</v>
      </c>
      <c r="S249">
        <v>4</v>
      </c>
    </row>
    <row r="250" spans="1:19">
      <c r="A250">
        <v>249</v>
      </c>
      <c r="B250" t="s">
        <v>316</v>
      </c>
      <c r="C250">
        <v>814.5598</v>
      </c>
      <c r="D250">
        <v>287.60000000000002</v>
      </c>
      <c r="E250">
        <v>-0.65030169276781202</v>
      </c>
      <c r="F250" t="s">
        <v>18</v>
      </c>
      <c r="G250" t="s">
        <v>19</v>
      </c>
      <c r="H250">
        <v>1</v>
      </c>
      <c r="I250" t="s">
        <v>20</v>
      </c>
      <c r="J250" t="s">
        <v>19</v>
      </c>
      <c r="K250">
        <v>1</v>
      </c>
      <c r="L250" t="s">
        <v>21</v>
      </c>
      <c r="M250" t="s">
        <v>19</v>
      </c>
      <c r="N250">
        <v>1</v>
      </c>
      <c r="O250" t="s">
        <v>56</v>
      </c>
      <c r="P250" t="s">
        <v>19</v>
      </c>
      <c r="Q250">
        <v>0.59199999999999997</v>
      </c>
      <c r="R250" t="s">
        <v>23</v>
      </c>
      <c r="S250">
        <v>4</v>
      </c>
    </row>
    <row r="251" spans="1:19">
      <c r="A251">
        <v>250</v>
      </c>
      <c r="B251" t="s">
        <v>308</v>
      </c>
      <c r="C251">
        <v>844.60670000000005</v>
      </c>
      <c r="D251">
        <v>296.3</v>
      </c>
      <c r="E251">
        <v>-0.66365276893486702</v>
      </c>
      <c r="F251" t="s">
        <v>18</v>
      </c>
      <c r="G251" t="s">
        <v>19</v>
      </c>
      <c r="H251">
        <v>1</v>
      </c>
      <c r="I251" t="s">
        <v>20</v>
      </c>
      <c r="J251" t="s">
        <v>19</v>
      </c>
      <c r="K251">
        <v>1</v>
      </c>
      <c r="L251" t="s">
        <v>21</v>
      </c>
      <c r="M251" t="s">
        <v>19</v>
      </c>
      <c r="N251">
        <v>1</v>
      </c>
      <c r="O251" t="s">
        <v>56</v>
      </c>
      <c r="P251" t="s">
        <v>19</v>
      </c>
      <c r="Q251">
        <v>0.66</v>
      </c>
      <c r="R251" t="s">
        <v>23</v>
      </c>
      <c r="S251">
        <v>4</v>
      </c>
    </row>
    <row r="252" spans="1:19">
      <c r="A252">
        <v>251</v>
      </c>
      <c r="B252" t="s">
        <v>317</v>
      </c>
      <c r="C252">
        <v>1293.5922</v>
      </c>
      <c r="D252">
        <v>355</v>
      </c>
      <c r="E252">
        <v>-0.14783714763643699</v>
      </c>
      <c r="F252" t="s">
        <v>18</v>
      </c>
      <c r="G252" t="s">
        <v>19</v>
      </c>
      <c r="H252">
        <v>1</v>
      </c>
      <c r="I252" t="s">
        <v>39</v>
      </c>
      <c r="J252" t="s">
        <v>19</v>
      </c>
      <c r="K252">
        <v>1</v>
      </c>
      <c r="L252" t="s">
        <v>135</v>
      </c>
      <c r="M252" t="s">
        <v>19</v>
      </c>
      <c r="N252">
        <v>0.82</v>
      </c>
      <c r="O252" t="s">
        <v>136</v>
      </c>
      <c r="P252" t="s">
        <v>19</v>
      </c>
      <c r="Q252">
        <v>0.98399999999999999</v>
      </c>
      <c r="R252" t="s">
        <v>23</v>
      </c>
      <c r="S252">
        <v>4</v>
      </c>
    </row>
    <row r="253" spans="1:19">
      <c r="A253">
        <v>252</v>
      </c>
      <c r="B253" t="s">
        <v>318</v>
      </c>
      <c r="C253">
        <v>760.5856</v>
      </c>
      <c r="D253">
        <v>283.10000000000002</v>
      </c>
      <c r="E253">
        <v>-0.73636668931464999</v>
      </c>
      <c r="F253" t="s">
        <v>18</v>
      </c>
      <c r="G253" t="s">
        <v>19</v>
      </c>
      <c r="H253">
        <v>1</v>
      </c>
      <c r="I253" t="s">
        <v>20</v>
      </c>
      <c r="J253" t="s">
        <v>19</v>
      </c>
      <c r="K253">
        <v>0.96</v>
      </c>
      <c r="L253" t="s">
        <v>21</v>
      </c>
      <c r="M253" t="s">
        <v>19</v>
      </c>
      <c r="N253">
        <v>0.91</v>
      </c>
      <c r="O253" t="s">
        <v>22</v>
      </c>
      <c r="P253" t="s">
        <v>19</v>
      </c>
      <c r="Q253">
        <v>0.86899999999999999</v>
      </c>
      <c r="R253" t="s">
        <v>23</v>
      </c>
      <c r="S253">
        <v>4</v>
      </c>
    </row>
    <row r="254" spans="1:19">
      <c r="A254">
        <v>253</v>
      </c>
      <c r="B254" t="s">
        <v>319</v>
      </c>
      <c r="C254">
        <v>585.27880000000005</v>
      </c>
      <c r="D254">
        <v>232.6</v>
      </c>
      <c r="E254">
        <v>-0.62530583313969101</v>
      </c>
      <c r="F254" t="s">
        <v>18</v>
      </c>
      <c r="G254" t="s">
        <v>19</v>
      </c>
      <c r="H254">
        <v>1</v>
      </c>
      <c r="I254" t="s">
        <v>39</v>
      </c>
      <c r="J254" t="s">
        <v>19</v>
      </c>
      <c r="K254">
        <v>0.86</v>
      </c>
      <c r="L254" t="s">
        <v>40</v>
      </c>
      <c r="M254" t="s">
        <v>19</v>
      </c>
      <c r="N254">
        <v>1</v>
      </c>
      <c r="O254" t="s">
        <v>41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254</v>
      </c>
      <c r="B255" t="s">
        <v>320</v>
      </c>
      <c r="C255">
        <v>464.21800000000002</v>
      </c>
      <c r="D255">
        <v>205.8</v>
      </c>
      <c r="E255">
        <v>-0.69967650160651795</v>
      </c>
      <c r="F255" t="s">
        <v>18</v>
      </c>
      <c r="G255" t="s">
        <v>19</v>
      </c>
      <c r="H255">
        <v>1</v>
      </c>
      <c r="I255" t="s">
        <v>39</v>
      </c>
      <c r="J255" t="s">
        <v>19</v>
      </c>
      <c r="K255">
        <v>0.75</v>
      </c>
      <c r="L255" t="s">
        <v>40</v>
      </c>
      <c r="M255" t="s">
        <v>19</v>
      </c>
      <c r="N255">
        <v>1</v>
      </c>
      <c r="O255" t="s">
        <v>41</v>
      </c>
      <c r="P255" t="s">
        <v>19</v>
      </c>
      <c r="Q255">
        <v>1</v>
      </c>
      <c r="R255" t="s">
        <v>23</v>
      </c>
      <c r="S255">
        <v>4</v>
      </c>
    </row>
    <row r="256" spans="1:19">
      <c r="A256">
        <v>255</v>
      </c>
      <c r="B256" t="s">
        <v>321</v>
      </c>
      <c r="C256">
        <v>147.06569999999999</v>
      </c>
      <c r="D256">
        <v>129</v>
      </c>
      <c r="E256">
        <v>-0.90149351055387705</v>
      </c>
      <c r="F256" t="s">
        <v>18</v>
      </c>
      <c r="G256" t="s">
        <v>19</v>
      </c>
      <c r="H256">
        <v>1</v>
      </c>
      <c r="I256" t="s">
        <v>20</v>
      </c>
      <c r="J256" t="s">
        <v>19</v>
      </c>
      <c r="K256">
        <v>0.64</v>
      </c>
      <c r="L256" t="s">
        <v>25</v>
      </c>
      <c r="M256" t="s">
        <v>19</v>
      </c>
      <c r="N256">
        <v>1</v>
      </c>
      <c r="O256" t="s">
        <v>26</v>
      </c>
      <c r="P256" t="s">
        <v>19</v>
      </c>
      <c r="Q256">
        <v>0.93700000000000006</v>
      </c>
      <c r="R256" t="s">
        <v>23</v>
      </c>
      <c r="S256">
        <v>4</v>
      </c>
    </row>
    <row r="257" spans="1:19">
      <c r="A257">
        <v>256</v>
      </c>
      <c r="B257" t="s">
        <v>322</v>
      </c>
      <c r="C257">
        <v>1743.9412</v>
      </c>
      <c r="D257">
        <v>337.24</v>
      </c>
      <c r="E257">
        <v>-0.99399910779720801</v>
      </c>
      <c r="F257" t="s">
        <v>18</v>
      </c>
      <c r="G257" t="s">
        <v>19</v>
      </c>
      <c r="H257">
        <v>0.94199999999999995</v>
      </c>
      <c r="I257" t="s">
        <v>34</v>
      </c>
      <c r="J257" t="s">
        <v>19</v>
      </c>
      <c r="K257">
        <v>0.97</v>
      </c>
      <c r="L257" t="s">
        <v>35</v>
      </c>
      <c r="M257" t="s">
        <v>19</v>
      </c>
      <c r="N257">
        <v>0.99</v>
      </c>
      <c r="O257" t="s">
        <v>36</v>
      </c>
      <c r="P257" t="s">
        <v>19</v>
      </c>
      <c r="Q257">
        <v>1</v>
      </c>
      <c r="R257" t="s">
        <v>23</v>
      </c>
      <c r="S257">
        <v>4</v>
      </c>
    </row>
    <row r="258" spans="1:19">
      <c r="A258">
        <v>257</v>
      </c>
      <c r="B258" t="s">
        <v>323</v>
      </c>
      <c r="C258">
        <v>749.50969999999995</v>
      </c>
      <c r="D258">
        <v>278.5</v>
      </c>
      <c r="E258">
        <v>-0.67283350670607001</v>
      </c>
      <c r="F258" t="s">
        <v>18</v>
      </c>
      <c r="G258" t="s">
        <v>19</v>
      </c>
      <c r="H258">
        <v>1</v>
      </c>
      <c r="I258" t="s">
        <v>20</v>
      </c>
      <c r="J258" t="s">
        <v>19</v>
      </c>
      <c r="K258">
        <v>1</v>
      </c>
      <c r="L258" t="s">
        <v>21</v>
      </c>
      <c r="M258" t="s">
        <v>19</v>
      </c>
      <c r="N258">
        <v>1</v>
      </c>
      <c r="O258" t="s">
        <v>225</v>
      </c>
      <c r="P258" t="s">
        <v>19</v>
      </c>
      <c r="Q258">
        <v>0.73199999999999998</v>
      </c>
      <c r="R258" t="s">
        <v>23</v>
      </c>
      <c r="S258">
        <v>4</v>
      </c>
    </row>
    <row r="259" spans="1:19">
      <c r="A259">
        <v>258</v>
      </c>
      <c r="B259" t="s">
        <v>324</v>
      </c>
      <c r="C259">
        <v>846.58330000000001</v>
      </c>
      <c r="D259">
        <v>299.5</v>
      </c>
      <c r="E259">
        <v>-0.63804579241320902</v>
      </c>
      <c r="F259" t="s">
        <v>18</v>
      </c>
      <c r="G259" t="s">
        <v>19</v>
      </c>
      <c r="H259">
        <v>1</v>
      </c>
      <c r="I259" t="s">
        <v>20</v>
      </c>
      <c r="J259" t="s">
        <v>19</v>
      </c>
      <c r="K259">
        <v>1</v>
      </c>
      <c r="L259" t="s">
        <v>21</v>
      </c>
      <c r="M259" t="s">
        <v>19</v>
      </c>
      <c r="N259">
        <v>1</v>
      </c>
      <c r="O259" t="s">
        <v>22</v>
      </c>
      <c r="P259" t="s">
        <v>19</v>
      </c>
      <c r="Q259">
        <v>0.89200000000000002</v>
      </c>
      <c r="R259" t="s">
        <v>23</v>
      </c>
      <c r="S259">
        <v>4</v>
      </c>
    </row>
    <row r="260" spans="1:19">
      <c r="A260">
        <v>259</v>
      </c>
      <c r="B260" t="s">
        <v>325</v>
      </c>
      <c r="C260">
        <v>922.01030000000003</v>
      </c>
      <c r="D260">
        <v>243.5</v>
      </c>
      <c r="E260">
        <v>-0.98082763087416003</v>
      </c>
      <c r="F260" t="s">
        <v>18</v>
      </c>
      <c r="G260" t="s">
        <v>19</v>
      </c>
      <c r="H260">
        <v>0.96799999999999997</v>
      </c>
      <c r="I260" t="s">
        <v>34</v>
      </c>
      <c r="J260" t="s">
        <v>19</v>
      </c>
      <c r="K260">
        <v>0.98</v>
      </c>
      <c r="L260" t="s">
        <v>35</v>
      </c>
      <c r="M260" t="s">
        <v>19</v>
      </c>
      <c r="N260">
        <v>0.99</v>
      </c>
      <c r="O260" t="s">
        <v>36</v>
      </c>
      <c r="P260" t="s">
        <v>19</v>
      </c>
      <c r="Q260">
        <v>1</v>
      </c>
      <c r="R260" t="s">
        <v>23</v>
      </c>
      <c r="S260">
        <v>4</v>
      </c>
    </row>
    <row r="261" spans="1:19">
      <c r="A261">
        <v>260</v>
      </c>
      <c r="B261" t="s">
        <v>326</v>
      </c>
      <c r="C261">
        <v>847.66449999999998</v>
      </c>
      <c r="D261">
        <v>302.3</v>
      </c>
      <c r="E261">
        <v>-0.71803857647910296</v>
      </c>
      <c r="F261" t="s">
        <v>18</v>
      </c>
      <c r="G261" t="s">
        <v>19</v>
      </c>
      <c r="H261">
        <v>1</v>
      </c>
      <c r="I261" t="s">
        <v>20</v>
      </c>
      <c r="J261" t="s">
        <v>19</v>
      </c>
      <c r="K261">
        <v>1</v>
      </c>
      <c r="L261" t="s">
        <v>30</v>
      </c>
      <c r="M261" t="s">
        <v>19</v>
      </c>
      <c r="N261">
        <v>0.96</v>
      </c>
      <c r="O261" t="s">
        <v>191</v>
      </c>
      <c r="P261" t="s">
        <v>19</v>
      </c>
      <c r="Q261">
        <v>0.73099999999999998</v>
      </c>
      <c r="R261" t="s">
        <v>23</v>
      </c>
      <c r="S261">
        <v>4</v>
      </c>
    </row>
    <row r="262" spans="1:19">
      <c r="A262">
        <v>261</v>
      </c>
      <c r="B262" t="s">
        <v>327</v>
      </c>
      <c r="C262">
        <v>812.61450000000002</v>
      </c>
      <c r="D262">
        <v>298.60000000000002</v>
      </c>
      <c r="E262">
        <v>-0.70717372121441702</v>
      </c>
      <c r="F262" t="s">
        <v>18</v>
      </c>
      <c r="G262" t="s">
        <v>19</v>
      </c>
      <c r="H262">
        <v>1</v>
      </c>
      <c r="I262" t="s">
        <v>20</v>
      </c>
      <c r="J262" t="s">
        <v>19</v>
      </c>
      <c r="K262">
        <v>1</v>
      </c>
      <c r="L262" t="s">
        <v>21</v>
      </c>
      <c r="M262" t="s">
        <v>19</v>
      </c>
      <c r="N262">
        <v>0.82</v>
      </c>
      <c r="O262" t="s">
        <v>22</v>
      </c>
      <c r="P262" t="s">
        <v>19</v>
      </c>
      <c r="Q262">
        <v>0.96699999999999997</v>
      </c>
      <c r="R262" t="s">
        <v>23</v>
      </c>
      <c r="S262">
        <v>4</v>
      </c>
    </row>
    <row r="263" spans="1:19">
      <c r="A263">
        <v>262</v>
      </c>
      <c r="B263" t="s">
        <v>201</v>
      </c>
      <c r="C263">
        <v>324.05779999999999</v>
      </c>
      <c r="D263">
        <v>167.1</v>
      </c>
      <c r="E263">
        <v>-0.69597264178099705</v>
      </c>
      <c r="F263" t="s">
        <v>18</v>
      </c>
      <c r="G263" t="s">
        <v>19</v>
      </c>
      <c r="H263">
        <v>1</v>
      </c>
      <c r="I263" t="s">
        <v>72</v>
      </c>
      <c r="J263" t="s">
        <v>19</v>
      </c>
      <c r="K263">
        <v>0.68</v>
      </c>
      <c r="L263" t="s">
        <v>73</v>
      </c>
      <c r="M263" t="s">
        <v>19</v>
      </c>
      <c r="N263">
        <v>0.88</v>
      </c>
      <c r="O263" t="s">
        <v>74</v>
      </c>
      <c r="P263" t="s">
        <v>19</v>
      </c>
      <c r="Q263">
        <v>0.77800000000000002</v>
      </c>
      <c r="R263" t="s">
        <v>23</v>
      </c>
      <c r="S263">
        <v>4</v>
      </c>
    </row>
    <row r="264" spans="1:19">
      <c r="A264">
        <v>263</v>
      </c>
      <c r="B264" t="s">
        <v>328</v>
      </c>
      <c r="C264">
        <v>375.21469999999999</v>
      </c>
      <c r="D264">
        <v>195.4</v>
      </c>
      <c r="E264">
        <v>-0.79575330695348601</v>
      </c>
      <c r="F264" t="s">
        <v>18</v>
      </c>
      <c r="G264" t="s">
        <v>19</v>
      </c>
      <c r="H264">
        <v>1</v>
      </c>
      <c r="I264" t="s">
        <v>20</v>
      </c>
      <c r="J264" t="s">
        <v>19</v>
      </c>
      <c r="K264">
        <v>1</v>
      </c>
      <c r="L264" t="s">
        <v>25</v>
      </c>
      <c r="M264" t="s">
        <v>19</v>
      </c>
      <c r="N264">
        <v>1</v>
      </c>
      <c r="O264" t="s">
        <v>43</v>
      </c>
      <c r="P264" t="s">
        <v>19</v>
      </c>
      <c r="Q264">
        <v>0.96699999999999997</v>
      </c>
      <c r="R264" t="s">
        <v>23</v>
      </c>
      <c r="S264">
        <v>4</v>
      </c>
    </row>
    <row r="265" spans="1:19">
      <c r="A265">
        <v>264</v>
      </c>
      <c r="B265" t="s">
        <v>329</v>
      </c>
      <c r="C265">
        <v>1062.55</v>
      </c>
      <c r="D265">
        <v>325.60000000000002</v>
      </c>
      <c r="E265">
        <v>-0.36360775924663402</v>
      </c>
      <c r="F265" t="s">
        <v>18</v>
      </c>
      <c r="G265" t="s">
        <v>19</v>
      </c>
      <c r="H265">
        <v>1</v>
      </c>
      <c r="I265" t="s">
        <v>39</v>
      </c>
      <c r="J265" t="s">
        <v>19</v>
      </c>
      <c r="K265">
        <v>1</v>
      </c>
      <c r="L265" t="s">
        <v>40</v>
      </c>
      <c r="M265" t="s">
        <v>19</v>
      </c>
      <c r="N265">
        <v>0.75</v>
      </c>
      <c r="O265" t="s">
        <v>41</v>
      </c>
      <c r="P265" t="s">
        <v>19</v>
      </c>
      <c r="Q265">
        <v>0.999</v>
      </c>
      <c r="R265" t="s">
        <v>23</v>
      </c>
      <c r="S265">
        <v>4</v>
      </c>
    </row>
    <row r="266" spans="1:19">
      <c r="A266">
        <v>265</v>
      </c>
      <c r="B266" t="s">
        <v>114</v>
      </c>
      <c r="C266">
        <v>948.4932</v>
      </c>
      <c r="D266">
        <v>308.5</v>
      </c>
      <c r="E266">
        <v>-0.43415809807788702</v>
      </c>
      <c r="F266" t="s">
        <v>18</v>
      </c>
      <c r="G266" t="s">
        <v>19</v>
      </c>
      <c r="H266">
        <v>1</v>
      </c>
      <c r="I266" t="s">
        <v>45</v>
      </c>
      <c r="J266" t="s">
        <v>19</v>
      </c>
      <c r="K266">
        <v>0.85</v>
      </c>
      <c r="L266" t="s">
        <v>46</v>
      </c>
      <c r="M266" t="s">
        <v>19</v>
      </c>
      <c r="N266">
        <v>1</v>
      </c>
      <c r="O266" t="s">
        <v>47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266</v>
      </c>
      <c r="B267" t="s">
        <v>330</v>
      </c>
      <c r="C267">
        <v>745.6223</v>
      </c>
      <c r="D267">
        <v>289.8</v>
      </c>
      <c r="E267">
        <v>-0.78977399063319398</v>
      </c>
      <c r="F267" t="s">
        <v>18</v>
      </c>
      <c r="G267" t="s">
        <v>19</v>
      </c>
      <c r="H267">
        <v>1</v>
      </c>
      <c r="I267" t="s">
        <v>20</v>
      </c>
      <c r="J267" t="s">
        <v>19</v>
      </c>
      <c r="K267">
        <v>0.99</v>
      </c>
      <c r="L267" t="s">
        <v>30</v>
      </c>
      <c r="M267" t="s">
        <v>19</v>
      </c>
      <c r="N267">
        <v>0.92</v>
      </c>
      <c r="O267" t="s">
        <v>191</v>
      </c>
      <c r="P267" t="s">
        <v>19</v>
      </c>
      <c r="Q267">
        <v>0.93300000000000005</v>
      </c>
      <c r="R267" t="s">
        <v>23</v>
      </c>
      <c r="S267">
        <v>4</v>
      </c>
    </row>
    <row r="268" spans="1:19">
      <c r="A268">
        <v>267</v>
      </c>
      <c r="B268" t="s">
        <v>259</v>
      </c>
      <c r="C268">
        <v>198.0009</v>
      </c>
      <c r="D268">
        <v>135.4</v>
      </c>
      <c r="E268">
        <v>-0.77982171528663002</v>
      </c>
      <c r="F268" t="s">
        <v>18</v>
      </c>
      <c r="G268" t="s">
        <v>19</v>
      </c>
      <c r="H268">
        <v>1</v>
      </c>
      <c r="I268" t="s">
        <v>39</v>
      </c>
      <c r="J268" t="s">
        <v>19</v>
      </c>
      <c r="K268">
        <v>0.89</v>
      </c>
      <c r="L268" t="s">
        <v>40</v>
      </c>
      <c r="M268" t="s">
        <v>19</v>
      </c>
      <c r="N268">
        <v>1</v>
      </c>
      <c r="O268" t="s">
        <v>41</v>
      </c>
      <c r="P268" t="s">
        <v>19</v>
      </c>
      <c r="Q268">
        <v>0.83099999999999996</v>
      </c>
      <c r="R268" t="s">
        <v>23</v>
      </c>
      <c r="S268">
        <v>4</v>
      </c>
    </row>
    <row r="269" spans="1:19">
      <c r="A269">
        <v>268</v>
      </c>
      <c r="B269" t="s">
        <v>331</v>
      </c>
      <c r="C269">
        <v>372.83150000000001</v>
      </c>
      <c r="D269">
        <v>174.7</v>
      </c>
      <c r="E269">
        <v>-0.41521427348510498</v>
      </c>
      <c r="F269" t="s">
        <v>18</v>
      </c>
      <c r="G269" t="s">
        <v>19</v>
      </c>
      <c r="H269">
        <v>1</v>
      </c>
      <c r="I269" t="s">
        <v>77</v>
      </c>
      <c r="J269" t="s">
        <v>19</v>
      </c>
      <c r="K269">
        <v>0.99</v>
      </c>
      <c r="L269" t="s">
        <v>78</v>
      </c>
      <c r="M269" t="s">
        <v>19</v>
      </c>
      <c r="N269">
        <v>1</v>
      </c>
      <c r="O269" t="s">
        <v>129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269</v>
      </c>
      <c r="B270" t="s">
        <v>332</v>
      </c>
      <c r="C270">
        <v>365.10599999999999</v>
      </c>
      <c r="D270">
        <v>179</v>
      </c>
      <c r="E270">
        <v>-0.69834019532964897</v>
      </c>
      <c r="F270" t="s">
        <v>18</v>
      </c>
      <c r="G270" t="s">
        <v>19</v>
      </c>
      <c r="H270">
        <v>1</v>
      </c>
      <c r="I270" t="s">
        <v>45</v>
      </c>
      <c r="J270" t="s">
        <v>19</v>
      </c>
      <c r="K270">
        <v>1</v>
      </c>
      <c r="L270" t="s">
        <v>46</v>
      </c>
      <c r="M270" t="s">
        <v>19</v>
      </c>
      <c r="N270">
        <v>1</v>
      </c>
      <c r="O270" t="s">
        <v>47</v>
      </c>
      <c r="P270" t="s">
        <v>19</v>
      </c>
      <c r="Q270">
        <v>1</v>
      </c>
      <c r="R270" t="s">
        <v>23</v>
      </c>
      <c r="S270">
        <v>4</v>
      </c>
    </row>
    <row r="271" spans="1:19">
      <c r="A271">
        <v>270</v>
      </c>
      <c r="B271" t="s">
        <v>333</v>
      </c>
      <c r="C271">
        <v>627.38300000000004</v>
      </c>
      <c r="D271">
        <v>245.4</v>
      </c>
      <c r="E271">
        <v>-0.68249430786272602</v>
      </c>
      <c r="F271" t="s">
        <v>18</v>
      </c>
      <c r="G271" t="s">
        <v>19</v>
      </c>
      <c r="H271">
        <v>1</v>
      </c>
      <c r="I271" t="s">
        <v>39</v>
      </c>
      <c r="J271" t="s">
        <v>19</v>
      </c>
      <c r="K271">
        <v>0.98</v>
      </c>
      <c r="L271" t="s">
        <v>40</v>
      </c>
      <c r="M271" t="s">
        <v>19</v>
      </c>
      <c r="N271">
        <v>0.96</v>
      </c>
      <c r="O271" t="s">
        <v>41</v>
      </c>
      <c r="P271" t="s">
        <v>19</v>
      </c>
      <c r="Q271">
        <v>1</v>
      </c>
      <c r="R271" t="s">
        <v>23</v>
      </c>
      <c r="S271">
        <v>4</v>
      </c>
    </row>
    <row r="272" spans="1:19">
      <c r="A272">
        <v>271</v>
      </c>
      <c r="B272" t="s">
        <v>334</v>
      </c>
      <c r="C272">
        <v>626.05240000000003</v>
      </c>
      <c r="D272">
        <v>217.2</v>
      </c>
      <c r="E272">
        <v>-0.35337999184514501</v>
      </c>
      <c r="F272" t="s">
        <v>18</v>
      </c>
      <c r="G272" t="s">
        <v>19</v>
      </c>
      <c r="H272">
        <v>1</v>
      </c>
      <c r="I272" t="s">
        <v>72</v>
      </c>
      <c r="J272" t="s">
        <v>19</v>
      </c>
      <c r="K272">
        <v>1</v>
      </c>
      <c r="L272" t="s">
        <v>138</v>
      </c>
      <c r="M272" t="s">
        <v>19</v>
      </c>
      <c r="N272">
        <v>0.74</v>
      </c>
      <c r="O272" t="s">
        <v>139</v>
      </c>
      <c r="P272" t="s">
        <v>19</v>
      </c>
      <c r="Q272">
        <v>0.98199999999999998</v>
      </c>
      <c r="R272" t="s">
        <v>23</v>
      </c>
      <c r="S272">
        <v>4</v>
      </c>
    </row>
    <row r="273" spans="1:19">
      <c r="A273">
        <v>272</v>
      </c>
      <c r="B273" t="s">
        <v>335</v>
      </c>
      <c r="C273">
        <v>282.08550000000002</v>
      </c>
      <c r="D273">
        <v>163</v>
      </c>
      <c r="E273">
        <v>-0.770536893860026</v>
      </c>
      <c r="F273" t="s">
        <v>18</v>
      </c>
      <c r="G273" t="s">
        <v>19</v>
      </c>
      <c r="H273">
        <v>1</v>
      </c>
      <c r="I273" t="s">
        <v>61</v>
      </c>
      <c r="J273" t="s">
        <v>19</v>
      </c>
      <c r="K273">
        <v>0.64</v>
      </c>
      <c r="L273" t="s">
        <v>268</v>
      </c>
      <c r="M273" t="s">
        <v>19</v>
      </c>
      <c r="N273">
        <v>0.41</v>
      </c>
      <c r="O273" t="s">
        <v>269</v>
      </c>
      <c r="P273" t="s">
        <v>19</v>
      </c>
      <c r="Q273">
        <v>0.97899999999999998</v>
      </c>
      <c r="R273" t="s">
        <v>23</v>
      </c>
      <c r="S273">
        <v>4</v>
      </c>
    </row>
    <row r="274" spans="1:19">
      <c r="A274">
        <v>273</v>
      </c>
      <c r="B274" t="s">
        <v>336</v>
      </c>
      <c r="C274">
        <v>810.86310000000003</v>
      </c>
      <c r="D274">
        <v>408.6</v>
      </c>
      <c r="E274">
        <v>-0.957729250244029</v>
      </c>
      <c r="F274" t="s">
        <v>18</v>
      </c>
      <c r="G274" t="s">
        <v>19</v>
      </c>
      <c r="H274">
        <v>1</v>
      </c>
      <c r="I274" t="s">
        <v>39</v>
      </c>
      <c r="J274" t="s">
        <v>19</v>
      </c>
      <c r="K274">
        <v>1</v>
      </c>
      <c r="L274" t="s">
        <v>135</v>
      </c>
      <c r="M274" t="s">
        <v>19</v>
      </c>
      <c r="N274">
        <v>0.98</v>
      </c>
      <c r="O274" t="s">
        <v>136</v>
      </c>
      <c r="P274" t="s">
        <v>19</v>
      </c>
      <c r="Q274">
        <v>0.997</v>
      </c>
      <c r="R274" t="s">
        <v>23</v>
      </c>
      <c r="S274">
        <v>4</v>
      </c>
    </row>
    <row r="275" spans="1:19">
      <c r="A275">
        <v>274</v>
      </c>
      <c r="B275" t="s">
        <v>337</v>
      </c>
      <c r="C275">
        <v>980.80229999999995</v>
      </c>
      <c r="D275">
        <v>330.7</v>
      </c>
      <c r="E275">
        <v>-0.70718331049545202</v>
      </c>
      <c r="F275" t="s">
        <v>18</v>
      </c>
      <c r="G275" t="s">
        <v>19</v>
      </c>
      <c r="H275">
        <v>1</v>
      </c>
      <c r="I275" t="s">
        <v>20</v>
      </c>
      <c r="J275" t="s">
        <v>19</v>
      </c>
      <c r="K275">
        <v>0.98</v>
      </c>
      <c r="L275" t="s">
        <v>21</v>
      </c>
      <c r="M275" t="s">
        <v>19</v>
      </c>
      <c r="N275">
        <v>0.94</v>
      </c>
      <c r="O275" t="s">
        <v>22</v>
      </c>
      <c r="P275" t="s">
        <v>19</v>
      </c>
      <c r="Q275">
        <v>0.999</v>
      </c>
      <c r="R275" t="s">
        <v>23</v>
      </c>
      <c r="S275">
        <v>4</v>
      </c>
    </row>
    <row r="276" spans="1:19">
      <c r="A276">
        <v>275</v>
      </c>
      <c r="B276" t="s">
        <v>338</v>
      </c>
      <c r="C276">
        <v>328.04520000000002</v>
      </c>
      <c r="D276">
        <v>171.9</v>
      </c>
      <c r="E276">
        <v>-0.67892050266215198</v>
      </c>
      <c r="F276" t="s">
        <v>18</v>
      </c>
      <c r="G276" t="s">
        <v>19</v>
      </c>
      <c r="H276">
        <v>1</v>
      </c>
      <c r="I276" t="s">
        <v>72</v>
      </c>
      <c r="J276" t="s">
        <v>19</v>
      </c>
      <c r="K276">
        <v>1</v>
      </c>
      <c r="L276" t="s">
        <v>138</v>
      </c>
      <c r="M276" t="s">
        <v>19</v>
      </c>
      <c r="N276">
        <v>0.79</v>
      </c>
      <c r="O276" t="s">
        <v>339</v>
      </c>
      <c r="P276" t="s">
        <v>19</v>
      </c>
      <c r="Q276">
        <v>0.95099999999999996</v>
      </c>
      <c r="R276" t="s">
        <v>23</v>
      </c>
      <c r="S276">
        <v>4</v>
      </c>
    </row>
    <row r="277" spans="1:19">
      <c r="A277">
        <v>276</v>
      </c>
      <c r="B277" t="s">
        <v>340</v>
      </c>
      <c r="C277">
        <v>277.2167</v>
      </c>
      <c r="D277">
        <v>173.9</v>
      </c>
      <c r="E277">
        <v>-0.90717316183969399</v>
      </c>
      <c r="F277" t="s">
        <v>18</v>
      </c>
      <c r="G277" t="s">
        <v>19</v>
      </c>
      <c r="H277">
        <v>1</v>
      </c>
      <c r="I277" t="s">
        <v>20</v>
      </c>
      <c r="J277" t="s">
        <v>19</v>
      </c>
      <c r="K277">
        <v>0.99</v>
      </c>
      <c r="L277" t="s">
        <v>25</v>
      </c>
      <c r="M277" t="s">
        <v>19</v>
      </c>
      <c r="N277">
        <v>1</v>
      </c>
      <c r="O277" t="s">
        <v>261</v>
      </c>
      <c r="P277" t="s">
        <v>19</v>
      </c>
      <c r="Q277">
        <v>0.92400000000000004</v>
      </c>
      <c r="R277" t="s">
        <v>23</v>
      </c>
      <c r="S277">
        <v>4</v>
      </c>
    </row>
    <row r="278" spans="1:19">
      <c r="A278">
        <v>277</v>
      </c>
      <c r="B278" t="s">
        <v>341</v>
      </c>
      <c r="C278">
        <v>345.09739999999999</v>
      </c>
      <c r="D278">
        <v>184.4</v>
      </c>
      <c r="E278">
        <v>-0.71208083604142303</v>
      </c>
      <c r="F278" t="s">
        <v>18</v>
      </c>
      <c r="G278" t="s">
        <v>19</v>
      </c>
      <c r="H278">
        <v>1</v>
      </c>
      <c r="I278" t="s">
        <v>82</v>
      </c>
      <c r="J278" t="s">
        <v>19</v>
      </c>
      <c r="K278">
        <v>0.86</v>
      </c>
      <c r="L278" t="s">
        <v>83</v>
      </c>
      <c r="M278" t="s">
        <v>19</v>
      </c>
      <c r="N278">
        <v>1</v>
      </c>
      <c r="O278" t="s">
        <v>84</v>
      </c>
      <c r="P278" t="s">
        <v>19</v>
      </c>
      <c r="Q278">
        <v>0.999</v>
      </c>
      <c r="R278" t="s">
        <v>23</v>
      </c>
      <c r="S278">
        <v>4</v>
      </c>
    </row>
    <row r="279" spans="1:19">
      <c r="A279">
        <v>278</v>
      </c>
      <c r="B279" t="s">
        <v>342</v>
      </c>
      <c r="C279">
        <v>346.04160000000002</v>
      </c>
      <c r="D279">
        <v>173.8</v>
      </c>
      <c r="E279">
        <v>-0.65522658772022202</v>
      </c>
      <c r="F279" t="s">
        <v>18</v>
      </c>
      <c r="G279" t="s">
        <v>19</v>
      </c>
      <c r="H279">
        <v>1</v>
      </c>
      <c r="I279" t="s">
        <v>45</v>
      </c>
      <c r="J279" t="s">
        <v>19</v>
      </c>
      <c r="K279">
        <v>0.63</v>
      </c>
      <c r="L279" t="s">
        <v>46</v>
      </c>
      <c r="M279" t="s">
        <v>19</v>
      </c>
      <c r="N279">
        <v>1</v>
      </c>
      <c r="O279" t="s">
        <v>47</v>
      </c>
      <c r="P279" t="s">
        <v>19</v>
      </c>
      <c r="Q279">
        <v>1</v>
      </c>
      <c r="R279" t="s">
        <v>23</v>
      </c>
      <c r="S279">
        <v>4</v>
      </c>
    </row>
    <row r="280" spans="1:19">
      <c r="A280">
        <v>279</v>
      </c>
      <c r="B280" t="s">
        <v>343</v>
      </c>
      <c r="C280">
        <v>173.00399999999999</v>
      </c>
      <c r="D280">
        <v>137.69999999999999</v>
      </c>
      <c r="E280">
        <v>-0.81083205193232299</v>
      </c>
      <c r="F280" t="s">
        <v>18</v>
      </c>
      <c r="G280" t="s">
        <v>19</v>
      </c>
      <c r="H280">
        <v>1</v>
      </c>
      <c r="I280" t="s">
        <v>45</v>
      </c>
      <c r="J280" t="s">
        <v>19</v>
      </c>
      <c r="K280">
        <v>0.74</v>
      </c>
      <c r="L280" t="s">
        <v>46</v>
      </c>
      <c r="M280" t="s">
        <v>19</v>
      </c>
      <c r="N280">
        <v>1</v>
      </c>
      <c r="O280" t="s">
        <v>47</v>
      </c>
      <c r="P280" t="s">
        <v>19</v>
      </c>
      <c r="Q280">
        <v>0.89900000000000002</v>
      </c>
      <c r="R280" t="s">
        <v>23</v>
      </c>
      <c r="S280">
        <v>4</v>
      </c>
    </row>
    <row r="281" spans="1:19">
      <c r="A281">
        <v>280</v>
      </c>
      <c r="B281" t="s">
        <v>276</v>
      </c>
      <c r="C281">
        <v>195.0043</v>
      </c>
      <c r="D281">
        <v>137.19999999999999</v>
      </c>
      <c r="E281">
        <v>-0.78656757476491601</v>
      </c>
      <c r="F281" t="s">
        <v>18</v>
      </c>
      <c r="G281" t="s">
        <v>19</v>
      </c>
      <c r="H281">
        <v>1</v>
      </c>
      <c r="I281" t="s">
        <v>20</v>
      </c>
      <c r="J281" t="s">
        <v>19</v>
      </c>
      <c r="K281">
        <v>0.7</v>
      </c>
      <c r="L281" t="s">
        <v>21</v>
      </c>
      <c r="M281" t="s">
        <v>19</v>
      </c>
      <c r="N281">
        <v>0.94</v>
      </c>
      <c r="O281" t="s">
        <v>225</v>
      </c>
      <c r="P281" t="s">
        <v>19</v>
      </c>
      <c r="Q281">
        <v>0.97499999999999998</v>
      </c>
      <c r="R281" t="s">
        <v>23</v>
      </c>
      <c r="S281">
        <v>4</v>
      </c>
    </row>
    <row r="282" spans="1:19">
      <c r="A282">
        <v>281</v>
      </c>
      <c r="B282" t="s">
        <v>344</v>
      </c>
      <c r="C282">
        <v>304.90949999999998</v>
      </c>
      <c r="D282">
        <v>163.1</v>
      </c>
      <c r="E282">
        <v>-0.56905271287752202</v>
      </c>
      <c r="F282" t="s">
        <v>18</v>
      </c>
      <c r="G282" t="s">
        <v>19</v>
      </c>
      <c r="H282">
        <v>1</v>
      </c>
      <c r="I282" t="s">
        <v>77</v>
      </c>
      <c r="J282" t="s">
        <v>19</v>
      </c>
      <c r="K282">
        <v>0.99</v>
      </c>
      <c r="L282" t="s">
        <v>78</v>
      </c>
      <c r="M282" t="s">
        <v>19</v>
      </c>
      <c r="N282">
        <v>1</v>
      </c>
      <c r="O282" t="s">
        <v>129</v>
      </c>
      <c r="P282" t="s">
        <v>19</v>
      </c>
      <c r="Q282">
        <v>0.998</v>
      </c>
      <c r="R282" t="s">
        <v>23</v>
      </c>
      <c r="S282">
        <v>4</v>
      </c>
    </row>
    <row r="283" spans="1:19">
      <c r="A283">
        <v>282</v>
      </c>
      <c r="B283" t="s">
        <v>345</v>
      </c>
      <c r="C283">
        <v>378.2029</v>
      </c>
      <c r="D283">
        <v>185.2</v>
      </c>
      <c r="E283">
        <v>-0.78061682651127695</v>
      </c>
      <c r="F283" t="s">
        <v>18</v>
      </c>
      <c r="G283" t="s">
        <v>19</v>
      </c>
      <c r="H283">
        <v>1</v>
      </c>
      <c r="I283" t="s">
        <v>39</v>
      </c>
      <c r="J283" t="s">
        <v>19</v>
      </c>
      <c r="K283">
        <v>0.89</v>
      </c>
      <c r="L283" t="s">
        <v>40</v>
      </c>
      <c r="M283" t="s">
        <v>19</v>
      </c>
      <c r="N283">
        <v>1</v>
      </c>
      <c r="O283" t="s">
        <v>41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283</v>
      </c>
      <c r="B284" t="s">
        <v>336</v>
      </c>
      <c r="C284">
        <v>553.55989999999997</v>
      </c>
      <c r="D284">
        <v>471.2</v>
      </c>
      <c r="E284">
        <v>-0.94182163177993095</v>
      </c>
      <c r="F284" t="s">
        <v>18</v>
      </c>
      <c r="G284" t="s">
        <v>19</v>
      </c>
      <c r="H284">
        <v>0.998</v>
      </c>
      <c r="I284" t="s">
        <v>39</v>
      </c>
      <c r="J284" t="s">
        <v>19</v>
      </c>
      <c r="K284">
        <v>0.84</v>
      </c>
      <c r="L284" t="s">
        <v>135</v>
      </c>
      <c r="M284" t="s">
        <v>19</v>
      </c>
      <c r="N284">
        <v>0.73</v>
      </c>
      <c r="O284" t="s">
        <v>136</v>
      </c>
      <c r="P284" t="s">
        <v>19</v>
      </c>
      <c r="Q284">
        <v>0.90400000000000003</v>
      </c>
      <c r="R284" t="s">
        <v>23</v>
      </c>
      <c r="S284">
        <v>4</v>
      </c>
    </row>
    <row r="285" spans="1:19">
      <c r="A285">
        <v>284</v>
      </c>
      <c r="B285" t="s">
        <v>122</v>
      </c>
      <c r="C285">
        <v>468.27260000000001</v>
      </c>
      <c r="D285">
        <v>220.3</v>
      </c>
      <c r="E285">
        <v>-0.74974933019871104</v>
      </c>
      <c r="F285" t="s">
        <v>18</v>
      </c>
      <c r="G285" t="s">
        <v>19</v>
      </c>
      <c r="H285">
        <v>1</v>
      </c>
      <c r="I285" t="s">
        <v>20</v>
      </c>
      <c r="J285" t="s">
        <v>19</v>
      </c>
      <c r="K285">
        <v>0.97</v>
      </c>
      <c r="L285" t="s">
        <v>21</v>
      </c>
      <c r="M285" t="s">
        <v>19</v>
      </c>
      <c r="N285">
        <v>0.97</v>
      </c>
      <c r="O285" t="s">
        <v>28</v>
      </c>
      <c r="P285" t="s">
        <v>19</v>
      </c>
      <c r="Q285">
        <v>0.67100000000000004</v>
      </c>
      <c r="R285" t="s">
        <v>23</v>
      </c>
      <c r="S285">
        <v>4</v>
      </c>
    </row>
    <row r="286" spans="1:19">
      <c r="A286">
        <v>285</v>
      </c>
      <c r="B286" t="s">
        <v>346</v>
      </c>
      <c r="C286">
        <v>748.5856</v>
      </c>
      <c r="D286">
        <v>286.10000000000002</v>
      </c>
      <c r="E286">
        <v>-0.74976531233380705</v>
      </c>
      <c r="F286" t="s">
        <v>18</v>
      </c>
      <c r="G286" t="s">
        <v>19</v>
      </c>
      <c r="H286">
        <v>1</v>
      </c>
      <c r="I286" t="s">
        <v>20</v>
      </c>
      <c r="J286" t="s">
        <v>19</v>
      </c>
      <c r="K286">
        <v>1</v>
      </c>
      <c r="L286" t="s">
        <v>21</v>
      </c>
      <c r="M286" t="s">
        <v>19</v>
      </c>
      <c r="N286">
        <v>0.71</v>
      </c>
      <c r="O286" t="s">
        <v>28</v>
      </c>
      <c r="P286" t="s">
        <v>19</v>
      </c>
      <c r="Q286">
        <v>0.63900000000000001</v>
      </c>
      <c r="R286" t="s">
        <v>23</v>
      </c>
      <c r="S286">
        <v>4</v>
      </c>
    </row>
    <row r="287" spans="1:19">
      <c r="A287">
        <v>286</v>
      </c>
      <c r="B287" t="s">
        <v>347</v>
      </c>
      <c r="C287">
        <v>535.26549999999997</v>
      </c>
      <c r="D287">
        <v>199.4</v>
      </c>
      <c r="E287">
        <v>-0.66784827919343603</v>
      </c>
      <c r="F287" t="s">
        <v>18</v>
      </c>
      <c r="G287" t="s">
        <v>19</v>
      </c>
      <c r="H287">
        <v>1</v>
      </c>
      <c r="I287" t="s">
        <v>77</v>
      </c>
      <c r="J287" t="s">
        <v>19</v>
      </c>
      <c r="K287">
        <v>0.91</v>
      </c>
      <c r="L287" t="s">
        <v>78</v>
      </c>
      <c r="M287" t="s">
        <v>19</v>
      </c>
      <c r="N287">
        <v>1</v>
      </c>
      <c r="O287" t="s">
        <v>117</v>
      </c>
      <c r="P287" t="s">
        <v>19</v>
      </c>
      <c r="Q287">
        <v>0.88600000000000001</v>
      </c>
      <c r="R287" t="s">
        <v>23</v>
      </c>
      <c r="S287">
        <v>4</v>
      </c>
    </row>
    <row r="288" spans="1:19">
      <c r="A288">
        <v>287</v>
      </c>
      <c r="B288" t="s">
        <v>348</v>
      </c>
      <c r="C288">
        <v>184.07320000000001</v>
      </c>
      <c r="D288">
        <v>137.1</v>
      </c>
      <c r="E288">
        <v>-0.86767271543868696</v>
      </c>
      <c r="F288" t="s">
        <v>18</v>
      </c>
      <c r="G288" t="s">
        <v>19</v>
      </c>
      <c r="H288">
        <v>1</v>
      </c>
      <c r="I288" t="s">
        <v>178</v>
      </c>
      <c r="J288" t="s">
        <v>19</v>
      </c>
      <c r="K288">
        <v>0.64</v>
      </c>
      <c r="L288" t="s">
        <v>179</v>
      </c>
      <c r="M288" t="s">
        <v>19</v>
      </c>
      <c r="N288">
        <v>0.96</v>
      </c>
      <c r="O288" t="s">
        <v>180</v>
      </c>
      <c r="P288" t="s">
        <v>19</v>
      </c>
      <c r="Q288">
        <v>0.66900000000000004</v>
      </c>
      <c r="R288" t="s">
        <v>23</v>
      </c>
      <c r="S288">
        <v>4</v>
      </c>
    </row>
    <row r="289" spans="1:19">
      <c r="A289">
        <v>288</v>
      </c>
      <c r="B289" t="s">
        <v>349</v>
      </c>
      <c r="C289">
        <v>367.21210000000002</v>
      </c>
      <c r="D289">
        <v>190.5</v>
      </c>
      <c r="E289">
        <v>-0.80208862533459102</v>
      </c>
      <c r="F289" t="s">
        <v>18</v>
      </c>
      <c r="G289" t="s">
        <v>19</v>
      </c>
      <c r="H289">
        <v>1</v>
      </c>
      <c r="I289" t="s">
        <v>20</v>
      </c>
      <c r="J289" t="s">
        <v>19</v>
      </c>
      <c r="K289">
        <v>0.97</v>
      </c>
      <c r="L289" t="s">
        <v>25</v>
      </c>
      <c r="M289" t="s">
        <v>19</v>
      </c>
      <c r="N289">
        <v>0.93</v>
      </c>
      <c r="O289" t="s">
        <v>43</v>
      </c>
      <c r="P289" t="s">
        <v>19</v>
      </c>
      <c r="Q289">
        <v>0.69299999999999995</v>
      </c>
      <c r="R289" t="s">
        <v>23</v>
      </c>
      <c r="S289">
        <v>4</v>
      </c>
    </row>
    <row r="290" spans="1:19">
      <c r="A290">
        <v>289</v>
      </c>
      <c r="B290" t="s">
        <v>350</v>
      </c>
      <c r="C290">
        <v>413.26549999999997</v>
      </c>
      <c r="D290">
        <v>216</v>
      </c>
      <c r="E290">
        <v>-0.80406761322188902</v>
      </c>
      <c r="F290" t="s">
        <v>18</v>
      </c>
      <c r="G290" t="s">
        <v>19</v>
      </c>
      <c r="H290">
        <v>1</v>
      </c>
      <c r="I290" t="s">
        <v>77</v>
      </c>
      <c r="J290" t="s">
        <v>19</v>
      </c>
      <c r="K290">
        <v>0.6</v>
      </c>
      <c r="L290" t="s">
        <v>78</v>
      </c>
      <c r="M290" t="s">
        <v>19</v>
      </c>
      <c r="N290">
        <v>0.97</v>
      </c>
      <c r="O290" t="s">
        <v>117</v>
      </c>
      <c r="P290" t="s">
        <v>19</v>
      </c>
      <c r="Q290">
        <v>0.86499999999999999</v>
      </c>
      <c r="R290" t="s">
        <v>23</v>
      </c>
      <c r="S290">
        <v>4</v>
      </c>
    </row>
    <row r="291" spans="1:19">
      <c r="A291">
        <v>290</v>
      </c>
      <c r="B291" t="s">
        <v>351</v>
      </c>
      <c r="C291">
        <v>1621.9656</v>
      </c>
      <c r="D291">
        <v>330.73</v>
      </c>
      <c r="E291">
        <v>-0.15459119795878001</v>
      </c>
      <c r="F291" t="s">
        <v>18</v>
      </c>
      <c r="G291" t="s">
        <v>19</v>
      </c>
      <c r="H291">
        <v>1</v>
      </c>
      <c r="I291" t="s">
        <v>34</v>
      </c>
      <c r="J291" t="s">
        <v>19</v>
      </c>
      <c r="K291">
        <v>1</v>
      </c>
      <c r="L291" t="s">
        <v>35</v>
      </c>
      <c r="M291" t="s">
        <v>19</v>
      </c>
      <c r="N291">
        <v>1</v>
      </c>
      <c r="O291" t="s">
        <v>36</v>
      </c>
      <c r="P291" t="s">
        <v>19</v>
      </c>
      <c r="Q291">
        <v>1</v>
      </c>
      <c r="R291" t="s">
        <v>23</v>
      </c>
      <c r="S291">
        <v>4</v>
      </c>
    </row>
    <row r="292" spans="1:19">
      <c r="A292">
        <v>291</v>
      </c>
      <c r="B292" t="s">
        <v>352</v>
      </c>
      <c r="C292">
        <v>675.40840000000003</v>
      </c>
      <c r="D292">
        <v>243.8</v>
      </c>
      <c r="E292">
        <v>-0.65427145536716602</v>
      </c>
      <c r="F292" t="s">
        <v>18</v>
      </c>
      <c r="G292" t="s">
        <v>19</v>
      </c>
      <c r="H292">
        <v>1</v>
      </c>
      <c r="I292" t="s">
        <v>20</v>
      </c>
      <c r="J292" t="s">
        <v>19</v>
      </c>
      <c r="K292">
        <v>0.97</v>
      </c>
      <c r="L292" t="s">
        <v>25</v>
      </c>
      <c r="M292" t="s">
        <v>19</v>
      </c>
      <c r="N292">
        <v>1</v>
      </c>
      <c r="O292" t="s">
        <v>26</v>
      </c>
      <c r="P292" t="s">
        <v>19</v>
      </c>
      <c r="Q292">
        <v>0.999</v>
      </c>
      <c r="R292" t="s">
        <v>23</v>
      </c>
      <c r="S292">
        <v>4</v>
      </c>
    </row>
    <row r="293" spans="1:19">
      <c r="A293">
        <v>292</v>
      </c>
      <c r="B293" t="s">
        <v>252</v>
      </c>
      <c r="C293">
        <v>589.04190000000006</v>
      </c>
      <c r="D293">
        <v>210.5</v>
      </c>
      <c r="E293">
        <v>-0.38420413661606301</v>
      </c>
      <c r="F293" t="s">
        <v>18</v>
      </c>
      <c r="G293" t="s">
        <v>19</v>
      </c>
      <c r="H293">
        <v>1</v>
      </c>
      <c r="I293" t="s">
        <v>72</v>
      </c>
      <c r="J293" t="s">
        <v>19</v>
      </c>
      <c r="K293">
        <v>1</v>
      </c>
      <c r="L293" t="s">
        <v>73</v>
      </c>
      <c r="M293" t="s">
        <v>19</v>
      </c>
      <c r="N293">
        <v>0.96</v>
      </c>
      <c r="O293" t="s">
        <v>168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293</v>
      </c>
      <c r="B294" t="s">
        <v>353</v>
      </c>
      <c r="C294">
        <v>433.87580000000003</v>
      </c>
      <c r="D294">
        <v>171.4</v>
      </c>
      <c r="E294">
        <v>-0.39135514322089199</v>
      </c>
      <c r="F294" t="s">
        <v>18</v>
      </c>
      <c r="G294" t="s">
        <v>19</v>
      </c>
      <c r="H294">
        <v>0.92400000000000004</v>
      </c>
      <c r="I294" t="s">
        <v>39</v>
      </c>
      <c r="J294" t="s">
        <v>19</v>
      </c>
      <c r="K294">
        <v>0.6</v>
      </c>
      <c r="L294" t="s">
        <v>40</v>
      </c>
      <c r="M294" t="s">
        <v>19</v>
      </c>
      <c r="N294">
        <v>1</v>
      </c>
      <c r="O294" t="s">
        <v>41</v>
      </c>
      <c r="P294" t="s">
        <v>19</v>
      </c>
      <c r="Q294">
        <v>1</v>
      </c>
      <c r="R294" t="s">
        <v>23</v>
      </c>
      <c r="S294">
        <v>4</v>
      </c>
    </row>
    <row r="295" spans="1:19">
      <c r="A295">
        <v>294</v>
      </c>
      <c r="B295" t="s">
        <v>354</v>
      </c>
      <c r="C295">
        <v>147.0299</v>
      </c>
      <c r="D295">
        <v>123.1</v>
      </c>
      <c r="E295">
        <v>-0.86573348311256404</v>
      </c>
      <c r="F295" t="s">
        <v>18</v>
      </c>
      <c r="G295" t="s">
        <v>19</v>
      </c>
      <c r="H295">
        <v>1</v>
      </c>
      <c r="I295" t="s">
        <v>20</v>
      </c>
      <c r="J295" t="s">
        <v>19</v>
      </c>
      <c r="K295">
        <v>0.69</v>
      </c>
      <c r="L295" t="s">
        <v>25</v>
      </c>
      <c r="M295" t="s">
        <v>19</v>
      </c>
      <c r="N295">
        <v>1</v>
      </c>
      <c r="O295" t="s">
        <v>26</v>
      </c>
      <c r="P295" t="s">
        <v>19</v>
      </c>
      <c r="Q295">
        <v>1</v>
      </c>
      <c r="R295" t="s">
        <v>23</v>
      </c>
      <c r="S295">
        <v>4</v>
      </c>
    </row>
    <row r="296" spans="1:19">
      <c r="A296">
        <v>295</v>
      </c>
      <c r="B296" t="s">
        <v>355</v>
      </c>
      <c r="C296">
        <v>800.65380000000005</v>
      </c>
      <c r="D296">
        <v>301.8</v>
      </c>
      <c r="E296">
        <v>-0.75982846374324697</v>
      </c>
      <c r="F296" t="s">
        <v>18</v>
      </c>
      <c r="G296" t="s">
        <v>19</v>
      </c>
      <c r="H296">
        <v>1</v>
      </c>
      <c r="I296" t="s">
        <v>20</v>
      </c>
      <c r="J296" t="s">
        <v>19</v>
      </c>
      <c r="K296">
        <v>1</v>
      </c>
      <c r="L296" t="s">
        <v>30</v>
      </c>
      <c r="M296" t="s">
        <v>19</v>
      </c>
      <c r="N296">
        <v>1</v>
      </c>
      <c r="O296" t="s">
        <v>91</v>
      </c>
      <c r="P296" t="s">
        <v>19</v>
      </c>
      <c r="Q296">
        <v>0.86399999999999999</v>
      </c>
      <c r="R296" t="s">
        <v>23</v>
      </c>
      <c r="S296">
        <v>4</v>
      </c>
    </row>
    <row r="297" spans="1:19">
      <c r="A297">
        <v>296</v>
      </c>
      <c r="B297" t="s">
        <v>356</v>
      </c>
      <c r="C297">
        <v>368.03719999999998</v>
      </c>
      <c r="D297">
        <v>179.7</v>
      </c>
      <c r="E297">
        <v>-0.62626735834680902</v>
      </c>
      <c r="F297" t="s">
        <v>18</v>
      </c>
      <c r="G297" t="s">
        <v>19</v>
      </c>
      <c r="H297">
        <v>1</v>
      </c>
      <c r="I297" t="s">
        <v>72</v>
      </c>
      <c r="J297" t="s">
        <v>19</v>
      </c>
      <c r="K297">
        <v>0.82</v>
      </c>
      <c r="L297" t="s">
        <v>138</v>
      </c>
      <c r="M297" t="s">
        <v>19</v>
      </c>
      <c r="N297">
        <v>0.99</v>
      </c>
      <c r="O297" t="s">
        <v>214</v>
      </c>
      <c r="P297" t="s">
        <v>19</v>
      </c>
      <c r="Q297">
        <v>0.76500000000000001</v>
      </c>
      <c r="R297" t="s">
        <v>23</v>
      </c>
      <c r="S297">
        <v>4</v>
      </c>
    </row>
    <row r="298" spans="1:19">
      <c r="A298">
        <v>297</v>
      </c>
      <c r="B298" t="s">
        <v>357</v>
      </c>
      <c r="C298">
        <v>848.48440000000005</v>
      </c>
      <c r="D298">
        <v>288.89999999999998</v>
      </c>
      <c r="E298">
        <v>-0.53702311556139604</v>
      </c>
      <c r="F298" t="s">
        <v>18</v>
      </c>
      <c r="G298" t="s">
        <v>19</v>
      </c>
      <c r="H298">
        <v>1</v>
      </c>
      <c r="I298" t="s">
        <v>20</v>
      </c>
      <c r="J298" t="s">
        <v>19</v>
      </c>
      <c r="K298">
        <v>0.93</v>
      </c>
      <c r="L298" t="s">
        <v>21</v>
      </c>
      <c r="M298" t="s">
        <v>19</v>
      </c>
      <c r="N298">
        <v>1</v>
      </c>
      <c r="O298" t="s">
        <v>56</v>
      </c>
      <c r="P298" t="s">
        <v>19</v>
      </c>
      <c r="Q298">
        <v>0.93600000000000005</v>
      </c>
      <c r="R298" t="s">
        <v>23</v>
      </c>
      <c r="S298">
        <v>4</v>
      </c>
    </row>
    <row r="299" spans="1:19">
      <c r="A299">
        <v>298</v>
      </c>
      <c r="B299" t="s">
        <v>358</v>
      </c>
      <c r="C299">
        <v>523.8904</v>
      </c>
      <c r="D299">
        <v>188.2</v>
      </c>
      <c r="E299">
        <v>-0.30544916891892598</v>
      </c>
      <c r="F299" t="s">
        <v>18</v>
      </c>
      <c r="G299" t="s">
        <v>19</v>
      </c>
      <c r="H299">
        <v>1</v>
      </c>
      <c r="I299" t="s">
        <v>39</v>
      </c>
      <c r="J299" t="s">
        <v>19</v>
      </c>
      <c r="K299">
        <v>0.82</v>
      </c>
      <c r="L299" t="s">
        <v>40</v>
      </c>
      <c r="M299" t="s">
        <v>19</v>
      </c>
      <c r="N299">
        <v>1</v>
      </c>
      <c r="O299" t="s">
        <v>41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299</v>
      </c>
      <c r="B300" t="s">
        <v>359</v>
      </c>
      <c r="C300">
        <v>843.745</v>
      </c>
      <c r="D300">
        <v>424.2</v>
      </c>
      <c r="E300">
        <v>-0.80291490172282898</v>
      </c>
      <c r="F300" t="s">
        <v>18</v>
      </c>
      <c r="G300" t="s">
        <v>19</v>
      </c>
      <c r="H300">
        <v>1</v>
      </c>
      <c r="I300" t="s">
        <v>39</v>
      </c>
      <c r="J300" t="s">
        <v>19</v>
      </c>
      <c r="K300">
        <v>1</v>
      </c>
      <c r="L300" t="s">
        <v>40</v>
      </c>
      <c r="M300" t="s">
        <v>19</v>
      </c>
      <c r="N300">
        <v>1</v>
      </c>
      <c r="O300" t="s">
        <v>41</v>
      </c>
      <c r="P300" t="s">
        <v>19</v>
      </c>
      <c r="Q300">
        <v>1</v>
      </c>
      <c r="R300" t="s">
        <v>23</v>
      </c>
      <c r="S300">
        <v>4</v>
      </c>
    </row>
    <row r="301" spans="1:19">
      <c r="A301">
        <v>300</v>
      </c>
      <c r="B301" t="s">
        <v>360</v>
      </c>
      <c r="C301">
        <v>192.9889</v>
      </c>
      <c r="D301">
        <v>147.30000000000001</v>
      </c>
      <c r="E301">
        <v>-0.77341787350098901</v>
      </c>
      <c r="F301" t="s">
        <v>18</v>
      </c>
      <c r="G301" t="s">
        <v>19</v>
      </c>
      <c r="H301">
        <v>1</v>
      </c>
      <c r="I301" t="s">
        <v>20</v>
      </c>
      <c r="J301" t="s">
        <v>19</v>
      </c>
      <c r="K301">
        <v>0.64</v>
      </c>
      <c r="L301" t="s">
        <v>21</v>
      </c>
      <c r="M301" t="s">
        <v>19</v>
      </c>
      <c r="N301">
        <v>0.97</v>
      </c>
      <c r="O301" t="s">
        <v>225</v>
      </c>
      <c r="P301" t="s">
        <v>19</v>
      </c>
      <c r="Q301">
        <v>0.95799999999999996</v>
      </c>
      <c r="R301" t="s">
        <v>23</v>
      </c>
      <c r="S301">
        <v>4</v>
      </c>
    </row>
    <row r="302" spans="1:19">
      <c r="A302">
        <v>301</v>
      </c>
      <c r="B302" t="s">
        <v>361</v>
      </c>
      <c r="C302">
        <v>658.31600000000003</v>
      </c>
      <c r="D302">
        <v>243</v>
      </c>
      <c r="E302">
        <v>-0.58095600737499398</v>
      </c>
      <c r="F302" t="s">
        <v>18</v>
      </c>
      <c r="G302" t="s">
        <v>19</v>
      </c>
      <c r="H302">
        <v>1</v>
      </c>
      <c r="I302" t="s">
        <v>39</v>
      </c>
      <c r="J302" t="s">
        <v>19</v>
      </c>
      <c r="K302">
        <v>0.82</v>
      </c>
      <c r="L302" t="s">
        <v>40</v>
      </c>
      <c r="M302" t="s">
        <v>19</v>
      </c>
      <c r="N302">
        <v>0.85</v>
      </c>
      <c r="O302" t="s">
        <v>41</v>
      </c>
      <c r="P302" t="s">
        <v>19</v>
      </c>
      <c r="Q302">
        <v>1</v>
      </c>
      <c r="R302" t="s">
        <v>23</v>
      </c>
      <c r="S302">
        <v>4</v>
      </c>
    </row>
    <row r="303" spans="1:19">
      <c r="A303">
        <v>302</v>
      </c>
      <c r="B303" t="s">
        <v>203</v>
      </c>
      <c r="C303">
        <v>857.67880000000002</v>
      </c>
      <c r="D303">
        <v>305.60000000000002</v>
      </c>
      <c r="E303">
        <v>-0.72115709060415201</v>
      </c>
      <c r="F303" t="s">
        <v>18</v>
      </c>
      <c r="G303" t="s">
        <v>19</v>
      </c>
      <c r="H303">
        <v>1</v>
      </c>
      <c r="I303" t="s">
        <v>20</v>
      </c>
      <c r="J303" t="s">
        <v>19</v>
      </c>
      <c r="K303">
        <v>1</v>
      </c>
      <c r="L303" t="s">
        <v>30</v>
      </c>
      <c r="M303" t="s">
        <v>19</v>
      </c>
      <c r="N303">
        <v>1</v>
      </c>
      <c r="O303" t="s">
        <v>191</v>
      </c>
      <c r="P303" t="s">
        <v>19</v>
      </c>
      <c r="Q303">
        <v>0.71799999999999997</v>
      </c>
      <c r="R303" t="s">
        <v>23</v>
      </c>
      <c r="S303">
        <v>4</v>
      </c>
    </row>
    <row r="304" spans="1:19">
      <c r="A304">
        <v>303</v>
      </c>
      <c r="B304" t="s">
        <v>362</v>
      </c>
      <c r="C304">
        <v>404.02330000000001</v>
      </c>
      <c r="D304">
        <v>175.6</v>
      </c>
      <c r="E304">
        <v>-0.57218700936090305</v>
      </c>
      <c r="F304" t="s">
        <v>18</v>
      </c>
      <c r="G304" t="s">
        <v>19</v>
      </c>
      <c r="H304">
        <v>1</v>
      </c>
      <c r="I304" t="s">
        <v>72</v>
      </c>
      <c r="J304" t="s">
        <v>19</v>
      </c>
      <c r="K304">
        <v>0.89</v>
      </c>
      <c r="L304" t="s">
        <v>73</v>
      </c>
      <c r="M304" t="s">
        <v>19</v>
      </c>
      <c r="N304">
        <v>0.93</v>
      </c>
      <c r="O304" t="s">
        <v>74</v>
      </c>
      <c r="P304" t="s">
        <v>19</v>
      </c>
      <c r="Q304">
        <v>0.999</v>
      </c>
      <c r="R304" t="s">
        <v>23</v>
      </c>
      <c r="S304">
        <v>4</v>
      </c>
    </row>
    <row r="305" spans="1:19">
      <c r="A305">
        <v>304</v>
      </c>
      <c r="B305" t="s">
        <v>347</v>
      </c>
      <c r="C305">
        <v>573.22140000000002</v>
      </c>
      <c r="D305">
        <v>227.5</v>
      </c>
      <c r="E305">
        <v>-0.58136854623899104</v>
      </c>
      <c r="F305" t="s">
        <v>18</v>
      </c>
      <c r="G305" t="s">
        <v>19</v>
      </c>
      <c r="H305">
        <v>1</v>
      </c>
      <c r="I305" t="s">
        <v>77</v>
      </c>
      <c r="J305" t="s">
        <v>19</v>
      </c>
      <c r="K305">
        <v>0.72</v>
      </c>
      <c r="L305" t="s">
        <v>78</v>
      </c>
      <c r="M305" t="s">
        <v>19</v>
      </c>
      <c r="N305">
        <v>0.93</v>
      </c>
      <c r="O305" t="s">
        <v>117</v>
      </c>
      <c r="P305" t="s">
        <v>19</v>
      </c>
      <c r="Q305">
        <v>0.91800000000000004</v>
      </c>
      <c r="R305" t="s">
        <v>23</v>
      </c>
      <c r="S305">
        <v>4</v>
      </c>
    </row>
    <row r="306" spans="1:19">
      <c r="A306">
        <v>305</v>
      </c>
      <c r="B306" t="s">
        <v>363</v>
      </c>
      <c r="C306">
        <v>343.12310000000002</v>
      </c>
      <c r="D306">
        <v>180.3</v>
      </c>
      <c r="E306">
        <v>-0.73998524449370995</v>
      </c>
      <c r="F306" t="s">
        <v>18</v>
      </c>
      <c r="G306" t="s">
        <v>19</v>
      </c>
      <c r="H306">
        <v>1</v>
      </c>
      <c r="I306" t="s">
        <v>45</v>
      </c>
      <c r="J306" t="s">
        <v>19</v>
      </c>
      <c r="K306">
        <v>0.79</v>
      </c>
      <c r="L306" t="s">
        <v>46</v>
      </c>
      <c r="M306" t="s">
        <v>19</v>
      </c>
      <c r="N306">
        <v>0.99</v>
      </c>
      <c r="O306" t="s">
        <v>47</v>
      </c>
      <c r="P306" t="s">
        <v>19</v>
      </c>
      <c r="Q306">
        <v>1</v>
      </c>
      <c r="R306" t="s">
        <v>23</v>
      </c>
      <c r="S306">
        <v>4</v>
      </c>
    </row>
    <row r="307" spans="1:19">
      <c r="A307">
        <v>306</v>
      </c>
      <c r="B307" t="s">
        <v>364</v>
      </c>
      <c r="C307">
        <v>166.04769999999999</v>
      </c>
      <c r="D307">
        <v>127.9</v>
      </c>
      <c r="E307">
        <v>-0.86229912204137804</v>
      </c>
      <c r="F307" t="s">
        <v>18</v>
      </c>
      <c r="G307" t="s">
        <v>19</v>
      </c>
      <c r="H307">
        <v>1</v>
      </c>
      <c r="I307" t="s">
        <v>45</v>
      </c>
      <c r="J307" t="s">
        <v>19</v>
      </c>
      <c r="K307">
        <v>0.61</v>
      </c>
      <c r="L307" t="s">
        <v>46</v>
      </c>
      <c r="M307" t="s">
        <v>19</v>
      </c>
      <c r="N307">
        <v>1</v>
      </c>
      <c r="O307" t="s">
        <v>47</v>
      </c>
      <c r="P307" t="s">
        <v>19</v>
      </c>
      <c r="Q307">
        <v>0.96399999999999997</v>
      </c>
      <c r="R307" t="s">
        <v>23</v>
      </c>
      <c r="S307">
        <v>4</v>
      </c>
    </row>
    <row r="308" spans="1:19">
      <c r="A308">
        <v>307</v>
      </c>
      <c r="B308" t="s">
        <v>336</v>
      </c>
      <c r="C308">
        <v>829.83569999999997</v>
      </c>
      <c r="D308">
        <v>424.7</v>
      </c>
      <c r="E308">
        <v>-0.90914535731951696</v>
      </c>
      <c r="F308" t="s">
        <v>18</v>
      </c>
      <c r="G308" t="s">
        <v>19</v>
      </c>
      <c r="H308">
        <v>1</v>
      </c>
      <c r="I308" t="s">
        <v>39</v>
      </c>
      <c r="J308" t="s">
        <v>19</v>
      </c>
      <c r="K308">
        <v>1</v>
      </c>
      <c r="L308" t="s">
        <v>135</v>
      </c>
      <c r="M308" t="s">
        <v>19</v>
      </c>
      <c r="N308">
        <v>0.67</v>
      </c>
      <c r="O308" t="s">
        <v>136</v>
      </c>
      <c r="P308" t="s">
        <v>19</v>
      </c>
      <c r="Q308">
        <v>0.91700000000000004</v>
      </c>
      <c r="R308" t="s">
        <v>23</v>
      </c>
      <c r="S308">
        <v>4</v>
      </c>
    </row>
    <row r="309" spans="1:19">
      <c r="A309">
        <v>308</v>
      </c>
      <c r="B309" t="s">
        <v>238</v>
      </c>
      <c r="C309">
        <v>826.57280000000003</v>
      </c>
      <c r="D309">
        <v>292.2</v>
      </c>
      <c r="E309">
        <v>-0.64988855457363603</v>
      </c>
      <c r="F309" t="s">
        <v>18</v>
      </c>
      <c r="G309" t="s">
        <v>19</v>
      </c>
      <c r="H309">
        <v>1</v>
      </c>
      <c r="I309" t="s">
        <v>20</v>
      </c>
      <c r="J309" t="s">
        <v>19</v>
      </c>
      <c r="K309">
        <v>1</v>
      </c>
      <c r="L309" t="s">
        <v>21</v>
      </c>
      <c r="M309" t="s">
        <v>19</v>
      </c>
      <c r="N309">
        <v>1</v>
      </c>
      <c r="O309" t="s">
        <v>22</v>
      </c>
      <c r="P309" t="s">
        <v>19</v>
      </c>
      <c r="Q309">
        <v>0.92400000000000004</v>
      </c>
      <c r="R309" t="s">
        <v>23</v>
      </c>
      <c r="S309">
        <v>4</v>
      </c>
    </row>
    <row r="310" spans="1:19">
      <c r="A310">
        <v>309</v>
      </c>
      <c r="B310" t="s">
        <v>238</v>
      </c>
      <c r="C310">
        <v>810.59879999999998</v>
      </c>
      <c r="D310">
        <v>291.39999999999998</v>
      </c>
      <c r="E310">
        <v>-0.69372435491595796</v>
      </c>
      <c r="F310" t="s">
        <v>18</v>
      </c>
      <c r="G310" t="s">
        <v>19</v>
      </c>
      <c r="H310">
        <v>1</v>
      </c>
      <c r="I310" t="s">
        <v>20</v>
      </c>
      <c r="J310" t="s">
        <v>19</v>
      </c>
      <c r="K310">
        <v>1</v>
      </c>
      <c r="L310" t="s">
        <v>21</v>
      </c>
      <c r="M310" t="s">
        <v>19</v>
      </c>
      <c r="N310">
        <v>0.82</v>
      </c>
      <c r="O310" t="s">
        <v>22</v>
      </c>
      <c r="P310" t="s">
        <v>19</v>
      </c>
      <c r="Q310">
        <v>0.94099999999999995</v>
      </c>
      <c r="R310" t="s">
        <v>23</v>
      </c>
      <c r="S310">
        <v>4</v>
      </c>
    </row>
    <row r="311" spans="1:19">
      <c r="A311">
        <v>310</v>
      </c>
      <c r="B311" t="s">
        <v>365</v>
      </c>
      <c r="C311">
        <v>812.5444</v>
      </c>
      <c r="D311">
        <v>286.39999999999998</v>
      </c>
      <c r="E311">
        <v>-0.63715199150385604</v>
      </c>
      <c r="F311" t="s">
        <v>18</v>
      </c>
      <c r="G311" t="s">
        <v>19</v>
      </c>
      <c r="H311">
        <v>1</v>
      </c>
      <c r="I311" t="s">
        <v>20</v>
      </c>
      <c r="J311" t="s">
        <v>19</v>
      </c>
      <c r="K311">
        <v>1</v>
      </c>
      <c r="L311" t="s">
        <v>21</v>
      </c>
      <c r="M311" t="s">
        <v>19</v>
      </c>
      <c r="N311">
        <v>1</v>
      </c>
      <c r="O311" t="s">
        <v>56</v>
      </c>
      <c r="P311" t="s">
        <v>19</v>
      </c>
      <c r="Q311">
        <v>0.81299999999999994</v>
      </c>
      <c r="R311" t="s">
        <v>23</v>
      </c>
      <c r="S311">
        <v>4</v>
      </c>
    </row>
    <row r="312" spans="1:19">
      <c r="A312">
        <v>311</v>
      </c>
      <c r="B312" t="s">
        <v>366</v>
      </c>
      <c r="C312">
        <v>604.34529999999995</v>
      </c>
      <c r="D312">
        <v>236.1</v>
      </c>
      <c r="E312">
        <v>-0.67051709599002196</v>
      </c>
      <c r="F312" t="s">
        <v>18</v>
      </c>
      <c r="G312" t="s">
        <v>19</v>
      </c>
      <c r="H312">
        <v>1</v>
      </c>
      <c r="I312" t="s">
        <v>39</v>
      </c>
      <c r="J312" t="s">
        <v>19</v>
      </c>
      <c r="K312">
        <v>0.91</v>
      </c>
      <c r="L312" t="s">
        <v>40</v>
      </c>
      <c r="M312" t="s">
        <v>19</v>
      </c>
      <c r="N312">
        <v>0.99</v>
      </c>
      <c r="O312" t="s">
        <v>41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312</v>
      </c>
      <c r="B313" t="s">
        <v>367</v>
      </c>
      <c r="C313">
        <v>201.1361</v>
      </c>
      <c r="D313">
        <v>148.1</v>
      </c>
      <c r="E313">
        <v>-0.91152110171248102</v>
      </c>
      <c r="F313" t="s">
        <v>18</v>
      </c>
      <c r="G313" t="s">
        <v>19</v>
      </c>
      <c r="H313">
        <v>1</v>
      </c>
      <c r="I313" t="s">
        <v>39</v>
      </c>
      <c r="J313" t="s">
        <v>19</v>
      </c>
      <c r="K313">
        <v>0.84</v>
      </c>
      <c r="L313" t="s">
        <v>40</v>
      </c>
      <c r="M313" t="s">
        <v>19</v>
      </c>
      <c r="N313">
        <v>1</v>
      </c>
      <c r="O313" t="s">
        <v>41</v>
      </c>
      <c r="P313" t="s">
        <v>19</v>
      </c>
      <c r="Q313">
        <v>1</v>
      </c>
      <c r="R313" t="s">
        <v>23</v>
      </c>
      <c r="S313">
        <v>4</v>
      </c>
    </row>
    <row r="314" spans="1:19">
      <c r="A314">
        <v>313</v>
      </c>
      <c r="B314" t="s">
        <v>368</v>
      </c>
      <c r="C314">
        <v>878.49239999999998</v>
      </c>
      <c r="D314">
        <v>292.39999999999998</v>
      </c>
      <c r="E314">
        <v>-0.51151762559800296</v>
      </c>
      <c r="F314" t="s">
        <v>18</v>
      </c>
      <c r="G314" t="s">
        <v>19</v>
      </c>
      <c r="H314">
        <v>0.99399999999999999</v>
      </c>
      <c r="I314" t="s">
        <v>20</v>
      </c>
      <c r="J314" t="s">
        <v>19</v>
      </c>
      <c r="K314">
        <v>0.99</v>
      </c>
      <c r="L314" t="s">
        <v>21</v>
      </c>
      <c r="M314" t="s">
        <v>19</v>
      </c>
      <c r="N314">
        <v>1</v>
      </c>
      <c r="O314" t="s">
        <v>56</v>
      </c>
      <c r="P314" t="s">
        <v>19</v>
      </c>
      <c r="Q314">
        <v>1</v>
      </c>
      <c r="R314" t="s">
        <v>23</v>
      </c>
      <c r="S314">
        <v>4</v>
      </c>
    </row>
    <row r="315" spans="1:19">
      <c r="A315">
        <v>314</v>
      </c>
      <c r="B315" t="s">
        <v>369</v>
      </c>
      <c r="C315">
        <v>802.6173</v>
      </c>
      <c r="D315">
        <v>291.39999999999998</v>
      </c>
      <c r="E315">
        <v>-0.72113611405166</v>
      </c>
      <c r="F315" t="s">
        <v>18</v>
      </c>
      <c r="G315" t="s">
        <v>19</v>
      </c>
      <c r="H315">
        <v>1</v>
      </c>
      <c r="I315" t="s">
        <v>20</v>
      </c>
      <c r="J315" t="s">
        <v>19</v>
      </c>
      <c r="K315">
        <v>1</v>
      </c>
      <c r="L315" t="s">
        <v>30</v>
      </c>
      <c r="M315" t="s">
        <v>19</v>
      </c>
      <c r="N315">
        <v>0.8</v>
      </c>
      <c r="O315" t="s">
        <v>91</v>
      </c>
      <c r="P315" t="s">
        <v>19</v>
      </c>
      <c r="Q315">
        <v>0.85799999999999998</v>
      </c>
      <c r="R315" t="s">
        <v>23</v>
      </c>
      <c r="S315">
        <v>4</v>
      </c>
    </row>
    <row r="316" spans="1:19">
      <c r="A316">
        <v>315</v>
      </c>
      <c r="B316" t="s">
        <v>370</v>
      </c>
      <c r="C316">
        <v>167.02109999999999</v>
      </c>
      <c r="D316">
        <v>126.2</v>
      </c>
      <c r="E316">
        <v>-0.83461227040413599</v>
      </c>
      <c r="F316" t="s">
        <v>18</v>
      </c>
      <c r="G316" t="s">
        <v>19</v>
      </c>
      <c r="H316">
        <v>1</v>
      </c>
      <c r="I316" t="s">
        <v>61</v>
      </c>
      <c r="J316" t="s">
        <v>19</v>
      </c>
      <c r="K316">
        <v>0.92</v>
      </c>
      <c r="L316" t="s">
        <v>268</v>
      </c>
      <c r="M316" t="s">
        <v>19</v>
      </c>
      <c r="N316">
        <v>0.85</v>
      </c>
      <c r="O316" t="s">
        <v>269</v>
      </c>
      <c r="P316" t="s">
        <v>19</v>
      </c>
      <c r="Q316">
        <v>1</v>
      </c>
      <c r="R316" t="s">
        <v>23</v>
      </c>
      <c r="S316">
        <v>4</v>
      </c>
    </row>
    <row r="317" spans="1:19">
      <c r="A317">
        <v>316</v>
      </c>
      <c r="B317" t="s">
        <v>371</v>
      </c>
      <c r="C317">
        <v>1212.1237000000001</v>
      </c>
      <c r="D317">
        <v>203.8</v>
      </c>
      <c r="E317">
        <v>-0.77030095758959805</v>
      </c>
      <c r="F317" t="s">
        <v>97</v>
      </c>
      <c r="G317" t="s">
        <v>19</v>
      </c>
      <c r="H317">
        <v>0.98399999999999999</v>
      </c>
      <c r="I317" t="s">
        <v>98</v>
      </c>
      <c r="J317" t="s">
        <v>19</v>
      </c>
      <c r="K317">
        <v>1</v>
      </c>
      <c r="L317" t="s">
        <v>99</v>
      </c>
      <c r="M317" t="s">
        <v>19</v>
      </c>
      <c r="N317">
        <v>0.99</v>
      </c>
      <c r="O317" t="s">
        <v>100</v>
      </c>
      <c r="P317" t="s">
        <v>19</v>
      </c>
      <c r="Q317">
        <v>1</v>
      </c>
      <c r="R317" t="s">
        <v>23</v>
      </c>
      <c r="S317">
        <v>4</v>
      </c>
    </row>
    <row r="318" spans="1:19">
      <c r="A318">
        <v>317</v>
      </c>
      <c r="B318" t="s">
        <v>372</v>
      </c>
      <c r="C318">
        <v>688.49170000000004</v>
      </c>
      <c r="D318">
        <v>284.60000000000002</v>
      </c>
      <c r="E318">
        <v>-0.72296327165497598</v>
      </c>
      <c r="F318" t="s">
        <v>18</v>
      </c>
      <c r="G318" t="s">
        <v>19</v>
      </c>
      <c r="H318">
        <v>1</v>
      </c>
      <c r="I318" t="s">
        <v>20</v>
      </c>
      <c r="J318" t="s">
        <v>19</v>
      </c>
      <c r="K318">
        <v>1</v>
      </c>
      <c r="L318" t="s">
        <v>21</v>
      </c>
      <c r="M318" t="s">
        <v>19</v>
      </c>
      <c r="N318">
        <v>0.73</v>
      </c>
      <c r="O318" t="s">
        <v>28</v>
      </c>
      <c r="P318" t="s">
        <v>19</v>
      </c>
      <c r="Q318">
        <v>0.78700000000000003</v>
      </c>
      <c r="R318" t="s">
        <v>23</v>
      </c>
      <c r="S318">
        <v>4</v>
      </c>
    </row>
    <row r="319" spans="1:19">
      <c r="A319">
        <v>318</v>
      </c>
      <c r="B319" t="s">
        <v>373</v>
      </c>
      <c r="C319">
        <v>152.03630000000001</v>
      </c>
      <c r="D319">
        <v>128.4</v>
      </c>
      <c r="E319">
        <v>-0.86654357758897005</v>
      </c>
      <c r="F319" t="s">
        <v>18</v>
      </c>
      <c r="G319" t="s">
        <v>19</v>
      </c>
      <c r="H319">
        <v>1</v>
      </c>
      <c r="I319" t="s">
        <v>77</v>
      </c>
      <c r="J319" t="s">
        <v>19</v>
      </c>
      <c r="K319">
        <v>0.77</v>
      </c>
      <c r="L319" t="s">
        <v>78</v>
      </c>
      <c r="M319" t="s">
        <v>19</v>
      </c>
      <c r="N319">
        <v>0.92</v>
      </c>
      <c r="O319" t="s">
        <v>117</v>
      </c>
      <c r="P319" t="s">
        <v>19</v>
      </c>
      <c r="Q319">
        <v>1</v>
      </c>
      <c r="R319" t="s">
        <v>23</v>
      </c>
      <c r="S319">
        <v>4</v>
      </c>
    </row>
    <row r="320" spans="1:19">
      <c r="A320">
        <v>319</v>
      </c>
      <c r="B320" t="s">
        <v>374</v>
      </c>
      <c r="C320">
        <v>140.06700000000001</v>
      </c>
      <c r="D320">
        <v>133.80000000000001</v>
      </c>
      <c r="E320">
        <v>-0.91060792246426603</v>
      </c>
      <c r="F320" t="s">
        <v>18</v>
      </c>
      <c r="G320" t="s">
        <v>19</v>
      </c>
      <c r="H320">
        <v>1</v>
      </c>
      <c r="I320" t="s">
        <v>39</v>
      </c>
      <c r="J320" t="s">
        <v>19</v>
      </c>
      <c r="K320">
        <v>0.94</v>
      </c>
      <c r="L320" t="s">
        <v>40</v>
      </c>
      <c r="M320" t="s">
        <v>19</v>
      </c>
      <c r="N320">
        <v>1</v>
      </c>
      <c r="O320" t="s">
        <v>41</v>
      </c>
      <c r="P320" t="s">
        <v>19</v>
      </c>
      <c r="Q320">
        <v>1</v>
      </c>
      <c r="R320" t="s">
        <v>23</v>
      </c>
      <c r="S320">
        <v>4</v>
      </c>
    </row>
    <row r="321" spans="1:19">
      <c r="A321">
        <v>320</v>
      </c>
      <c r="B321" t="s">
        <v>375</v>
      </c>
      <c r="C321">
        <v>267.99970000000002</v>
      </c>
      <c r="D321">
        <v>153.19999999999999</v>
      </c>
      <c r="E321">
        <v>-0.700464420870333</v>
      </c>
      <c r="F321" t="s">
        <v>18</v>
      </c>
      <c r="G321" t="s">
        <v>19</v>
      </c>
      <c r="H321">
        <v>1</v>
      </c>
      <c r="I321" t="s">
        <v>61</v>
      </c>
      <c r="J321" t="s">
        <v>19</v>
      </c>
      <c r="K321">
        <v>0.57999999999999996</v>
      </c>
      <c r="L321" t="s">
        <v>170</v>
      </c>
      <c r="M321" t="s">
        <v>19</v>
      </c>
      <c r="N321">
        <v>0.98</v>
      </c>
      <c r="O321" t="s">
        <v>376</v>
      </c>
      <c r="P321" t="s">
        <v>19</v>
      </c>
      <c r="Q321">
        <v>0.96399999999999997</v>
      </c>
      <c r="R321" t="s">
        <v>23</v>
      </c>
      <c r="S321">
        <v>4</v>
      </c>
    </row>
    <row r="322" spans="1:19">
      <c r="A322">
        <v>321</v>
      </c>
      <c r="B322" t="s">
        <v>52</v>
      </c>
      <c r="C322">
        <v>742.54179999999997</v>
      </c>
      <c r="D322">
        <v>272</v>
      </c>
      <c r="E322">
        <v>-0.71271352881740302</v>
      </c>
      <c r="F322" t="s">
        <v>18</v>
      </c>
      <c r="G322" t="s">
        <v>19</v>
      </c>
      <c r="H322">
        <v>1</v>
      </c>
      <c r="I322" t="s">
        <v>20</v>
      </c>
      <c r="J322" t="s">
        <v>19</v>
      </c>
      <c r="K322">
        <v>0.98</v>
      </c>
      <c r="L322" t="s">
        <v>21</v>
      </c>
      <c r="M322" t="s">
        <v>19</v>
      </c>
      <c r="N322">
        <v>0.9</v>
      </c>
      <c r="O322" t="s">
        <v>28</v>
      </c>
      <c r="P322" t="s">
        <v>19</v>
      </c>
      <c r="Q322">
        <v>0.997</v>
      </c>
      <c r="R322" t="s">
        <v>23</v>
      </c>
      <c r="S322">
        <v>4</v>
      </c>
    </row>
    <row r="323" spans="1:19">
      <c r="A323">
        <v>322</v>
      </c>
      <c r="B323" t="s">
        <v>377</v>
      </c>
      <c r="C323">
        <v>425.04340000000002</v>
      </c>
      <c r="D323">
        <v>182</v>
      </c>
      <c r="E323">
        <v>-0.56881697638380002</v>
      </c>
      <c r="F323" t="s">
        <v>18</v>
      </c>
      <c r="G323" t="s">
        <v>19</v>
      </c>
      <c r="H323">
        <v>1</v>
      </c>
      <c r="I323" t="s">
        <v>61</v>
      </c>
      <c r="J323" t="s">
        <v>19</v>
      </c>
      <c r="K323">
        <v>0.66</v>
      </c>
      <c r="L323" t="s">
        <v>206</v>
      </c>
      <c r="M323" t="s">
        <v>19</v>
      </c>
      <c r="N323">
        <v>0.95</v>
      </c>
      <c r="O323" t="s">
        <v>207</v>
      </c>
      <c r="P323" t="s">
        <v>19</v>
      </c>
      <c r="Q323">
        <v>0.98399999999999999</v>
      </c>
      <c r="R323" t="s">
        <v>23</v>
      </c>
      <c r="S323">
        <v>4</v>
      </c>
    </row>
    <row r="324" spans="1:19">
      <c r="A324">
        <v>323</v>
      </c>
      <c r="B324" t="s">
        <v>378</v>
      </c>
      <c r="C324">
        <v>307.26429999999999</v>
      </c>
      <c r="D324">
        <v>183.1</v>
      </c>
      <c r="E324">
        <v>-0.92122345642036396</v>
      </c>
      <c r="F324" t="s">
        <v>18</v>
      </c>
      <c r="G324" t="s">
        <v>19</v>
      </c>
      <c r="H324">
        <v>1</v>
      </c>
      <c r="I324" t="s">
        <v>20</v>
      </c>
      <c r="J324" t="s">
        <v>19</v>
      </c>
      <c r="K324">
        <v>0.98</v>
      </c>
      <c r="L324" t="s">
        <v>25</v>
      </c>
      <c r="M324" t="s">
        <v>19</v>
      </c>
      <c r="N324">
        <v>0.99</v>
      </c>
      <c r="O324" t="s">
        <v>26</v>
      </c>
      <c r="P324" t="s">
        <v>19</v>
      </c>
      <c r="Q324">
        <v>0.99299999999999999</v>
      </c>
      <c r="R324" t="s">
        <v>23</v>
      </c>
      <c r="S324">
        <v>4</v>
      </c>
    </row>
    <row r="325" spans="1:19">
      <c r="A325">
        <v>324</v>
      </c>
      <c r="B325" t="s">
        <v>379</v>
      </c>
      <c r="C325">
        <v>693.35699999999997</v>
      </c>
      <c r="D325">
        <v>253.6</v>
      </c>
      <c r="E325">
        <v>-0.582830911606948</v>
      </c>
      <c r="F325" t="s">
        <v>18</v>
      </c>
      <c r="G325" t="s">
        <v>19</v>
      </c>
      <c r="H325">
        <v>1</v>
      </c>
      <c r="I325" t="s">
        <v>39</v>
      </c>
      <c r="J325" t="s">
        <v>19</v>
      </c>
      <c r="K325">
        <v>0.94</v>
      </c>
      <c r="L325" t="s">
        <v>40</v>
      </c>
      <c r="M325" t="s">
        <v>19</v>
      </c>
      <c r="N325">
        <v>0.94</v>
      </c>
      <c r="O325" t="s">
        <v>41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325</v>
      </c>
      <c r="B326" t="s">
        <v>380</v>
      </c>
      <c r="C326">
        <v>304.90949999999998</v>
      </c>
      <c r="D326">
        <v>160.19999999999999</v>
      </c>
      <c r="E326">
        <v>-0.56905271287752202</v>
      </c>
      <c r="F326" t="s">
        <v>18</v>
      </c>
      <c r="G326" t="s">
        <v>19</v>
      </c>
      <c r="H326">
        <v>1</v>
      </c>
      <c r="I326" t="s">
        <v>77</v>
      </c>
      <c r="J326" t="s">
        <v>19</v>
      </c>
      <c r="K326">
        <v>0.98</v>
      </c>
      <c r="L326" t="s">
        <v>78</v>
      </c>
      <c r="M326" t="s">
        <v>19</v>
      </c>
      <c r="N326">
        <v>1</v>
      </c>
      <c r="O326" t="s">
        <v>129</v>
      </c>
      <c r="P326" t="s">
        <v>19</v>
      </c>
      <c r="Q326">
        <v>0.91</v>
      </c>
      <c r="R326" t="s">
        <v>23</v>
      </c>
      <c r="S326">
        <v>4</v>
      </c>
    </row>
    <row r="327" spans="1:19">
      <c r="A327">
        <v>326</v>
      </c>
      <c r="B327" t="s">
        <v>381</v>
      </c>
      <c r="C327">
        <v>814.71360000000004</v>
      </c>
      <c r="D327">
        <v>303.5</v>
      </c>
      <c r="E327">
        <v>-0.80392996708280895</v>
      </c>
      <c r="F327" t="s">
        <v>18</v>
      </c>
      <c r="G327" t="s">
        <v>19</v>
      </c>
      <c r="H327">
        <v>1</v>
      </c>
      <c r="I327" t="s">
        <v>20</v>
      </c>
      <c r="J327" t="s">
        <v>19</v>
      </c>
      <c r="K327">
        <v>1</v>
      </c>
      <c r="L327" t="s">
        <v>30</v>
      </c>
      <c r="M327" t="s">
        <v>19</v>
      </c>
      <c r="N327">
        <v>1</v>
      </c>
      <c r="O327" t="s">
        <v>91</v>
      </c>
      <c r="P327" t="s">
        <v>19</v>
      </c>
      <c r="Q327">
        <v>0.67800000000000005</v>
      </c>
      <c r="R327" t="s">
        <v>23</v>
      </c>
      <c r="S327">
        <v>4</v>
      </c>
    </row>
    <row r="328" spans="1:19">
      <c r="A328">
        <v>327</v>
      </c>
      <c r="B328" t="s">
        <v>114</v>
      </c>
      <c r="C328">
        <v>926.51130000000001</v>
      </c>
      <c r="D328">
        <v>314.39999999999998</v>
      </c>
      <c r="E328">
        <v>-0.47680203069000998</v>
      </c>
      <c r="F328" t="s">
        <v>18</v>
      </c>
      <c r="G328" t="s">
        <v>19</v>
      </c>
      <c r="H328">
        <v>1</v>
      </c>
      <c r="I328" t="s">
        <v>45</v>
      </c>
      <c r="J328" t="s">
        <v>19</v>
      </c>
      <c r="K328">
        <v>1</v>
      </c>
      <c r="L328" t="s">
        <v>46</v>
      </c>
      <c r="M328" t="s">
        <v>19</v>
      </c>
      <c r="N328">
        <v>1</v>
      </c>
      <c r="O328" t="s">
        <v>47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328</v>
      </c>
      <c r="B329" t="s">
        <v>382</v>
      </c>
      <c r="C329">
        <v>154.08500000000001</v>
      </c>
      <c r="D329">
        <v>142.69999999999999</v>
      </c>
      <c r="E329">
        <v>-0.91295609767402697</v>
      </c>
      <c r="F329" t="s">
        <v>18</v>
      </c>
      <c r="G329" t="s">
        <v>19</v>
      </c>
      <c r="H329">
        <v>1</v>
      </c>
      <c r="I329" t="s">
        <v>77</v>
      </c>
      <c r="J329" t="s">
        <v>19</v>
      </c>
      <c r="K329">
        <v>0.6</v>
      </c>
      <c r="L329" t="s">
        <v>297</v>
      </c>
      <c r="M329" t="s">
        <v>19</v>
      </c>
      <c r="N329">
        <v>0.87</v>
      </c>
      <c r="O329" t="s">
        <v>298</v>
      </c>
      <c r="P329" t="s">
        <v>19</v>
      </c>
      <c r="Q329">
        <v>0.999</v>
      </c>
      <c r="R329" t="s">
        <v>23</v>
      </c>
      <c r="S329">
        <v>4</v>
      </c>
    </row>
    <row r="330" spans="1:19">
      <c r="A330">
        <v>329</v>
      </c>
      <c r="B330" t="s">
        <v>142</v>
      </c>
      <c r="C330">
        <v>185.0403</v>
      </c>
      <c r="D330">
        <v>135.9</v>
      </c>
      <c r="E330">
        <v>-0.83369289807850999</v>
      </c>
      <c r="F330" t="s">
        <v>18</v>
      </c>
      <c r="G330" t="s">
        <v>19</v>
      </c>
      <c r="H330">
        <v>1</v>
      </c>
      <c r="I330" t="s">
        <v>20</v>
      </c>
      <c r="J330" t="s">
        <v>19</v>
      </c>
      <c r="K330">
        <v>0.56999999999999995</v>
      </c>
      <c r="L330" t="s">
        <v>25</v>
      </c>
      <c r="M330" t="s">
        <v>19</v>
      </c>
      <c r="N330">
        <v>0.93</v>
      </c>
      <c r="O330" t="s">
        <v>26</v>
      </c>
      <c r="P330" t="s">
        <v>19</v>
      </c>
      <c r="Q330">
        <v>0.78900000000000003</v>
      </c>
      <c r="R330" t="s">
        <v>23</v>
      </c>
      <c r="S330">
        <v>4</v>
      </c>
    </row>
    <row r="331" spans="1:19">
      <c r="A331">
        <v>330</v>
      </c>
      <c r="B331" t="s">
        <v>383</v>
      </c>
      <c r="C331">
        <v>160.07849999999999</v>
      </c>
      <c r="D331">
        <v>133</v>
      </c>
      <c r="E331">
        <v>-0.89976404375187302</v>
      </c>
      <c r="F331" t="s">
        <v>18</v>
      </c>
      <c r="G331" t="s">
        <v>19</v>
      </c>
      <c r="H331">
        <v>1</v>
      </c>
      <c r="I331" t="s">
        <v>61</v>
      </c>
      <c r="J331" t="s">
        <v>19</v>
      </c>
      <c r="K331">
        <v>0.72</v>
      </c>
      <c r="L331" t="s">
        <v>62</v>
      </c>
      <c r="M331" t="s">
        <v>19</v>
      </c>
      <c r="N331">
        <v>0.95</v>
      </c>
      <c r="O331" t="s">
        <v>63</v>
      </c>
      <c r="P331" t="s">
        <v>19</v>
      </c>
      <c r="Q331">
        <v>0.96199999999999997</v>
      </c>
      <c r="R331" t="s">
        <v>23</v>
      </c>
      <c r="S331">
        <v>4</v>
      </c>
    </row>
    <row r="332" spans="1:19">
      <c r="A332">
        <v>331</v>
      </c>
      <c r="B332" t="s">
        <v>384</v>
      </c>
      <c r="C332">
        <v>148.06020000000001</v>
      </c>
      <c r="D332">
        <v>130.5</v>
      </c>
      <c r="E332">
        <v>-0.89488309967117596</v>
      </c>
      <c r="F332" t="s">
        <v>18</v>
      </c>
      <c r="G332" t="s">
        <v>19</v>
      </c>
      <c r="H332">
        <v>1</v>
      </c>
      <c r="I332" t="s">
        <v>39</v>
      </c>
      <c r="J332" t="s">
        <v>19</v>
      </c>
      <c r="K332">
        <v>0.85</v>
      </c>
      <c r="L332" t="s">
        <v>40</v>
      </c>
      <c r="M332" t="s">
        <v>19</v>
      </c>
      <c r="N332">
        <v>1</v>
      </c>
      <c r="O332" t="s">
        <v>41</v>
      </c>
      <c r="P332" t="s">
        <v>19</v>
      </c>
      <c r="Q332">
        <v>1</v>
      </c>
      <c r="R332" t="s">
        <v>23</v>
      </c>
      <c r="S332">
        <v>4</v>
      </c>
    </row>
    <row r="333" spans="1:19">
      <c r="A333">
        <v>332</v>
      </c>
      <c r="B333" t="s">
        <v>385</v>
      </c>
      <c r="C333">
        <v>174.05670000000001</v>
      </c>
      <c r="D333">
        <v>132.30000000000001</v>
      </c>
      <c r="E333">
        <v>-0.86235665772798598</v>
      </c>
      <c r="F333" t="s">
        <v>18</v>
      </c>
      <c r="G333" t="s">
        <v>19</v>
      </c>
      <c r="H333">
        <v>1</v>
      </c>
      <c r="I333" t="s">
        <v>61</v>
      </c>
      <c r="J333" t="s">
        <v>19</v>
      </c>
      <c r="K333">
        <v>0.74</v>
      </c>
      <c r="L333" t="s">
        <v>131</v>
      </c>
      <c r="M333" t="s">
        <v>19</v>
      </c>
      <c r="N333">
        <v>0.77</v>
      </c>
      <c r="O333" t="s">
        <v>132</v>
      </c>
      <c r="P333" t="s">
        <v>19</v>
      </c>
      <c r="Q333">
        <v>0.98099999999999998</v>
      </c>
      <c r="R333" t="s">
        <v>23</v>
      </c>
      <c r="S333">
        <v>4</v>
      </c>
    </row>
    <row r="334" spans="1:19">
      <c r="A334">
        <v>333</v>
      </c>
      <c r="B334" t="s">
        <v>273</v>
      </c>
      <c r="C334">
        <v>1058.5604000000001</v>
      </c>
      <c r="D334">
        <v>319.7</v>
      </c>
      <c r="E334">
        <v>-0.37846235477991302</v>
      </c>
      <c r="F334" t="s">
        <v>18</v>
      </c>
      <c r="G334" t="s">
        <v>19</v>
      </c>
      <c r="H334">
        <v>0.998</v>
      </c>
      <c r="I334" t="s">
        <v>39</v>
      </c>
      <c r="J334" t="s">
        <v>19</v>
      </c>
      <c r="K334">
        <v>1</v>
      </c>
      <c r="L334" t="s">
        <v>40</v>
      </c>
      <c r="M334" t="s">
        <v>19</v>
      </c>
      <c r="N334">
        <v>1</v>
      </c>
      <c r="O334" t="s">
        <v>41</v>
      </c>
      <c r="P334" t="s">
        <v>19</v>
      </c>
      <c r="Q334">
        <v>1</v>
      </c>
      <c r="R334" t="s">
        <v>23</v>
      </c>
      <c r="S334">
        <v>4</v>
      </c>
    </row>
    <row r="335" spans="1:19">
      <c r="A335">
        <v>334</v>
      </c>
      <c r="B335" t="s">
        <v>386</v>
      </c>
      <c r="C335">
        <v>574.61279999999999</v>
      </c>
      <c r="D335">
        <v>183.7</v>
      </c>
      <c r="E335">
        <v>-0.97121497589989803</v>
      </c>
      <c r="F335" t="s">
        <v>18</v>
      </c>
      <c r="G335" t="s">
        <v>19</v>
      </c>
      <c r="H335">
        <v>1</v>
      </c>
      <c r="I335" t="s">
        <v>77</v>
      </c>
      <c r="J335" t="s">
        <v>19</v>
      </c>
      <c r="K335">
        <v>1</v>
      </c>
      <c r="L335" t="s">
        <v>78</v>
      </c>
      <c r="M335" t="s">
        <v>19</v>
      </c>
      <c r="N335">
        <v>1</v>
      </c>
      <c r="O335" t="s">
        <v>79</v>
      </c>
      <c r="P335" t="s">
        <v>19</v>
      </c>
      <c r="Q335">
        <v>1</v>
      </c>
      <c r="R335" t="s">
        <v>23</v>
      </c>
      <c r="S335">
        <v>4</v>
      </c>
    </row>
    <row r="336" spans="1:19">
      <c r="A336">
        <v>335</v>
      </c>
      <c r="B336" t="s">
        <v>387</v>
      </c>
      <c r="C336">
        <v>315.23239999999998</v>
      </c>
      <c r="D336">
        <v>185.5</v>
      </c>
      <c r="E336">
        <v>-0.88042665908045603</v>
      </c>
      <c r="F336" t="s">
        <v>18</v>
      </c>
      <c r="G336" t="s">
        <v>19</v>
      </c>
      <c r="H336">
        <v>1</v>
      </c>
      <c r="I336" t="s">
        <v>20</v>
      </c>
      <c r="J336" t="s">
        <v>19</v>
      </c>
      <c r="K336">
        <v>1</v>
      </c>
      <c r="L336" t="s">
        <v>149</v>
      </c>
      <c r="M336" t="s">
        <v>19</v>
      </c>
      <c r="N336">
        <v>0.7</v>
      </c>
      <c r="O336" t="s">
        <v>152</v>
      </c>
      <c r="P336" t="s">
        <v>19</v>
      </c>
      <c r="Q336">
        <v>0.95299999999999996</v>
      </c>
      <c r="R336" t="s">
        <v>23</v>
      </c>
      <c r="S336">
        <v>4</v>
      </c>
    </row>
    <row r="337" spans="1:19">
      <c r="A337">
        <v>336</v>
      </c>
      <c r="B337" t="s">
        <v>388</v>
      </c>
      <c r="C337">
        <v>156.06780000000001</v>
      </c>
      <c r="D337">
        <v>134.1</v>
      </c>
      <c r="E337">
        <v>-0.89354219853046901</v>
      </c>
      <c r="F337" t="s">
        <v>18</v>
      </c>
      <c r="G337" t="s">
        <v>19</v>
      </c>
      <c r="H337">
        <v>1</v>
      </c>
      <c r="I337" t="s">
        <v>39</v>
      </c>
      <c r="J337" t="s">
        <v>19</v>
      </c>
      <c r="K337">
        <v>0.91</v>
      </c>
      <c r="L337" t="s">
        <v>40</v>
      </c>
      <c r="M337" t="s">
        <v>19</v>
      </c>
      <c r="N337">
        <v>1</v>
      </c>
      <c r="O337" t="s">
        <v>41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337</v>
      </c>
      <c r="B338" t="s">
        <v>389</v>
      </c>
      <c r="C338">
        <v>652.52329999999995</v>
      </c>
      <c r="D338">
        <v>190.4</v>
      </c>
      <c r="E338">
        <v>-0.794723857671784</v>
      </c>
      <c r="F338" t="s">
        <v>18</v>
      </c>
      <c r="G338" t="s">
        <v>19</v>
      </c>
      <c r="H338">
        <v>0.93200000000000005</v>
      </c>
      <c r="I338" t="s">
        <v>77</v>
      </c>
      <c r="J338" t="s">
        <v>19</v>
      </c>
      <c r="K338">
        <v>0.8</v>
      </c>
      <c r="L338" t="s">
        <v>78</v>
      </c>
      <c r="M338" t="s">
        <v>19</v>
      </c>
      <c r="N338">
        <v>0.97</v>
      </c>
      <c r="O338" t="s">
        <v>79</v>
      </c>
      <c r="P338" t="s">
        <v>19</v>
      </c>
      <c r="Q338">
        <v>0.93</v>
      </c>
      <c r="R338" t="s">
        <v>23</v>
      </c>
      <c r="S338">
        <v>4</v>
      </c>
    </row>
    <row r="339" spans="1:19">
      <c r="A339">
        <v>338</v>
      </c>
      <c r="B339" t="s">
        <v>390</v>
      </c>
      <c r="C339">
        <v>227.07859999999999</v>
      </c>
      <c r="D339">
        <v>147.19999999999999</v>
      </c>
      <c r="E339">
        <v>-0.82505495357287395</v>
      </c>
      <c r="F339" t="s">
        <v>18</v>
      </c>
      <c r="G339" t="s">
        <v>19</v>
      </c>
      <c r="H339">
        <v>1</v>
      </c>
      <c r="I339" t="s">
        <v>61</v>
      </c>
      <c r="J339" t="s">
        <v>19</v>
      </c>
      <c r="K339">
        <v>0.91</v>
      </c>
      <c r="L339" t="s">
        <v>62</v>
      </c>
      <c r="M339" t="s">
        <v>19</v>
      </c>
      <c r="N339">
        <v>0.9</v>
      </c>
      <c r="O339" t="s">
        <v>278</v>
      </c>
      <c r="P339" t="s">
        <v>19</v>
      </c>
      <c r="Q339">
        <v>0.84399999999999997</v>
      </c>
      <c r="R339" t="s">
        <v>23</v>
      </c>
      <c r="S339">
        <v>4</v>
      </c>
    </row>
    <row r="340" spans="1:19">
      <c r="A340">
        <v>339</v>
      </c>
      <c r="B340" t="s">
        <v>105</v>
      </c>
      <c r="C340">
        <v>511.0926</v>
      </c>
      <c r="D340">
        <v>208.1</v>
      </c>
      <c r="E340">
        <v>-0.52193857705856295</v>
      </c>
      <c r="F340" t="s">
        <v>18</v>
      </c>
      <c r="G340" t="s">
        <v>19</v>
      </c>
      <c r="H340">
        <v>0.93400000000000005</v>
      </c>
      <c r="I340" t="s">
        <v>72</v>
      </c>
      <c r="J340" t="s">
        <v>19</v>
      </c>
      <c r="K340">
        <v>0.9</v>
      </c>
      <c r="L340" t="s">
        <v>73</v>
      </c>
      <c r="M340" t="s">
        <v>19</v>
      </c>
      <c r="N340">
        <v>0.96</v>
      </c>
      <c r="O340" t="s">
        <v>74</v>
      </c>
      <c r="P340" t="s">
        <v>19</v>
      </c>
      <c r="Q340">
        <v>0.98599999999999999</v>
      </c>
      <c r="R340" t="s">
        <v>23</v>
      </c>
      <c r="S340">
        <v>4</v>
      </c>
    </row>
    <row r="341" spans="1:19">
      <c r="A341">
        <v>340</v>
      </c>
      <c r="B341" t="s">
        <v>377</v>
      </c>
      <c r="C341">
        <v>423.03059999999999</v>
      </c>
      <c r="D341">
        <v>178.1</v>
      </c>
      <c r="E341">
        <v>-0.55826437208486401</v>
      </c>
      <c r="F341" t="s">
        <v>18</v>
      </c>
      <c r="G341" t="s">
        <v>19</v>
      </c>
      <c r="H341">
        <v>1</v>
      </c>
      <c r="I341" t="s">
        <v>61</v>
      </c>
      <c r="J341" t="s">
        <v>19</v>
      </c>
      <c r="K341">
        <v>0.69</v>
      </c>
      <c r="L341" t="s">
        <v>206</v>
      </c>
      <c r="M341" t="s">
        <v>19</v>
      </c>
      <c r="N341">
        <v>0.97</v>
      </c>
      <c r="O341" t="s">
        <v>207</v>
      </c>
      <c r="P341" t="s">
        <v>19</v>
      </c>
      <c r="Q341">
        <v>0.98699999999999999</v>
      </c>
      <c r="R341" t="s">
        <v>23</v>
      </c>
      <c r="S341">
        <v>4</v>
      </c>
    </row>
    <row r="342" spans="1:19">
      <c r="A342">
        <v>341</v>
      </c>
      <c r="B342" t="s">
        <v>391</v>
      </c>
      <c r="C342">
        <v>680.4502</v>
      </c>
      <c r="D342">
        <v>267.10000000000002</v>
      </c>
      <c r="E342">
        <v>-0.69044202390568898</v>
      </c>
      <c r="F342" t="s">
        <v>18</v>
      </c>
      <c r="G342" t="s">
        <v>19</v>
      </c>
      <c r="H342">
        <v>1</v>
      </c>
      <c r="I342" t="s">
        <v>20</v>
      </c>
      <c r="J342" t="s">
        <v>19</v>
      </c>
      <c r="K342">
        <v>0.98</v>
      </c>
      <c r="L342" t="s">
        <v>21</v>
      </c>
      <c r="M342" t="s">
        <v>19</v>
      </c>
      <c r="N342">
        <v>1</v>
      </c>
      <c r="O342" t="s">
        <v>22</v>
      </c>
      <c r="P342" t="s">
        <v>19</v>
      </c>
      <c r="Q342">
        <v>0.67500000000000004</v>
      </c>
      <c r="R342" t="s">
        <v>23</v>
      </c>
      <c r="S342">
        <v>4</v>
      </c>
    </row>
    <row r="343" spans="1:19">
      <c r="A343">
        <v>342</v>
      </c>
      <c r="B343" t="s">
        <v>392</v>
      </c>
      <c r="C343">
        <v>211.06970000000001</v>
      </c>
      <c r="D343">
        <v>140.30000000000001</v>
      </c>
      <c r="E343">
        <v>-0.83402972157722399</v>
      </c>
      <c r="F343" t="s">
        <v>18</v>
      </c>
      <c r="G343" t="s">
        <v>19</v>
      </c>
      <c r="H343">
        <v>1</v>
      </c>
      <c r="I343" t="s">
        <v>39</v>
      </c>
      <c r="J343" t="s">
        <v>19</v>
      </c>
      <c r="K343">
        <v>0.7</v>
      </c>
      <c r="L343" t="s">
        <v>40</v>
      </c>
      <c r="M343" t="s">
        <v>19</v>
      </c>
      <c r="N343">
        <v>1</v>
      </c>
      <c r="O343" t="s">
        <v>41</v>
      </c>
      <c r="P343" t="s">
        <v>19</v>
      </c>
      <c r="Q343">
        <v>0.997</v>
      </c>
      <c r="R343" t="s">
        <v>23</v>
      </c>
      <c r="S343">
        <v>4</v>
      </c>
    </row>
    <row r="344" spans="1:19">
      <c r="A344">
        <v>343</v>
      </c>
      <c r="B344" t="s">
        <v>393</v>
      </c>
      <c r="C344">
        <v>154.06219999999999</v>
      </c>
      <c r="D344">
        <v>129.4</v>
      </c>
      <c r="E344">
        <v>-0.89018155505775098</v>
      </c>
      <c r="F344" t="s">
        <v>18</v>
      </c>
      <c r="G344" t="s">
        <v>19</v>
      </c>
      <c r="H344">
        <v>1</v>
      </c>
      <c r="I344" t="s">
        <v>39</v>
      </c>
      <c r="J344" t="s">
        <v>19</v>
      </c>
      <c r="K344">
        <v>0.88</v>
      </c>
      <c r="L344" t="s">
        <v>40</v>
      </c>
      <c r="M344" t="s">
        <v>19</v>
      </c>
      <c r="N344">
        <v>1</v>
      </c>
      <c r="O344" t="s">
        <v>41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344</v>
      </c>
      <c r="B345" t="s">
        <v>394</v>
      </c>
      <c r="C345">
        <v>152.05619999999999</v>
      </c>
      <c r="D345">
        <v>131</v>
      </c>
      <c r="E345">
        <v>-0.88642135820578005</v>
      </c>
      <c r="F345" t="s">
        <v>18</v>
      </c>
      <c r="G345" t="s">
        <v>19</v>
      </c>
      <c r="H345">
        <v>1</v>
      </c>
      <c r="I345" t="s">
        <v>39</v>
      </c>
      <c r="J345" t="s">
        <v>19</v>
      </c>
      <c r="K345">
        <v>0.83</v>
      </c>
      <c r="L345" t="s">
        <v>40</v>
      </c>
      <c r="M345" t="s">
        <v>19</v>
      </c>
      <c r="N345">
        <v>0.99</v>
      </c>
      <c r="O345" t="s">
        <v>41</v>
      </c>
      <c r="P345" t="s">
        <v>19</v>
      </c>
      <c r="Q345">
        <v>1</v>
      </c>
      <c r="R345" t="s">
        <v>23</v>
      </c>
      <c r="S345">
        <v>4</v>
      </c>
    </row>
    <row r="346" spans="1:19">
      <c r="A346">
        <v>345</v>
      </c>
      <c r="B346" t="s">
        <v>395</v>
      </c>
      <c r="C346">
        <v>365.04579999999999</v>
      </c>
      <c r="D346">
        <v>179.9</v>
      </c>
      <c r="E346">
        <v>-0.63820741175510398</v>
      </c>
      <c r="F346" t="s">
        <v>18</v>
      </c>
      <c r="G346" t="s">
        <v>19</v>
      </c>
      <c r="H346">
        <v>1</v>
      </c>
      <c r="I346" t="s">
        <v>61</v>
      </c>
      <c r="J346" t="s">
        <v>19</v>
      </c>
      <c r="K346">
        <v>0.62</v>
      </c>
      <c r="L346" t="s">
        <v>206</v>
      </c>
      <c r="M346" t="s">
        <v>19</v>
      </c>
      <c r="N346">
        <v>0.98</v>
      </c>
      <c r="O346" t="s">
        <v>207</v>
      </c>
      <c r="P346" t="s">
        <v>19</v>
      </c>
      <c r="Q346">
        <v>1</v>
      </c>
      <c r="R346" t="s">
        <v>23</v>
      </c>
      <c r="S346">
        <v>4</v>
      </c>
    </row>
    <row r="347" spans="1:19">
      <c r="A347">
        <v>346</v>
      </c>
      <c r="B347" t="s">
        <v>396</v>
      </c>
      <c r="C347">
        <v>318.05239999999998</v>
      </c>
      <c r="D347">
        <v>177.4</v>
      </c>
      <c r="E347">
        <v>-0.697277982670926</v>
      </c>
      <c r="F347" t="s">
        <v>18</v>
      </c>
      <c r="G347" t="s">
        <v>19</v>
      </c>
      <c r="H347">
        <v>1</v>
      </c>
      <c r="I347" t="s">
        <v>77</v>
      </c>
      <c r="J347" t="s">
        <v>19</v>
      </c>
      <c r="K347">
        <v>0.7</v>
      </c>
      <c r="L347" t="s">
        <v>78</v>
      </c>
      <c r="M347" t="s">
        <v>19</v>
      </c>
      <c r="N347">
        <v>0.99</v>
      </c>
      <c r="O347" t="s">
        <v>275</v>
      </c>
      <c r="P347" t="s">
        <v>19</v>
      </c>
      <c r="Q347">
        <v>0.97899999999999998</v>
      </c>
      <c r="R347" t="s">
        <v>23</v>
      </c>
      <c r="S347">
        <v>4</v>
      </c>
    </row>
    <row r="348" spans="1:19">
      <c r="A348">
        <v>347</v>
      </c>
      <c r="B348" t="s">
        <v>397</v>
      </c>
      <c r="C348">
        <v>253.00890000000001</v>
      </c>
      <c r="D348">
        <v>153.4</v>
      </c>
      <c r="E348">
        <v>-0.72640242736667904</v>
      </c>
      <c r="F348" t="s">
        <v>18</v>
      </c>
      <c r="G348" t="s">
        <v>19</v>
      </c>
      <c r="H348">
        <v>1</v>
      </c>
      <c r="I348" t="s">
        <v>45</v>
      </c>
      <c r="J348" t="s">
        <v>19</v>
      </c>
      <c r="K348">
        <v>0.92</v>
      </c>
      <c r="L348" t="s">
        <v>46</v>
      </c>
      <c r="M348" t="s">
        <v>19</v>
      </c>
      <c r="N348">
        <v>1</v>
      </c>
      <c r="O348" t="s">
        <v>47</v>
      </c>
      <c r="P348" t="s">
        <v>19</v>
      </c>
      <c r="Q348">
        <v>1</v>
      </c>
      <c r="R348" t="s">
        <v>23</v>
      </c>
      <c r="S348">
        <v>4</v>
      </c>
    </row>
    <row r="349" spans="1:19">
      <c r="A349">
        <v>348</v>
      </c>
      <c r="B349" t="s">
        <v>398</v>
      </c>
      <c r="C349">
        <v>822.01670000000001</v>
      </c>
      <c r="D349">
        <v>230.21</v>
      </c>
      <c r="E349">
        <v>-9.8875676768443596E-2</v>
      </c>
      <c r="F349" t="s">
        <v>18</v>
      </c>
      <c r="G349" t="s">
        <v>19</v>
      </c>
      <c r="H349">
        <v>0.99199999999999999</v>
      </c>
      <c r="I349" t="s">
        <v>34</v>
      </c>
      <c r="J349" t="s">
        <v>19</v>
      </c>
      <c r="K349">
        <v>0.61</v>
      </c>
      <c r="L349" t="s">
        <v>35</v>
      </c>
      <c r="M349" t="s">
        <v>19</v>
      </c>
      <c r="N349">
        <v>0.89</v>
      </c>
      <c r="O349" t="s">
        <v>36</v>
      </c>
      <c r="P349" t="s">
        <v>19</v>
      </c>
      <c r="Q349">
        <v>0.999</v>
      </c>
      <c r="R349" t="s">
        <v>23</v>
      </c>
      <c r="S349">
        <v>4</v>
      </c>
    </row>
    <row r="350" spans="1:19">
      <c r="A350">
        <v>349</v>
      </c>
      <c r="B350" t="s">
        <v>399</v>
      </c>
      <c r="C350">
        <v>802.53380000000004</v>
      </c>
      <c r="D350">
        <v>286.3</v>
      </c>
      <c r="E350">
        <v>-0.63772934613689403</v>
      </c>
      <c r="F350" t="s">
        <v>18</v>
      </c>
      <c r="G350" t="s">
        <v>19</v>
      </c>
      <c r="H350">
        <v>1</v>
      </c>
      <c r="I350" t="s">
        <v>20</v>
      </c>
      <c r="J350" t="s">
        <v>19</v>
      </c>
      <c r="K350">
        <v>1</v>
      </c>
      <c r="L350" t="s">
        <v>21</v>
      </c>
      <c r="M350" t="s">
        <v>19</v>
      </c>
      <c r="N350">
        <v>1</v>
      </c>
      <c r="O350" t="s">
        <v>28</v>
      </c>
      <c r="P350" t="s">
        <v>19</v>
      </c>
      <c r="Q350">
        <v>0.76400000000000001</v>
      </c>
      <c r="R350" t="s">
        <v>23</v>
      </c>
      <c r="S350">
        <v>4</v>
      </c>
    </row>
    <row r="351" spans="1:19">
      <c r="A351">
        <v>350</v>
      </c>
      <c r="B351" t="s">
        <v>400</v>
      </c>
      <c r="C351">
        <v>391.35520000000002</v>
      </c>
      <c r="D351">
        <v>215.5</v>
      </c>
      <c r="E351">
        <v>-0.91823160071669496</v>
      </c>
      <c r="F351" t="s">
        <v>18</v>
      </c>
      <c r="G351" t="s">
        <v>19</v>
      </c>
      <c r="H351">
        <v>1</v>
      </c>
      <c r="I351" t="s">
        <v>20</v>
      </c>
      <c r="J351" t="s">
        <v>19</v>
      </c>
      <c r="K351">
        <v>0.86</v>
      </c>
      <c r="L351" t="s">
        <v>25</v>
      </c>
      <c r="M351" t="s">
        <v>19</v>
      </c>
      <c r="N351">
        <v>0.95</v>
      </c>
      <c r="O351" t="s">
        <v>26</v>
      </c>
      <c r="P351" t="s">
        <v>19</v>
      </c>
      <c r="Q351">
        <v>0.67400000000000004</v>
      </c>
      <c r="R351" t="s">
        <v>23</v>
      </c>
      <c r="S351">
        <v>4</v>
      </c>
    </row>
    <row r="352" spans="1:19">
      <c r="A352">
        <v>351</v>
      </c>
      <c r="B352" t="s">
        <v>401</v>
      </c>
      <c r="C352">
        <v>505.98930000000001</v>
      </c>
      <c r="D352">
        <v>188.3</v>
      </c>
      <c r="E352">
        <v>-0.42433667646304202</v>
      </c>
      <c r="F352" t="s">
        <v>18</v>
      </c>
      <c r="G352" t="s">
        <v>19</v>
      </c>
      <c r="H352">
        <v>1</v>
      </c>
      <c r="I352" t="s">
        <v>72</v>
      </c>
      <c r="J352" t="s">
        <v>19</v>
      </c>
      <c r="K352">
        <v>0.96</v>
      </c>
      <c r="L352" t="s">
        <v>138</v>
      </c>
      <c r="M352" t="s">
        <v>19</v>
      </c>
      <c r="N352">
        <v>0.83</v>
      </c>
      <c r="O352" t="s">
        <v>214</v>
      </c>
      <c r="P352" t="s">
        <v>19</v>
      </c>
      <c r="Q352">
        <v>0.78200000000000003</v>
      </c>
      <c r="R352" t="s">
        <v>23</v>
      </c>
      <c r="S352">
        <v>4</v>
      </c>
    </row>
    <row r="353" spans="1:19">
      <c r="A353">
        <v>352</v>
      </c>
      <c r="B353" t="s">
        <v>402</v>
      </c>
      <c r="C353">
        <v>185.08959999999999</v>
      </c>
      <c r="D353">
        <v>137.69999999999999</v>
      </c>
      <c r="E353">
        <v>-0.88293785206894904</v>
      </c>
      <c r="F353" t="s">
        <v>18</v>
      </c>
      <c r="G353" t="s">
        <v>19</v>
      </c>
      <c r="H353">
        <v>1</v>
      </c>
      <c r="I353" t="s">
        <v>39</v>
      </c>
      <c r="J353" t="s">
        <v>19</v>
      </c>
      <c r="K353">
        <v>0.72</v>
      </c>
      <c r="L353" t="s">
        <v>40</v>
      </c>
      <c r="M353" t="s">
        <v>19</v>
      </c>
      <c r="N353">
        <v>1</v>
      </c>
      <c r="O353" t="s">
        <v>41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353</v>
      </c>
      <c r="B354" t="s">
        <v>27</v>
      </c>
      <c r="C354">
        <v>760.48689999999999</v>
      </c>
      <c r="D354">
        <v>274.39999999999998</v>
      </c>
      <c r="E354">
        <v>-0.63777689298899498</v>
      </c>
      <c r="F354" t="s">
        <v>18</v>
      </c>
      <c r="G354" t="s">
        <v>19</v>
      </c>
      <c r="H354">
        <v>1</v>
      </c>
      <c r="I354" t="s">
        <v>20</v>
      </c>
      <c r="J354" t="s">
        <v>19</v>
      </c>
      <c r="K354">
        <v>0.93</v>
      </c>
      <c r="L354" t="s">
        <v>21</v>
      </c>
      <c r="M354" t="s">
        <v>19</v>
      </c>
      <c r="N354">
        <v>1</v>
      </c>
      <c r="O354" t="s">
        <v>28</v>
      </c>
      <c r="P354" t="s">
        <v>19</v>
      </c>
      <c r="Q354">
        <v>0.92800000000000005</v>
      </c>
      <c r="R354" t="s">
        <v>23</v>
      </c>
      <c r="S354">
        <v>4</v>
      </c>
    </row>
    <row r="355" spans="1:19">
      <c r="A355">
        <v>354</v>
      </c>
      <c r="B355" t="s">
        <v>403</v>
      </c>
      <c r="C355">
        <v>187.05590000000001</v>
      </c>
      <c r="D355">
        <v>136.80000000000001</v>
      </c>
      <c r="E355">
        <v>-0.84704237603207799</v>
      </c>
      <c r="F355" t="s">
        <v>18</v>
      </c>
      <c r="G355" t="s">
        <v>19</v>
      </c>
      <c r="H355">
        <v>1</v>
      </c>
      <c r="I355" t="s">
        <v>45</v>
      </c>
      <c r="J355" t="s">
        <v>19</v>
      </c>
      <c r="K355">
        <v>0.8</v>
      </c>
      <c r="L355" t="s">
        <v>46</v>
      </c>
      <c r="M355" t="s">
        <v>19</v>
      </c>
      <c r="N355">
        <v>1</v>
      </c>
      <c r="O355" t="s">
        <v>47</v>
      </c>
      <c r="P355" t="s">
        <v>19</v>
      </c>
      <c r="Q355">
        <v>0.97399999999999998</v>
      </c>
      <c r="R355" t="s">
        <v>23</v>
      </c>
      <c r="S355">
        <v>4</v>
      </c>
    </row>
  </sheetData>
  <autoFilter ref="A1:S1" xr:uid="{00000000-0009-0000-0000-000000000000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2"/>
  <sheetViews>
    <sheetView topLeftCell="A5" workbookViewId="0">
      <selection activeCell="A44" sqref="A44"/>
    </sheetView>
  </sheetViews>
  <sheetFormatPr baseColWidth="10" defaultRowHeight="16"/>
  <sheetData>
    <row r="1" spans="1:13">
      <c r="A1" s="1" t="s">
        <v>4</v>
      </c>
      <c r="B1" t="s">
        <v>97</v>
      </c>
      <c r="C1" t="s">
        <v>18</v>
      </c>
      <c r="D1" t="s">
        <v>406</v>
      </c>
    </row>
    <row r="2" spans="1:13">
      <c r="A2" t="s">
        <v>97</v>
      </c>
      <c r="B2">
        <v>34</v>
      </c>
      <c r="C2">
        <v>17</v>
      </c>
      <c r="D2">
        <v>0.33333333333333298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1" t="s">
        <v>7</v>
      </c>
      <c r="B5" t="s">
        <v>77</v>
      </c>
      <c r="C5" t="s">
        <v>20</v>
      </c>
      <c r="D5" t="s">
        <v>98</v>
      </c>
      <c r="E5" t="s">
        <v>72</v>
      </c>
      <c r="F5" t="s">
        <v>39</v>
      </c>
      <c r="G5" t="s">
        <v>178</v>
      </c>
      <c r="H5" t="s">
        <v>45</v>
      </c>
      <c r="I5" t="s">
        <v>407</v>
      </c>
      <c r="J5" t="s">
        <v>34</v>
      </c>
      <c r="K5" t="s">
        <v>61</v>
      </c>
      <c r="L5" t="s">
        <v>82</v>
      </c>
      <c r="M5" t="s">
        <v>406</v>
      </c>
    </row>
    <row r="6" spans="1:13">
      <c r="A6" t="s">
        <v>77</v>
      </c>
      <c r="B6">
        <v>101</v>
      </c>
      <c r="C6">
        <v>9</v>
      </c>
      <c r="D6">
        <v>1</v>
      </c>
      <c r="E6">
        <v>1</v>
      </c>
      <c r="F6">
        <v>25</v>
      </c>
      <c r="G6">
        <v>0</v>
      </c>
      <c r="H6">
        <v>14</v>
      </c>
      <c r="I6">
        <v>0</v>
      </c>
      <c r="J6">
        <v>1</v>
      </c>
      <c r="K6">
        <v>14</v>
      </c>
      <c r="L6">
        <v>2</v>
      </c>
      <c r="M6">
        <v>0.398809523809524</v>
      </c>
    </row>
    <row r="7" spans="1:13">
      <c r="A7" t="s">
        <v>20</v>
      </c>
      <c r="B7">
        <v>6</v>
      </c>
      <c r="C7">
        <v>798</v>
      </c>
      <c r="D7">
        <v>0</v>
      </c>
      <c r="E7">
        <v>0</v>
      </c>
      <c r="F7">
        <v>33</v>
      </c>
      <c r="G7">
        <v>0</v>
      </c>
      <c r="H7">
        <v>13</v>
      </c>
      <c r="I7">
        <v>1</v>
      </c>
      <c r="J7">
        <v>0</v>
      </c>
      <c r="K7">
        <v>6</v>
      </c>
      <c r="L7">
        <v>1</v>
      </c>
      <c r="M7">
        <v>6.9930069930069894E-2</v>
      </c>
    </row>
    <row r="8" spans="1:13">
      <c r="A8" t="s">
        <v>98</v>
      </c>
      <c r="B8">
        <v>0</v>
      </c>
      <c r="C8">
        <v>3</v>
      </c>
      <c r="D8">
        <v>41</v>
      </c>
      <c r="E8">
        <v>2</v>
      </c>
      <c r="F8">
        <v>1</v>
      </c>
      <c r="G8">
        <v>0</v>
      </c>
      <c r="H8">
        <v>2</v>
      </c>
      <c r="I8">
        <v>0</v>
      </c>
      <c r="J8">
        <v>2</v>
      </c>
      <c r="K8">
        <v>0</v>
      </c>
      <c r="L8">
        <v>0</v>
      </c>
      <c r="M8">
        <v>0.19607843137254899</v>
      </c>
    </row>
    <row r="9" spans="1:13">
      <c r="A9" t="s">
        <v>72</v>
      </c>
      <c r="B9">
        <v>1</v>
      </c>
      <c r="C9">
        <v>1</v>
      </c>
      <c r="D9">
        <v>0</v>
      </c>
      <c r="E9">
        <v>147</v>
      </c>
      <c r="F9">
        <v>2</v>
      </c>
      <c r="G9">
        <v>0</v>
      </c>
      <c r="H9">
        <v>6</v>
      </c>
      <c r="I9">
        <v>0</v>
      </c>
      <c r="J9">
        <v>2</v>
      </c>
      <c r="K9">
        <v>0</v>
      </c>
      <c r="L9">
        <v>1</v>
      </c>
      <c r="M9">
        <v>8.1250000000000003E-2</v>
      </c>
    </row>
    <row r="10" spans="1:13">
      <c r="A10" t="s">
        <v>39</v>
      </c>
      <c r="B10">
        <v>15</v>
      </c>
      <c r="C10">
        <v>40</v>
      </c>
      <c r="D10">
        <v>0</v>
      </c>
      <c r="E10">
        <v>4</v>
      </c>
      <c r="F10">
        <v>421</v>
      </c>
      <c r="G10">
        <v>2</v>
      </c>
      <c r="H10">
        <v>50</v>
      </c>
      <c r="I10">
        <v>0</v>
      </c>
      <c r="J10">
        <v>2</v>
      </c>
      <c r="K10">
        <v>30</v>
      </c>
      <c r="L10">
        <v>1</v>
      </c>
      <c r="M10">
        <v>0.25486725663716803</v>
      </c>
    </row>
    <row r="11" spans="1:13">
      <c r="A11" t="s">
        <v>178</v>
      </c>
      <c r="B11">
        <v>1</v>
      </c>
      <c r="C11">
        <v>4</v>
      </c>
      <c r="D11">
        <v>0</v>
      </c>
      <c r="E11">
        <v>0</v>
      </c>
      <c r="F11">
        <v>3</v>
      </c>
      <c r="G11">
        <v>28</v>
      </c>
      <c r="H11">
        <v>1</v>
      </c>
      <c r="I11">
        <v>0</v>
      </c>
      <c r="J11">
        <v>0</v>
      </c>
      <c r="K11">
        <v>4</v>
      </c>
      <c r="L11">
        <v>0</v>
      </c>
      <c r="M11">
        <v>0.31707317073170699</v>
      </c>
    </row>
    <row r="12" spans="1:13">
      <c r="A12" t="s">
        <v>45</v>
      </c>
      <c r="B12">
        <v>9</v>
      </c>
      <c r="C12">
        <v>11</v>
      </c>
      <c r="D12">
        <v>0</v>
      </c>
      <c r="E12">
        <v>12</v>
      </c>
      <c r="F12">
        <v>51</v>
      </c>
      <c r="G12">
        <v>0</v>
      </c>
      <c r="H12">
        <v>175</v>
      </c>
      <c r="I12">
        <v>0</v>
      </c>
      <c r="J12">
        <v>0</v>
      </c>
      <c r="K12">
        <v>16</v>
      </c>
      <c r="L12">
        <v>2</v>
      </c>
      <c r="M12">
        <v>0.36594202898550698</v>
      </c>
    </row>
    <row r="13" spans="1:13">
      <c r="A13" t="s">
        <v>407</v>
      </c>
      <c r="B13">
        <v>0</v>
      </c>
      <c r="C13">
        <v>5</v>
      </c>
      <c r="D13">
        <v>0</v>
      </c>
      <c r="E13">
        <v>0</v>
      </c>
      <c r="F13">
        <v>6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34</v>
      </c>
      <c r="B14">
        <v>2</v>
      </c>
      <c r="C14">
        <v>0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61</v>
      </c>
      <c r="B15">
        <v>10</v>
      </c>
      <c r="C15">
        <v>6</v>
      </c>
      <c r="D15">
        <v>0</v>
      </c>
      <c r="E15">
        <v>7</v>
      </c>
      <c r="F15">
        <v>54</v>
      </c>
      <c r="G15">
        <v>1</v>
      </c>
      <c r="H15">
        <v>20</v>
      </c>
      <c r="I15">
        <v>0</v>
      </c>
      <c r="J15">
        <v>0</v>
      </c>
      <c r="K15">
        <v>59</v>
      </c>
      <c r="L15">
        <v>0</v>
      </c>
      <c r="M15">
        <v>0.62420382165605104</v>
      </c>
    </row>
    <row r="16" spans="1:13">
      <c r="A16" t="s">
        <v>82</v>
      </c>
      <c r="B16">
        <v>4</v>
      </c>
      <c r="C16">
        <v>1</v>
      </c>
      <c r="D16">
        <v>0</v>
      </c>
      <c r="E16">
        <v>0</v>
      </c>
      <c r="F16">
        <v>4</v>
      </c>
      <c r="G16">
        <v>0</v>
      </c>
      <c r="H16">
        <v>2</v>
      </c>
      <c r="I16">
        <v>0</v>
      </c>
      <c r="J16">
        <v>0</v>
      </c>
      <c r="K16">
        <v>1</v>
      </c>
      <c r="L16">
        <v>3</v>
      </c>
      <c r="M16">
        <v>0.8</v>
      </c>
    </row>
    <row r="18" spans="1:25">
      <c r="A18" s="1" t="s">
        <v>10</v>
      </c>
      <c r="B18" t="s">
        <v>99</v>
      </c>
      <c r="C18" t="s">
        <v>231</v>
      </c>
      <c r="D18" t="s">
        <v>78</v>
      </c>
      <c r="E18" t="s">
        <v>40</v>
      </c>
      <c r="F18" t="s">
        <v>206</v>
      </c>
      <c r="G18" t="s">
        <v>25</v>
      </c>
      <c r="H18" t="s">
        <v>408</v>
      </c>
      <c r="I18" t="s">
        <v>83</v>
      </c>
      <c r="J18" t="s">
        <v>21</v>
      </c>
      <c r="K18" t="s">
        <v>268</v>
      </c>
      <c r="L18" t="s">
        <v>62</v>
      </c>
      <c r="M18" t="s">
        <v>35</v>
      </c>
      <c r="N18" t="s">
        <v>179</v>
      </c>
      <c r="O18" t="s">
        <v>46</v>
      </c>
      <c r="P18" t="s">
        <v>135</v>
      </c>
      <c r="Q18" t="s">
        <v>297</v>
      </c>
      <c r="R18" t="s">
        <v>138</v>
      </c>
      <c r="S18" t="s">
        <v>409</v>
      </c>
      <c r="T18" t="s">
        <v>170</v>
      </c>
      <c r="U18" t="s">
        <v>73</v>
      </c>
      <c r="V18" t="s">
        <v>131</v>
      </c>
      <c r="W18" t="s">
        <v>30</v>
      </c>
      <c r="X18" t="s">
        <v>149</v>
      </c>
      <c r="Y18" t="s">
        <v>406</v>
      </c>
    </row>
    <row r="19" spans="1:25">
      <c r="A19" t="s">
        <v>99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231</v>
      </c>
      <c r="B20">
        <v>0</v>
      </c>
      <c r="C20">
        <v>1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5</v>
      </c>
      <c r="L20">
        <v>4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0</v>
      </c>
      <c r="X20">
        <v>0</v>
      </c>
      <c r="Y20">
        <v>0.91666666666666696</v>
      </c>
    </row>
    <row r="21" spans="1:25">
      <c r="A21" t="s">
        <v>78</v>
      </c>
      <c r="B21">
        <v>0</v>
      </c>
      <c r="C21">
        <v>0</v>
      </c>
      <c r="D21">
        <v>136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5</v>
      </c>
      <c r="R21">
        <v>0</v>
      </c>
      <c r="S21">
        <v>3</v>
      </c>
      <c r="T21">
        <v>0</v>
      </c>
      <c r="U21">
        <v>0</v>
      </c>
      <c r="V21">
        <v>0</v>
      </c>
      <c r="W21">
        <v>0</v>
      </c>
      <c r="X21">
        <v>0</v>
      </c>
      <c r="Y21">
        <v>6.2068965517241399E-2</v>
      </c>
    </row>
    <row r="22" spans="1:25">
      <c r="A22" t="s">
        <v>40</v>
      </c>
      <c r="B22">
        <v>0</v>
      </c>
      <c r="C22">
        <v>0</v>
      </c>
      <c r="D22">
        <v>0</v>
      </c>
      <c r="E22">
        <v>506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2.1276595744680899E-2</v>
      </c>
    </row>
    <row r="23" spans="1:25">
      <c r="A23" t="s">
        <v>206</v>
      </c>
      <c r="B23">
        <v>0</v>
      </c>
      <c r="C23">
        <v>1</v>
      </c>
      <c r="D23">
        <v>0</v>
      </c>
      <c r="E23">
        <v>0</v>
      </c>
      <c r="F23">
        <v>11</v>
      </c>
      <c r="G23">
        <v>0</v>
      </c>
      <c r="H23">
        <v>0</v>
      </c>
      <c r="I23">
        <v>0</v>
      </c>
      <c r="J23">
        <v>0</v>
      </c>
      <c r="K23">
        <v>8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2</v>
      </c>
      <c r="U23">
        <v>0</v>
      </c>
      <c r="V23">
        <v>1</v>
      </c>
      <c r="W23">
        <v>0</v>
      </c>
      <c r="X23">
        <v>0</v>
      </c>
      <c r="Y23">
        <v>0.54166666666666696</v>
      </c>
    </row>
    <row r="24" spans="1:25">
      <c r="A24" t="s">
        <v>25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1</v>
      </c>
      <c r="I24">
        <v>0</v>
      </c>
      <c r="J24">
        <v>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7</v>
      </c>
      <c r="Y24">
        <v>7.1065989847715699E-2</v>
      </c>
    </row>
    <row r="25" spans="1:25">
      <c r="A25" t="s">
        <v>408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83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21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364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20</v>
      </c>
      <c r="X27">
        <v>5</v>
      </c>
      <c r="Y27">
        <v>6.6666666666666693E-2</v>
      </c>
    </row>
    <row r="28" spans="1:25">
      <c r="A28" t="s">
        <v>268</v>
      </c>
      <c r="B28">
        <v>0</v>
      </c>
      <c r="C28">
        <v>4</v>
      </c>
      <c r="D28">
        <v>0</v>
      </c>
      <c r="E28">
        <v>0</v>
      </c>
      <c r="F28">
        <v>5</v>
      </c>
      <c r="G28">
        <v>0</v>
      </c>
      <c r="H28">
        <v>0</v>
      </c>
      <c r="I28">
        <v>0</v>
      </c>
      <c r="J28">
        <v>0</v>
      </c>
      <c r="K28">
        <v>21</v>
      </c>
      <c r="L28">
        <v>6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1</v>
      </c>
      <c r="U28">
        <v>0</v>
      </c>
      <c r="V28">
        <v>3</v>
      </c>
      <c r="W28">
        <v>0</v>
      </c>
      <c r="X28">
        <v>0</v>
      </c>
      <c r="Y28">
        <v>0.47499999999999998</v>
      </c>
    </row>
    <row r="29" spans="1:25">
      <c r="A29" t="s">
        <v>62</v>
      </c>
      <c r="B29">
        <v>0</v>
      </c>
      <c r="C29">
        <v>1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6</v>
      </c>
      <c r="L29">
        <v>33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3</v>
      </c>
      <c r="W29">
        <v>0</v>
      </c>
      <c r="X29">
        <v>0</v>
      </c>
      <c r="Y29">
        <v>0.232558139534884</v>
      </c>
    </row>
    <row r="30" spans="1:25">
      <c r="A30" t="s">
        <v>35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179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46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135</v>
      </c>
      <c r="B33">
        <v>0</v>
      </c>
      <c r="C33">
        <v>0</v>
      </c>
      <c r="D33">
        <v>0</v>
      </c>
      <c r="E33">
        <v>27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33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0.45</v>
      </c>
    </row>
    <row r="34" spans="1:51">
      <c r="A34" t="s">
        <v>297</v>
      </c>
      <c r="B34">
        <v>0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9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0.30769230769230799</v>
      </c>
    </row>
    <row r="35" spans="1:51">
      <c r="A35" t="s">
        <v>138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75</v>
      </c>
      <c r="S35">
        <v>0</v>
      </c>
      <c r="T35">
        <v>0</v>
      </c>
      <c r="U35">
        <v>15</v>
      </c>
      <c r="V35">
        <v>0</v>
      </c>
      <c r="W35">
        <v>0</v>
      </c>
      <c r="X35">
        <v>0</v>
      </c>
      <c r="Y35">
        <v>0.16666666666666699</v>
      </c>
    </row>
    <row r="36" spans="1:51">
      <c r="A36" t="s">
        <v>409</v>
      </c>
      <c r="B36">
        <v>0</v>
      </c>
      <c r="C36">
        <v>0</v>
      </c>
      <c r="D36">
        <v>4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6</v>
      </c>
      <c r="T36">
        <v>0</v>
      </c>
      <c r="U36">
        <v>0</v>
      </c>
      <c r="V36">
        <v>0</v>
      </c>
      <c r="W36">
        <v>0</v>
      </c>
      <c r="X36">
        <v>0</v>
      </c>
      <c r="Y36">
        <v>0.4</v>
      </c>
    </row>
    <row r="37" spans="1:51">
      <c r="A37" t="s">
        <v>170</v>
      </c>
      <c r="B37">
        <v>0</v>
      </c>
      <c r="C37">
        <v>0</v>
      </c>
      <c r="D37">
        <v>0</v>
      </c>
      <c r="E37">
        <v>0</v>
      </c>
      <c r="F37">
        <v>4</v>
      </c>
      <c r="G37">
        <v>0</v>
      </c>
      <c r="H37">
        <v>0</v>
      </c>
      <c r="I37">
        <v>0</v>
      </c>
      <c r="J37">
        <v>0</v>
      </c>
      <c r="K37">
        <v>8</v>
      </c>
      <c r="L37">
        <v>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10</v>
      </c>
      <c r="U37">
        <v>0</v>
      </c>
      <c r="V37">
        <v>1</v>
      </c>
      <c r="W37">
        <v>0</v>
      </c>
      <c r="X37">
        <v>0</v>
      </c>
      <c r="Y37">
        <v>0.6</v>
      </c>
    </row>
    <row r="38" spans="1:51">
      <c r="A38" t="s">
        <v>73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15</v>
      </c>
      <c r="S38">
        <v>0</v>
      </c>
      <c r="T38">
        <v>0</v>
      </c>
      <c r="U38">
        <v>55</v>
      </c>
      <c r="V38">
        <v>0</v>
      </c>
      <c r="W38">
        <v>0</v>
      </c>
      <c r="X38">
        <v>0</v>
      </c>
      <c r="Y38">
        <v>0.214285714285714</v>
      </c>
    </row>
    <row r="39" spans="1:51">
      <c r="A39" t="s">
        <v>131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2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2</v>
      </c>
      <c r="U39">
        <v>0</v>
      </c>
      <c r="V39">
        <v>6</v>
      </c>
      <c r="W39">
        <v>0</v>
      </c>
      <c r="X39">
        <v>0</v>
      </c>
      <c r="Y39">
        <v>0.53846153846153799</v>
      </c>
    </row>
    <row r="40" spans="1:51">
      <c r="A40" t="s">
        <v>30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19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192</v>
      </c>
      <c r="X40">
        <v>0</v>
      </c>
      <c r="Y40">
        <v>9.4339622641509399E-2</v>
      </c>
    </row>
    <row r="41" spans="1:51">
      <c r="A41" t="s">
        <v>149</v>
      </c>
      <c r="B41">
        <v>0</v>
      </c>
      <c r="C41">
        <v>0</v>
      </c>
      <c r="D41">
        <v>0</v>
      </c>
      <c r="E41">
        <v>0</v>
      </c>
      <c r="F41">
        <v>0</v>
      </c>
      <c r="G41">
        <v>14</v>
      </c>
      <c r="H41">
        <v>0</v>
      </c>
      <c r="I41">
        <v>0</v>
      </c>
      <c r="J41">
        <v>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41</v>
      </c>
      <c r="Y41">
        <v>0.28070175438596501</v>
      </c>
    </row>
    <row r="43" spans="1:51">
      <c r="A43" s="1" t="s">
        <v>13</v>
      </c>
      <c r="B43" t="s">
        <v>163</v>
      </c>
      <c r="C43" t="s">
        <v>100</v>
      </c>
      <c r="D43" t="s">
        <v>209</v>
      </c>
      <c r="E43" t="s">
        <v>41</v>
      </c>
      <c r="F43" t="s">
        <v>221</v>
      </c>
      <c r="G43" t="s">
        <v>298</v>
      </c>
      <c r="H43" t="s">
        <v>275</v>
      </c>
      <c r="I43" t="s">
        <v>117</v>
      </c>
      <c r="J43" t="s">
        <v>410</v>
      </c>
      <c r="K43" t="s">
        <v>411</v>
      </c>
      <c r="L43" t="s">
        <v>129</v>
      </c>
      <c r="M43" t="s">
        <v>47</v>
      </c>
      <c r="N43" t="s">
        <v>68</v>
      </c>
      <c r="O43" t="s">
        <v>31</v>
      </c>
      <c r="P43" t="s">
        <v>339</v>
      </c>
      <c r="Q43" t="s">
        <v>136</v>
      </c>
      <c r="R43" t="s">
        <v>79</v>
      </c>
      <c r="S43" t="s">
        <v>43</v>
      </c>
      <c r="T43" t="s">
        <v>412</v>
      </c>
      <c r="U43" t="s">
        <v>26</v>
      </c>
      <c r="V43" t="s">
        <v>225</v>
      </c>
      <c r="W43" t="s">
        <v>22</v>
      </c>
      <c r="X43" t="s">
        <v>28</v>
      </c>
      <c r="Y43" t="s">
        <v>56</v>
      </c>
      <c r="Z43" t="s">
        <v>91</v>
      </c>
      <c r="AA43" t="s">
        <v>200</v>
      </c>
      <c r="AB43" t="s">
        <v>150</v>
      </c>
      <c r="AC43" t="s">
        <v>232</v>
      </c>
      <c r="AD43" t="s">
        <v>63</v>
      </c>
      <c r="AE43" t="s">
        <v>278</v>
      </c>
      <c r="AF43" t="s">
        <v>261</v>
      </c>
      <c r="AG43" t="s">
        <v>84</v>
      </c>
      <c r="AH43" t="s">
        <v>36</v>
      </c>
      <c r="AI43" t="s">
        <v>191</v>
      </c>
      <c r="AJ43" t="s">
        <v>152</v>
      </c>
      <c r="AK43" t="s">
        <v>145</v>
      </c>
      <c r="AL43" t="s">
        <v>139</v>
      </c>
      <c r="AM43" t="s">
        <v>214</v>
      </c>
      <c r="AN43" t="s">
        <v>269</v>
      </c>
      <c r="AO43" t="s">
        <v>376</v>
      </c>
      <c r="AP43" t="s">
        <v>171</v>
      </c>
      <c r="AQ43" t="s">
        <v>110</v>
      </c>
      <c r="AR43" t="s">
        <v>168</v>
      </c>
      <c r="AS43" t="s">
        <v>74</v>
      </c>
      <c r="AT43" t="s">
        <v>207</v>
      </c>
      <c r="AU43" t="s">
        <v>180</v>
      </c>
      <c r="AV43" t="s">
        <v>132</v>
      </c>
      <c r="AW43" t="s">
        <v>88</v>
      </c>
      <c r="AX43" t="s">
        <v>413</v>
      </c>
      <c r="AY43" t="s">
        <v>406</v>
      </c>
    </row>
    <row r="44" spans="1:51">
      <c r="A44" t="s">
        <v>163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100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209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41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221</v>
      </c>
      <c r="B48">
        <v>0</v>
      </c>
      <c r="C48">
        <v>0</v>
      </c>
      <c r="D48">
        <v>0</v>
      </c>
      <c r="E48">
        <v>0</v>
      </c>
      <c r="F48">
        <v>8</v>
      </c>
      <c r="G48">
        <v>0</v>
      </c>
      <c r="H48">
        <v>2</v>
      </c>
      <c r="I48">
        <v>2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0.42857142857142899</v>
      </c>
    </row>
    <row r="49" spans="1:51">
      <c r="A49" t="s">
        <v>298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275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117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410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411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129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1</v>
      </c>
      <c r="J54">
        <v>0</v>
      </c>
      <c r="K54">
        <v>0</v>
      </c>
      <c r="L54">
        <v>43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4.4444444444444398E-2</v>
      </c>
    </row>
    <row r="55" spans="1:51">
      <c r="A55" t="s">
        <v>47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68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31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339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0.35714285714285698</v>
      </c>
    </row>
    <row r="59" spans="1:51">
      <c r="A59" t="s">
        <v>136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79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43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412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26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8</v>
      </c>
      <c r="T63">
        <v>3</v>
      </c>
      <c r="U63">
        <v>106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0.109243697478992</v>
      </c>
    </row>
    <row r="64" spans="1:51">
      <c r="A64" t="s">
        <v>225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1</v>
      </c>
      <c r="X64">
        <v>11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22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100</v>
      </c>
      <c r="X65">
        <v>36</v>
      </c>
      <c r="Y65">
        <v>3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0.28057553956834502</v>
      </c>
    </row>
    <row r="66" spans="1:51">
      <c r="A66" t="s">
        <v>28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39</v>
      </c>
      <c r="X66">
        <v>93</v>
      </c>
      <c r="Y66">
        <v>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0.35416666666666702</v>
      </c>
    </row>
    <row r="67" spans="1:51">
      <c r="A67" t="s">
        <v>56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6</v>
      </c>
      <c r="X67">
        <v>11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91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86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23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0.21100917431192701</v>
      </c>
    </row>
    <row r="69" spans="1:51">
      <c r="A69" t="s">
        <v>200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150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232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63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278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261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84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36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191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38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33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0.53521126760563398</v>
      </c>
    </row>
    <row r="78" spans="1:51">
      <c r="A78" t="s">
        <v>152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5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0.64285714285714302</v>
      </c>
    </row>
    <row r="79" spans="1:51">
      <c r="A79" t="s">
        <v>145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139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214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12</v>
      </c>
      <c r="AL81">
        <v>2</v>
      </c>
      <c r="AM81">
        <v>23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0.439024390243902</v>
      </c>
    </row>
    <row r="82" spans="1:51">
      <c r="A82" t="s">
        <v>269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376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171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3</v>
      </c>
      <c r="AP84">
        <v>12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</v>
      </c>
    </row>
    <row r="85" spans="1:51">
      <c r="A85" t="s">
        <v>110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168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74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207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180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132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88</v>
      </c>
      <c r="B91">
        <v>0</v>
      </c>
      <c r="C91">
        <v>0</v>
      </c>
      <c r="D91">
        <v>0</v>
      </c>
      <c r="E91">
        <v>10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2</v>
      </c>
      <c r="AX91">
        <v>0</v>
      </c>
      <c r="AY91">
        <v>0.83333333333333304</v>
      </c>
    </row>
    <row r="92" spans="1:51">
      <c r="A92" t="s">
        <v>413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activeCell="G21" sqref="G21"/>
    </sheetView>
  </sheetViews>
  <sheetFormatPr baseColWidth="10" defaultRowHeight="16"/>
  <sheetData>
    <row r="1" spans="1:5">
      <c r="A1" s="2" t="s">
        <v>405</v>
      </c>
      <c r="B1" s="2" t="s">
        <v>4</v>
      </c>
      <c r="C1" s="2" t="s">
        <v>414</v>
      </c>
      <c r="D1" s="2" t="s">
        <v>97</v>
      </c>
      <c r="E1" s="2" t="s">
        <v>18</v>
      </c>
    </row>
    <row r="2" spans="1:5">
      <c r="A2" s="2">
        <v>1</v>
      </c>
      <c r="B2" s="2" t="s">
        <v>18</v>
      </c>
      <c r="C2" s="2" t="s">
        <v>18</v>
      </c>
      <c r="D2" s="2">
        <v>0</v>
      </c>
      <c r="E2" s="2">
        <v>1</v>
      </c>
    </row>
    <row r="3" spans="1:5">
      <c r="A3" s="2">
        <v>2</v>
      </c>
      <c r="B3" s="2" t="s">
        <v>18</v>
      </c>
      <c r="C3" s="2" t="s">
        <v>18</v>
      </c>
      <c r="D3" s="2">
        <v>0</v>
      </c>
      <c r="E3" s="2">
        <v>1</v>
      </c>
    </row>
    <row r="4" spans="1:5">
      <c r="A4" s="2">
        <v>3</v>
      </c>
      <c r="B4" s="2" t="s">
        <v>18</v>
      </c>
      <c r="C4" s="2" t="s">
        <v>18</v>
      </c>
      <c r="D4" s="2">
        <v>0</v>
      </c>
      <c r="E4" s="2">
        <v>1</v>
      </c>
    </row>
    <row r="5" spans="1:5">
      <c r="A5" s="2">
        <v>4</v>
      </c>
      <c r="B5" s="2" t="s">
        <v>18</v>
      </c>
      <c r="C5" s="2" t="s">
        <v>18</v>
      </c>
      <c r="D5" s="2">
        <v>0</v>
      </c>
      <c r="E5" s="2">
        <v>1</v>
      </c>
    </row>
    <row r="6" spans="1:5">
      <c r="A6" s="2">
        <v>5</v>
      </c>
      <c r="B6" s="2" t="s">
        <v>18</v>
      </c>
      <c r="C6" s="2" t="s">
        <v>18</v>
      </c>
      <c r="D6" s="2">
        <v>0</v>
      </c>
      <c r="E6" s="2">
        <v>1</v>
      </c>
    </row>
    <row r="7" spans="1:5">
      <c r="A7" s="2">
        <v>6</v>
      </c>
      <c r="B7" s="2" t="s">
        <v>18</v>
      </c>
      <c r="C7" s="2" t="s">
        <v>18</v>
      </c>
      <c r="D7" s="2">
        <v>1.2E-2</v>
      </c>
      <c r="E7" s="2">
        <v>0.98799999999999999</v>
      </c>
    </row>
    <row r="8" spans="1:5">
      <c r="A8" s="2">
        <v>7</v>
      </c>
      <c r="B8" s="2" t="s">
        <v>18</v>
      </c>
      <c r="C8" s="2" t="s">
        <v>18</v>
      </c>
      <c r="D8" s="2">
        <v>0</v>
      </c>
      <c r="E8" s="2">
        <v>1</v>
      </c>
    </row>
    <row r="9" spans="1:5">
      <c r="A9" s="2">
        <v>8</v>
      </c>
      <c r="B9" s="2" t="s">
        <v>18</v>
      </c>
      <c r="C9" s="2" t="s">
        <v>18</v>
      </c>
      <c r="D9" s="2">
        <v>0</v>
      </c>
      <c r="E9" s="2">
        <v>1</v>
      </c>
    </row>
    <row r="10" spans="1:5">
      <c r="A10" s="2">
        <v>9</v>
      </c>
      <c r="B10" s="2" t="s">
        <v>18</v>
      </c>
      <c r="C10" s="2" t="s">
        <v>18</v>
      </c>
      <c r="D10" s="2">
        <v>0</v>
      </c>
      <c r="E10" s="2">
        <v>1</v>
      </c>
    </row>
    <row r="11" spans="1:5">
      <c r="A11" s="2">
        <v>10</v>
      </c>
      <c r="B11" s="2" t="s">
        <v>18</v>
      </c>
      <c r="C11" s="2" t="s">
        <v>18</v>
      </c>
      <c r="D11" s="2">
        <v>0</v>
      </c>
      <c r="E11" s="2">
        <v>1</v>
      </c>
    </row>
    <row r="12" spans="1:5">
      <c r="A12" s="2">
        <v>11</v>
      </c>
      <c r="B12" s="2" t="s">
        <v>18</v>
      </c>
      <c r="C12" s="2" t="s">
        <v>18</v>
      </c>
      <c r="D12" s="2">
        <v>0</v>
      </c>
      <c r="E12" s="2">
        <v>1</v>
      </c>
    </row>
    <row r="13" spans="1:5">
      <c r="A13" s="2">
        <v>12</v>
      </c>
      <c r="B13" s="2" t="s">
        <v>18</v>
      </c>
      <c r="C13" s="2" t="s">
        <v>18</v>
      </c>
      <c r="D13" s="2">
        <v>0</v>
      </c>
      <c r="E13" s="2">
        <v>1</v>
      </c>
    </row>
    <row r="14" spans="1:5">
      <c r="A14" s="2">
        <v>13</v>
      </c>
      <c r="B14" s="2" t="s">
        <v>18</v>
      </c>
      <c r="C14" s="2" t="s">
        <v>18</v>
      </c>
      <c r="D14" s="2">
        <v>0</v>
      </c>
      <c r="E14" s="2">
        <v>1</v>
      </c>
    </row>
    <row r="15" spans="1:5">
      <c r="A15" s="2">
        <v>14</v>
      </c>
      <c r="B15" s="2" t="s">
        <v>18</v>
      </c>
      <c r="C15" s="2" t="s">
        <v>18</v>
      </c>
      <c r="D15" s="2">
        <v>0</v>
      </c>
      <c r="E15" s="2">
        <v>1</v>
      </c>
    </row>
    <row r="16" spans="1:5">
      <c r="A16" s="2">
        <v>15</v>
      </c>
      <c r="B16" s="2" t="s">
        <v>18</v>
      </c>
      <c r="C16" s="2" t="s">
        <v>18</v>
      </c>
      <c r="D16" s="2">
        <v>0</v>
      </c>
      <c r="E16" s="2">
        <v>1</v>
      </c>
    </row>
    <row r="17" spans="1:5">
      <c r="A17" s="2">
        <v>16</v>
      </c>
      <c r="B17" s="2" t="s">
        <v>18</v>
      </c>
      <c r="C17" s="2" t="s">
        <v>18</v>
      </c>
      <c r="D17" s="2">
        <v>0</v>
      </c>
      <c r="E17" s="2">
        <v>1</v>
      </c>
    </row>
    <row r="18" spans="1:5">
      <c r="A18" s="2">
        <v>17</v>
      </c>
      <c r="B18" s="2" t="s">
        <v>18</v>
      </c>
      <c r="C18" s="2" t="s">
        <v>18</v>
      </c>
      <c r="D18" s="2">
        <v>0</v>
      </c>
      <c r="E18" s="2">
        <v>1</v>
      </c>
    </row>
    <row r="19" spans="1:5">
      <c r="A19" s="2">
        <v>18</v>
      </c>
      <c r="B19" s="2" t="s">
        <v>18</v>
      </c>
      <c r="C19" s="2" t="s">
        <v>18</v>
      </c>
      <c r="D19" s="2">
        <v>0</v>
      </c>
      <c r="E19" s="2">
        <v>1</v>
      </c>
    </row>
    <row r="20" spans="1:5">
      <c r="A20" s="2">
        <v>19</v>
      </c>
      <c r="B20" s="2" t="s">
        <v>18</v>
      </c>
      <c r="C20" s="2" t="s">
        <v>18</v>
      </c>
      <c r="D20" s="2">
        <v>0</v>
      </c>
      <c r="E20" s="2">
        <v>1</v>
      </c>
    </row>
    <row r="21" spans="1:5">
      <c r="A21" s="2">
        <v>20</v>
      </c>
      <c r="B21" s="2" t="s">
        <v>18</v>
      </c>
      <c r="C21" s="2" t="s">
        <v>18</v>
      </c>
      <c r="D21" s="2">
        <v>0</v>
      </c>
      <c r="E21" s="2">
        <v>1</v>
      </c>
    </row>
    <row r="22" spans="1:5">
      <c r="A22" s="2">
        <v>21</v>
      </c>
      <c r="B22" s="2" t="s">
        <v>18</v>
      </c>
      <c r="C22" s="2" t="s">
        <v>18</v>
      </c>
      <c r="D22" s="2">
        <v>0</v>
      </c>
      <c r="E22" s="2">
        <v>1</v>
      </c>
    </row>
    <row r="23" spans="1:5">
      <c r="A23" s="2">
        <v>22</v>
      </c>
      <c r="B23" s="2" t="s">
        <v>18</v>
      </c>
      <c r="C23" s="2" t="s">
        <v>18</v>
      </c>
      <c r="D23" s="2">
        <v>0</v>
      </c>
      <c r="E23" s="2">
        <v>1</v>
      </c>
    </row>
    <row r="24" spans="1:5">
      <c r="A24" s="2">
        <v>23</v>
      </c>
      <c r="B24" s="2" t="s">
        <v>18</v>
      </c>
      <c r="C24" s="2" t="s">
        <v>18</v>
      </c>
      <c r="D24" s="2">
        <v>0</v>
      </c>
      <c r="E24" s="2">
        <v>1</v>
      </c>
    </row>
    <row r="25" spans="1:5">
      <c r="A25" s="2">
        <v>24</v>
      </c>
      <c r="B25" s="2" t="s">
        <v>18</v>
      </c>
      <c r="C25" s="2" t="s">
        <v>18</v>
      </c>
      <c r="D25" s="2">
        <v>0</v>
      </c>
      <c r="E25" s="2">
        <v>1</v>
      </c>
    </row>
    <row r="26" spans="1:5">
      <c r="A26" s="2">
        <v>25</v>
      </c>
      <c r="B26" s="2" t="s">
        <v>18</v>
      </c>
      <c r="C26" s="2" t="s">
        <v>18</v>
      </c>
      <c r="D26" s="2">
        <v>0</v>
      </c>
      <c r="E26" s="2">
        <v>1</v>
      </c>
    </row>
    <row r="27" spans="1:5">
      <c r="A27" s="2">
        <v>26</v>
      </c>
      <c r="B27" s="2" t="s">
        <v>18</v>
      </c>
      <c r="C27" s="2" t="s">
        <v>18</v>
      </c>
      <c r="D27" s="2">
        <v>0</v>
      </c>
      <c r="E27" s="2">
        <v>1</v>
      </c>
    </row>
    <row r="28" spans="1:5">
      <c r="A28" s="2">
        <v>27</v>
      </c>
      <c r="B28" s="2" t="s">
        <v>18</v>
      </c>
      <c r="C28" s="2" t="s">
        <v>18</v>
      </c>
      <c r="D28" s="2">
        <v>0</v>
      </c>
      <c r="E28" s="2">
        <v>1</v>
      </c>
    </row>
    <row r="29" spans="1:5">
      <c r="A29" s="2">
        <v>28</v>
      </c>
      <c r="B29" s="2" t="s">
        <v>18</v>
      </c>
      <c r="C29" s="2" t="s">
        <v>18</v>
      </c>
      <c r="D29" s="2">
        <v>0</v>
      </c>
      <c r="E29" s="2">
        <v>1</v>
      </c>
    </row>
    <row r="30" spans="1:5">
      <c r="A30" s="2">
        <v>29</v>
      </c>
      <c r="B30" s="2" t="s">
        <v>18</v>
      </c>
      <c r="C30" s="2" t="s">
        <v>18</v>
      </c>
      <c r="D30" s="2">
        <v>0</v>
      </c>
      <c r="E30" s="2">
        <v>1</v>
      </c>
    </row>
    <row r="31" spans="1:5">
      <c r="A31" s="2">
        <v>30</v>
      </c>
      <c r="B31" s="2" t="s">
        <v>18</v>
      </c>
      <c r="C31" s="2" t="s">
        <v>18</v>
      </c>
      <c r="D31" s="2">
        <v>0</v>
      </c>
      <c r="E31" s="2">
        <v>1</v>
      </c>
    </row>
    <row r="32" spans="1:5">
      <c r="A32" s="2">
        <v>31</v>
      </c>
      <c r="B32" s="2" t="s">
        <v>18</v>
      </c>
      <c r="C32" s="2" t="s">
        <v>18</v>
      </c>
      <c r="D32" s="2">
        <v>0</v>
      </c>
      <c r="E32" s="2">
        <v>1</v>
      </c>
    </row>
    <row r="33" spans="1:5">
      <c r="A33" s="2">
        <v>32</v>
      </c>
      <c r="B33" s="2" t="s">
        <v>18</v>
      </c>
      <c r="C33" s="2" t="s">
        <v>18</v>
      </c>
      <c r="D33" s="2">
        <v>0</v>
      </c>
      <c r="E33" s="2">
        <v>1</v>
      </c>
    </row>
    <row r="34" spans="1:5">
      <c r="A34" s="2">
        <v>33</v>
      </c>
      <c r="B34" s="2" t="s">
        <v>18</v>
      </c>
      <c r="C34" s="2" t="s">
        <v>18</v>
      </c>
      <c r="D34" s="2">
        <v>0</v>
      </c>
      <c r="E34" s="2">
        <v>1</v>
      </c>
    </row>
    <row r="35" spans="1:5">
      <c r="A35" s="2">
        <v>34</v>
      </c>
      <c r="B35" s="2" t="s">
        <v>18</v>
      </c>
      <c r="C35" s="2" t="s">
        <v>18</v>
      </c>
      <c r="D35" s="2">
        <v>0</v>
      </c>
      <c r="E35" s="2">
        <v>1</v>
      </c>
    </row>
    <row r="36" spans="1:5">
      <c r="A36" s="2">
        <v>35</v>
      </c>
      <c r="B36" s="2" t="s">
        <v>18</v>
      </c>
      <c r="C36" s="2" t="s">
        <v>18</v>
      </c>
      <c r="D36" s="2">
        <v>0</v>
      </c>
      <c r="E36" s="2">
        <v>1</v>
      </c>
    </row>
    <row r="37" spans="1:5">
      <c r="A37" s="2">
        <v>36</v>
      </c>
      <c r="B37" s="2" t="s">
        <v>18</v>
      </c>
      <c r="C37" s="2" t="s">
        <v>18</v>
      </c>
      <c r="D37" s="2">
        <v>0</v>
      </c>
      <c r="E37" s="2">
        <v>1</v>
      </c>
    </row>
    <row r="38" spans="1:5">
      <c r="A38" s="2">
        <v>37</v>
      </c>
      <c r="B38" s="2" t="s">
        <v>18</v>
      </c>
      <c r="C38" s="2" t="s">
        <v>18</v>
      </c>
      <c r="D38" s="2">
        <v>0</v>
      </c>
      <c r="E38" s="2">
        <v>1</v>
      </c>
    </row>
    <row r="39" spans="1:5">
      <c r="A39" s="2">
        <v>38</v>
      </c>
      <c r="B39" s="2" t="s">
        <v>18</v>
      </c>
      <c r="C39" s="2" t="s">
        <v>18</v>
      </c>
      <c r="D39" s="2">
        <v>0</v>
      </c>
      <c r="E39" s="2">
        <v>1</v>
      </c>
    </row>
    <row r="40" spans="1:5">
      <c r="A40" s="2">
        <v>39</v>
      </c>
      <c r="B40" s="2" t="s">
        <v>18</v>
      </c>
      <c r="C40" s="2" t="s">
        <v>18</v>
      </c>
      <c r="D40" s="2">
        <v>0</v>
      </c>
      <c r="E40" s="2">
        <v>1</v>
      </c>
    </row>
    <row r="41" spans="1:5">
      <c r="A41" s="2">
        <v>40</v>
      </c>
      <c r="B41" s="2" t="s">
        <v>18</v>
      </c>
      <c r="C41" s="2" t="s">
        <v>18</v>
      </c>
      <c r="D41" s="2">
        <v>0</v>
      </c>
      <c r="E41" s="2">
        <v>1</v>
      </c>
    </row>
    <row r="42" spans="1:5">
      <c r="A42" s="2">
        <v>41</v>
      </c>
      <c r="B42" s="2" t="s">
        <v>18</v>
      </c>
      <c r="C42" s="2" t="s">
        <v>18</v>
      </c>
      <c r="D42" s="2">
        <v>6.0000000000000001E-3</v>
      </c>
      <c r="E42" s="2">
        <v>0.99399999999999999</v>
      </c>
    </row>
    <row r="43" spans="1:5">
      <c r="A43" s="2">
        <v>42</v>
      </c>
      <c r="B43" s="2" t="s">
        <v>18</v>
      </c>
      <c r="C43" s="2" t="s">
        <v>18</v>
      </c>
      <c r="D43" s="2">
        <v>0</v>
      </c>
      <c r="E43" s="2">
        <v>1</v>
      </c>
    </row>
    <row r="44" spans="1:5">
      <c r="A44" s="2">
        <v>43</v>
      </c>
      <c r="B44" s="2" t="s">
        <v>97</v>
      </c>
      <c r="C44" s="2" t="s">
        <v>97</v>
      </c>
      <c r="D44" s="2">
        <v>0.78600000000000003</v>
      </c>
      <c r="E44" s="2">
        <v>0.214</v>
      </c>
    </row>
    <row r="45" spans="1:5">
      <c r="A45" s="2">
        <v>44</v>
      </c>
      <c r="B45" s="2" t="s">
        <v>18</v>
      </c>
      <c r="C45" s="2" t="s">
        <v>18</v>
      </c>
      <c r="D45" s="2">
        <v>0</v>
      </c>
      <c r="E45" s="2">
        <v>1</v>
      </c>
    </row>
    <row r="46" spans="1:5">
      <c r="A46" s="2">
        <v>45</v>
      </c>
      <c r="B46" s="2" t="s">
        <v>18</v>
      </c>
      <c r="C46" s="2" t="s">
        <v>18</v>
      </c>
      <c r="D46" s="2">
        <v>0</v>
      </c>
      <c r="E46" s="2">
        <v>1</v>
      </c>
    </row>
    <row r="47" spans="1:5">
      <c r="A47" s="2">
        <v>46</v>
      </c>
      <c r="B47" s="2" t="s">
        <v>97</v>
      </c>
      <c r="C47" s="2" t="s">
        <v>97</v>
      </c>
      <c r="D47" s="2">
        <v>0.61</v>
      </c>
      <c r="E47" s="2">
        <v>0.39</v>
      </c>
    </row>
    <row r="48" spans="1:5">
      <c r="A48" s="2">
        <v>47</v>
      </c>
      <c r="B48" s="2" t="s">
        <v>18</v>
      </c>
      <c r="C48" s="2" t="s">
        <v>18</v>
      </c>
      <c r="D48" s="2">
        <v>0</v>
      </c>
      <c r="E48" s="2">
        <v>1</v>
      </c>
    </row>
    <row r="49" spans="1:5">
      <c r="A49" s="2">
        <v>48</v>
      </c>
      <c r="B49" s="2" t="s">
        <v>18</v>
      </c>
      <c r="C49" s="2" t="s">
        <v>18</v>
      </c>
      <c r="D49" s="2">
        <v>0</v>
      </c>
      <c r="E49" s="2">
        <v>1</v>
      </c>
    </row>
    <row r="50" spans="1:5">
      <c r="A50" s="2">
        <v>49</v>
      </c>
      <c r="B50" s="2" t="s">
        <v>18</v>
      </c>
      <c r="C50" s="2" t="s">
        <v>18</v>
      </c>
      <c r="D50" s="2">
        <v>0</v>
      </c>
      <c r="E50" s="2">
        <v>1</v>
      </c>
    </row>
    <row r="51" spans="1:5">
      <c r="A51" s="2">
        <v>50</v>
      </c>
      <c r="B51" s="2" t="s">
        <v>18</v>
      </c>
      <c r="C51" s="2" t="s">
        <v>18</v>
      </c>
      <c r="D51" s="2">
        <v>0</v>
      </c>
      <c r="E51" s="2">
        <v>1</v>
      </c>
    </row>
    <row r="52" spans="1:5">
      <c r="A52" s="2">
        <v>51</v>
      </c>
      <c r="B52" s="2" t="s">
        <v>18</v>
      </c>
      <c r="C52" s="2" t="s">
        <v>18</v>
      </c>
      <c r="D52" s="2">
        <v>0</v>
      </c>
      <c r="E52" s="2">
        <v>1</v>
      </c>
    </row>
    <row r="53" spans="1:5">
      <c r="A53" s="2">
        <v>52</v>
      </c>
      <c r="B53" s="2" t="s">
        <v>18</v>
      </c>
      <c r="C53" s="2" t="s">
        <v>18</v>
      </c>
      <c r="D53" s="2">
        <v>0</v>
      </c>
      <c r="E53" s="2">
        <v>1</v>
      </c>
    </row>
    <row r="54" spans="1:5">
      <c r="A54" s="2">
        <v>53</v>
      </c>
      <c r="B54" s="2" t="s">
        <v>18</v>
      </c>
      <c r="C54" s="2" t="s">
        <v>18</v>
      </c>
      <c r="D54" s="2">
        <v>0</v>
      </c>
      <c r="E54" s="2">
        <v>1</v>
      </c>
    </row>
    <row r="55" spans="1:5">
      <c r="A55" s="2">
        <v>54</v>
      </c>
      <c r="B55" s="2" t="s">
        <v>18</v>
      </c>
      <c r="C55" s="2" t="s">
        <v>18</v>
      </c>
      <c r="D55" s="2">
        <v>0</v>
      </c>
      <c r="E55" s="2">
        <v>1</v>
      </c>
    </row>
    <row r="56" spans="1:5">
      <c r="A56" s="2">
        <v>55</v>
      </c>
      <c r="B56" s="2" t="s">
        <v>18</v>
      </c>
      <c r="C56" s="2" t="s">
        <v>18</v>
      </c>
      <c r="D56" s="2">
        <v>0</v>
      </c>
      <c r="E56" s="2">
        <v>1</v>
      </c>
    </row>
    <row r="57" spans="1:5">
      <c r="A57" s="2">
        <v>56</v>
      </c>
      <c r="B57" s="2" t="s">
        <v>18</v>
      </c>
      <c r="C57" s="2" t="s">
        <v>18</v>
      </c>
      <c r="D57" s="2">
        <v>0</v>
      </c>
      <c r="E57" s="2">
        <v>1</v>
      </c>
    </row>
    <row r="58" spans="1:5">
      <c r="A58" s="2">
        <v>57</v>
      </c>
      <c r="B58" s="2" t="s">
        <v>18</v>
      </c>
      <c r="C58" s="2" t="s">
        <v>18</v>
      </c>
      <c r="D58" s="2">
        <v>1.7999999999999999E-2</v>
      </c>
      <c r="E58" s="2">
        <v>0.98199999999999998</v>
      </c>
    </row>
    <row r="59" spans="1:5">
      <c r="A59" s="2">
        <v>58</v>
      </c>
      <c r="B59" s="2" t="s">
        <v>18</v>
      </c>
      <c r="C59" s="2" t="s">
        <v>18</v>
      </c>
      <c r="D59" s="2">
        <v>0</v>
      </c>
      <c r="E59" s="2">
        <v>1</v>
      </c>
    </row>
    <row r="60" spans="1:5">
      <c r="A60" s="2">
        <v>59</v>
      </c>
      <c r="B60" s="2" t="s">
        <v>18</v>
      </c>
      <c r="C60" s="2" t="s">
        <v>18</v>
      </c>
      <c r="D60" s="2">
        <v>0</v>
      </c>
      <c r="E60" s="2">
        <v>1</v>
      </c>
    </row>
    <row r="61" spans="1:5">
      <c r="A61" s="2">
        <v>60</v>
      </c>
      <c r="B61" s="2" t="s">
        <v>18</v>
      </c>
      <c r="C61" s="2" t="s">
        <v>18</v>
      </c>
      <c r="D61" s="2">
        <v>0</v>
      </c>
      <c r="E61" s="2">
        <v>1</v>
      </c>
    </row>
    <row r="62" spans="1:5">
      <c r="A62" s="2">
        <v>61</v>
      </c>
      <c r="B62" s="2" t="s">
        <v>18</v>
      </c>
      <c r="C62" s="2" t="s">
        <v>18</v>
      </c>
      <c r="D62" s="2">
        <v>0</v>
      </c>
      <c r="E62" s="2">
        <v>1</v>
      </c>
    </row>
    <row r="63" spans="1:5">
      <c r="A63" s="2">
        <v>62</v>
      </c>
      <c r="B63" s="2" t="s">
        <v>18</v>
      </c>
      <c r="C63" s="2" t="s">
        <v>18</v>
      </c>
      <c r="D63" s="2">
        <v>0</v>
      </c>
      <c r="E63" s="2">
        <v>1</v>
      </c>
    </row>
    <row r="64" spans="1:5">
      <c r="A64" s="2">
        <v>63</v>
      </c>
      <c r="B64" s="2" t="s">
        <v>18</v>
      </c>
      <c r="C64" s="2" t="s">
        <v>18</v>
      </c>
      <c r="D64" s="2">
        <v>0</v>
      </c>
      <c r="E64" s="2">
        <v>1</v>
      </c>
    </row>
    <row r="65" spans="1:5">
      <c r="A65" s="2">
        <v>64</v>
      </c>
      <c r="B65" s="2" t="s">
        <v>18</v>
      </c>
      <c r="C65" s="2" t="s">
        <v>18</v>
      </c>
      <c r="D65" s="2">
        <v>0</v>
      </c>
      <c r="E65" s="2">
        <v>1</v>
      </c>
    </row>
    <row r="66" spans="1:5">
      <c r="A66" s="2">
        <v>65</v>
      </c>
      <c r="B66" s="2" t="s">
        <v>18</v>
      </c>
      <c r="C66" s="2" t="s">
        <v>18</v>
      </c>
      <c r="D66" s="2">
        <v>0</v>
      </c>
      <c r="E66" s="2">
        <v>1</v>
      </c>
    </row>
    <row r="67" spans="1:5">
      <c r="A67" s="2">
        <v>66</v>
      </c>
      <c r="B67" s="2" t="s">
        <v>18</v>
      </c>
      <c r="C67" s="2" t="s">
        <v>18</v>
      </c>
      <c r="D67" s="2">
        <v>0</v>
      </c>
      <c r="E67" s="2">
        <v>1</v>
      </c>
    </row>
    <row r="68" spans="1:5">
      <c r="A68" s="2">
        <v>67</v>
      </c>
      <c r="B68" s="2" t="s">
        <v>18</v>
      </c>
      <c r="C68" s="2" t="s">
        <v>18</v>
      </c>
      <c r="D68" s="2">
        <v>0</v>
      </c>
      <c r="E68" s="2">
        <v>1</v>
      </c>
    </row>
    <row r="69" spans="1:5">
      <c r="A69" s="2">
        <v>68</v>
      </c>
      <c r="B69" s="2" t="s">
        <v>18</v>
      </c>
      <c r="C69" s="2" t="s">
        <v>18</v>
      </c>
      <c r="D69" s="2">
        <v>0</v>
      </c>
      <c r="E69" s="2">
        <v>1</v>
      </c>
    </row>
    <row r="70" spans="1:5">
      <c r="A70" s="2">
        <v>69</v>
      </c>
      <c r="B70" s="2" t="s">
        <v>18</v>
      </c>
      <c r="C70" s="2" t="s">
        <v>18</v>
      </c>
      <c r="D70" s="2">
        <v>0</v>
      </c>
      <c r="E70" s="2">
        <v>1</v>
      </c>
    </row>
    <row r="71" spans="1:5">
      <c r="A71" s="2">
        <v>70</v>
      </c>
      <c r="B71" s="2" t="s">
        <v>18</v>
      </c>
      <c r="C71" s="2" t="s">
        <v>18</v>
      </c>
      <c r="D71" s="2">
        <v>0</v>
      </c>
      <c r="E71" s="2">
        <v>1</v>
      </c>
    </row>
    <row r="72" spans="1:5">
      <c r="A72" s="2">
        <v>71</v>
      </c>
      <c r="B72" s="2" t="s">
        <v>18</v>
      </c>
      <c r="C72" s="2" t="s">
        <v>18</v>
      </c>
      <c r="D72" s="2">
        <v>0</v>
      </c>
      <c r="E72" s="2">
        <v>1</v>
      </c>
    </row>
    <row r="73" spans="1:5">
      <c r="A73" s="2">
        <v>72</v>
      </c>
      <c r="B73" s="2" t="s">
        <v>18</v>
      </c>
      <c r="C73" s="2" t="s">
        <v>18</v>
      </c>
      <c r="D73" s="2">
        <v>0</v>
      </c>
      <c r="E73" s="2">
        <v>1</v>
      </c>
    </row>
    <row r="74" spans="1:5">
      <c r="A74" s="2">
        <v>73</v>
      </c>
      <c r="B74" s="2" t="s">
        <v>18</v>
      </c>
      <c r="C74" s="2" t="s">
        <v>18</v>
      </c>
      <c r="D74" s="2">
        <v>0</v>
      </c>
      <c r="E74" s="2">
        <v>1</v>
      </c>
    </row>
    <row r="75" spans="1:5">
      <c r="A75" s="2">
        <v>74</v>
      </c>
      <c r="B75" s="2" t="s">
        <v>18</v>
      </c>
      <c r="C75" s="2" t="s">
        <v>18</v>
      </c>
      <c r="D75" s="2">
        <v>0</v>
      </c>
      <c r="E75" s="2">
        <v>1</v>
      </c>
    </row>
    <row r="76" spans="1:5">
      <c r="A76" s="2">
        <v>75</v>
      </c>
      <c r="B76" s="2" t="s">
        <v>18</v>
      </c>
      <c r="C76" s="2" t="s">
        <v>18</v>
      </c>
      <c r="D76" s="2">
        <v>0</v>
      </c>
      <c r="E76" s="2">
        <v>1</v>
      </c>
    </row>
    <row r="77" spans="1:5">
      <c r="A77" s="2">
        <v>76</v>
      </c>
      <c r="B77" s="2" t="s">
        <v>18</v>
      </c>
      <c r="C77" s="2" t="s">
        <v>18</v>
      </c>
      <c r="D77" s="2">
        <v>0</v>
      </c>
      <c r="E77" s="2">
        <v>1</v>
      </c>
    </row>
    <row r="78" spans="1:5">
      <c r="A78" s="2">
        <v>77</v>
      </c>
      <c r="B78" s="2" t="s">
        <v>18</v>
      </c>
      <c r="C78" s="2" t="s">
        <v>18</v>
      </c>
      <c r="D78" s="2">
        <v>0</v>
      </c>
      <c r="E78" s="2">
        <v>1</v>
      </c>
    </row>
    <row r="79" spans="1:5">
      <c r="A79" s="2">
        <v>78</v>
      </c>
      <c r="B79" s="2" t="s">
        <v>18</v>
      </c>
      <c r="C79" s="2" t="s">
        <v>18</v>
      </c>
      <c r="D79" s="2">
        <v>0</v>
      </c>
      <c r="E79" s="2">
        <v>1</v>
      </c>
    </row>
    <row r="80" spans="1:5">
      <c r="A80" s="2">
        <v>79</v>
      </c>
      <c r="B80" s="2" t="s">
        <v>18</v>
      </c>
      <c r="C80" s="2" t="s">
        <v>18</v>
      </c>
      <c r="D80" s="2">
        <v>0</v>
      </c>
      <c r="E80" s="2">
        <v>1</v>
      </c>
    </row>
    <row r="81" spans="1:5">
      <c r="A81" s="2">
        <v>80</v>
      </c>
      <c r="B81" s="2" t="s">
        <v>18</v>
      </c>
      <c r="C81" s="2" t="s">
        <v>18</v>
      </c>
      <c r="D81" s="2">
        <v>0</v>
      </c>
      <c r="E81" s="2">
        <v>1</v>
      </c>
    </row>
    <row r="82" spans="1:5">
      <c r="A82" s="2">
        <v>81</v>
      </c>
      <c r="B82" s="2" t="s">
        <v>18</v>
      </c>
      <c r="C82" s="2" t="s">
        <v>18</v>
      </c>
      <c r="D82" s="2">
        <v>4.0000000000000001E-3</v>
      </c>
      <c r="E82" s="2">
        <v>0.996</v>
      </c>
    </row>
    <row r="83" spans="1:5">
      <c r="A83" s="2">
        <v>82</v>
      </c>
      <c r="B83" s="2" t="s">
        <v>18</v>
      </c>
      <c r="C83" s="2" t="s">
        <v>18</v>
      </c>
      <c r="D83" s="2">
        <v>0</v>
      </c>
      <c r="E83" s="2">
        <v>1</v>
      </c>
    </row>
    <row r="84" spans="1:5">
      <c r="A84" s="2">
        <v>83</v>
      </c>
      <c r="B84" s="2" t="s">
        <v>18</v>
      </c>
      <c r="C84" s="2" t="s">
        <v>18</v>
      </c>
      <c r="D84" s="2">
        <v>0</v>
      </c>
      <c r="E84" s="2">
        <v>1</v>
      </c>
    </row>
    <row r="85" spans="1:5">
      <c r="A85" s="2">
        <v>84</v>
      </c>
      <c r="B85" s="2" t="s">
        <v>18</v>
      </c>
      <c r="C85" s="2" t="s">
        <v>18</v>
      </c>
      <c r="D85" s="2">
        <v>0</v>
      </c>
      <c r="E85" s="2">
        <v>1</v>
      </c>
    </row>
    <row r="86" spans="1:5">
      <c r="A86" s="2">
        <v>85</v>
      </c>
      <c r="B86" s="2" t="s">
        <v>18</v>
      </c>
      <c r="C86" s="2" t="s">
        <v>18</v>
      </c>
      <c r="D86" s="2">
        <v>2E-3</v>
      </c>
      <c r="E86" s="2">
        <v>0.998</v>
      </c>
    </row>
    <row r="87" spans="1:5">
      <c r="A87" s="2">
        <v>86</v>
      </c>
      <c r="B87" s="2" t="s">
        <v>18</v>
      </c>
      <c r="C87" s="2" t="s">
        <v>18</v>
      </c>
      <c r="D87" s="2">
        <v>0</v>
      </c>
      <c r="E87" s="2">
        <v>1</v>
      </c>
    </row>
    <row r="88" spans="1:5">
      <c r="A88" s="2">
        <v>87</v>
      </c>
      <c r="B88" s="2" t="s">
        <v>18</v>
      </c>
      <c r="C88" s="2" t="s">
        <v>18</v>
      </c>
      <c r="D88" s="2">
        <v>0</v>
      </c>
      <c r="E88" s="2">
        <v>1</v>
      </c>
    </row>
    <row r="89" spans="1:5">
      <c r="A89" s="2">
        <v>88</v>
      </c>
      <c r="B89" s="2" t="s">
        <v>18</v>
      </c>
      <c r="C89" s="2" t="s">
        <v>18</v>
      </c>
      <c r="D89" s="2">
        <v>0</v>
      </c>
      <c r="E89" s="2">
        <v>1</v>
      </c>
    </row>
    <row r="90" spans="1:5">
      <c r="A90" s="2">
        <v>89</v>
      </c>
      <c r="B90" s="2" t="s">
        <v>97</v>
      </c>
      <c r="C90" s="2" t="s">
        <v>97</v>
      </c>
      <c r="D90" s="2">
        <v>0.72199999999999998</v>
      </c>
      <c r="E90" s="2">
        <v>0.27800000000000002</v>
      </c>
    </row>
    <row r="91" spans="1:5">
      <c r="A91" s="2">
        <v>90</v>
      </c>
      <c r="B91" s="2" t="s">
        <v>18</v>
      </c>
      <c r="C91" s="2" t="s">
        <v>18</v>
      </c>
      <c r="D91" s="2">
        <v>0</v>
      </c>
      <c r="E91" s="2">
        <v>1</v>
      </c>
    </row>
    <row r="92" spans="1:5">
      <c r="A92" s="2">
        <v>91</v>
      </c>
      <c r="B92" s="2" t="s">
        <v>18</v>
      </c>
      <c r="C92" s="2" t="s">
        <v>18</v>
      </c>
      <c r="D92" s="2">
        <v>0</v>
      </c>
      <c r="E92" s="2">
        <v>1</v>
      </c>
    </row>
    <row r="93" spans="1:5">
      <c r="A93" s="2">
        <v>92</v>
      </c>
      <c r="B93" s="2" t="s">
        <v>18</v>
      </c>
      <c r="C93" s="2" t="s">
        <v>18</v>
      </c>
      <c r="D93" s="2">
        <v>2E-3</v>
      </c>
      <c r="E93" s="2">
        <v>0.998</v>
      </c>
    </row>
    <row r="94" spans="1:5">
      <c r="A94" s="2">
        <v>93</v>
      </c>
      <c r="B94" s="2" t="s">
        <v>18</v>
      </c>
      <c r="C94" s="2" t="s">
        <v>18</v>
      </c>
      <c r="D94" s="2">
        <v>8.5999999999999993E-2</v>
      </c>
      <c r="E94" s="2">
        <v>0.91400000000000003</v>
      </c>
    </row>
    <row r="95" spans="1:5">
      <c r="A95" s="2">
        <v>94</v>
      </c>
      <c r="B95" s="2" t="s">
        <v>18</v>
      </c>
      <c r="C95" s="2" t="s">
        <v>18</v>
      </c>
      <c r="D95" s="2">
        <v>0</v>
      </c>
      <c r="E95" s="2">
        <v>1</v>
      </c>
    </row>
    <row r="96" spans="1:5">
      <c r="A96" s="2">
        <v>95</v>
      </c>
      <c r="B96" s="2" t="s">
        <v>18</v>
      </c>
      <c r="C96" s="2" t="s">
        <v>18</v>
      </c>
      <c r="D96" s="2">
        <v>0</v>
      </c>
      <c r="E96" s="2">
        <v>1</v>
      </c>
    </row>
    <row r="97" spans="1:5">
      <c r="A97" s="2">
        <v>96</v>
      </c>
      <c r="B97" s="2" t="s">
        <v>18</v>
      </c>
      <c r="C97" s="2" t="s">
        <v>18</v>
      </c>
      <c r="D97" s="2">
        <v>0</v>
      </c>
      <c r="E97" s="2">
        <v>1</v>
      </c>
    </row>
    <row r="98" spans="1:5">
      <c r="A98" s="2">
        <v>97</v>
      </c>
      <c r="B98" s="2" t="s">
        <v>18</v>
      </c>
      <c r="C98" s="2" t="s">
        <v>18</v>
      </c>
      <c r="D98" s="2">
        <v>0</v>
      </c>
      <c r="E98" s="2">
        <v>1</v>
      </c>
    </row>
    <row r="99" spans="1:5">
      <c r="A99" s="2">
        <v>98</v>
      </c>
      <c r="B99" s="2" t="s">
        <v>97</v>
      </c>
      <c r="C99" s="2" t="s">
        <v>97</v>
      </c>
      <c r="D99" s="2">
        <v>0.64800000000000002</v>
      </c>
      <c r="E99" s="2">
        <v>0.35199999999999998</v>
      </c>
    </row>
    <row r="100" spans="1:5">
      <c r="A100" s="2">
        <v>99</v>
      </c>
      <c r="B100" s="2" t="s">
        <v>18</v>
      </c>
      <c r="C100" s="2" t="s">
        <v>18</v>
      </c>
      <c r="D100" s="2">
        <v>0</v>
      </c>
      <c r="E100" s="2">
        <v>1</v>
      </c>
    </row>
    <row r="101" spans="1:5">
      <c r="A101" s="2">
        <v>100</v>
      </c>
      <c r="B101" s="2" t="s">
        <v>18</v>
      </c>
      <c r="C101" s="2" t="s">
        <v>18</v>
      </c>
      <c r="D101" s="2">
        <v>0</v>
      </c>
      <c r="E101" s="2">
        <v>1</v>
      </c>
    </row>
    <row r="102" spans="1:5">
      <c r="A102" s="2">
        <v>101</v>
      </c>
      <c r="B102" s="2" t="s">
        <v>18</v>
      </c>
      <c r="C102" s="2" t="s">
        <v>18</v>
      </c>
      <c r="D102" s="2">
        <v>0</v>
      </c>
      <c r="E102" s="2">
        <v>1</v>
      </c>
    </row>
    <row r="103" spans="1:5">
      <c r="A103" s="2">
        <v>102</v>
      </c>
      <c r="B103" s="2" t="s">
        <v>18</v>
      </c>
      <c r="C103" s="2" t="s">
        <v>18</v>
      </c>
      <c r="D103" s="2">
        <v>0</v>
      </c>
      <c r="E103" s="2">
        <v>1</v>
      </c>
    </row>
    <row r="104" spans="1:5">
      <c r="A104" s="2">
        <v>103</v>
      </c>
      <c r="B104" s="2" t="s">
        <v>18</v>
      </c>
      <c r="C104" s="2" t="s">
        <v>18</v>
      </c>
      <c r="D104" s="2">
        <v>0</v>
      </c>
      <c r="E104" s="2">
        <v>1</v>
      </c>
    </row>
    <row r="105" spans="1:5">
      <c r="A105" s="2">
        <v>104</v>
      </c>
      <c r="B105" s="2" t="s">
        <v>18</v>
      </c>
      <c r="C105" s="2" t="s">
        <v>18</v>
      </c>
      <c r="D105" s="2">
        <v>0</v>
      </c>
      <c r="E105" s="2">
        <v>1</v>
      </c>
    </row>
    <row r="106" spans="1:5">
      <c r="A106" s="2">
        <v>105</v>
      </c>
      <c r="B106" s="2" t="s">
        <v>18</v>
      </c>
      <c r="C106" s="2" t="s">
        <v>18</v>
      </c>
      <c r="D106" s="2">
        <v>0</v>
      </c>
      <c r="E106" s="2">
        <v>1</v>
      </c>
    </row>
    <row r="107" spans="1:5">
      <c r="A107" s="2">
        <v>106</v>
      </c>
      <c r="B107" s="2" t="s">
        <v>18</v>
      </c>
      <c r="C107" s="2" t="s">
        <v>18</v>
      </c>
      <c r="D107" s="2">
        <v>0</v>
      </c>
      <c r="E107" s="2">
        <v>1</v>
      </c>
    </row>
    <row r="108" spans="1:5">
      <c r="A108" s="2">
        <v>107</v>
      </c>
      <c r="B108" s="2" t="s">
        <v>18</v>
      </c>
      <c r="C108" s="2" t="s">
        <v>18</v>
      </c>
      <c r="D108" s="2">
        <v>0</v>
      </c>
      <c r="E108" s="2">
        <v>1</v>
      </c>
    </row>
    <row r="109" spans="1:5">
      <c r="A109" s="2">
        <v>108</v>
      </c>
      <c r="B109" s="2" t="s">
        <v>18</v>
      </c>
      <c r="C109" s="2" t="s">
        <v>18</v>
      </c>
      <c r="D109" s="2">
        <v>0</v>
      </c>
      <c r="E109" s="2">
        <v>1</v>
      </c>
    </row>
    <row r="110" spans="1:5">
      <c r="A110" s="2">
        <v>109</v>
      </c>
      <c r="B110" s="2" t="s">
        <v>18</v>
      </c>
      <c r="C110" s="2" t="s">
        <v>18</v>
      </c>
      <c r="D110" s="2">
        <v>0</v>
      </c>
      <c r="E110" s="2">
        <v>1</v>
      </c>
    </row>
    <row r="111" spans="1:5">
      <c r="A111" s="2">
        <v>110</v>
      </c>
      <c r="B111" s="2" t="s">
        <v>18</v>
      </c>
      <c r="C111" s="2" t="s">
        <v>18</v>
      </c>
      <c r="D111" s="2">
        <v>0</v>
      </c>
      <c r="E111" s="2">
        <v>1</v>
      </c>
    </row>
    <row r="112" spans="1:5">
      <c r="A112" s="2">
        <v>111</v>
      </c>
      <c r="B112" s="2" t="s">
        <v>18</v>
      </c>
      <c r="C112" s="2" t="s">
        <v>18</v>
      </c>
      <c r="D112" s="2">
        <v>0</v>
      </c>
      <c r="E112" s="2">
        <v>1</v>
      </c>
    </row>
    <row r="113" spans="1:5">
      <c r="A113" s="2">
        <v>112</v>
      </c>
      <c r="B113" s="2" t="s">
        <v>18</v>
      </c>
      <c r="C113" s="2" t="s">
        <v>18</v>
      </c>
      <c r="D113" s="2">
        <v>0</v>
      </c>
      <c r="E113" s="2">
        <v>1</v>
      </c>
    </row>
    <row r="114" spans="1:5">
      <c r="A114" s="2">
        <v>113</v>
      </c>
      <c r="B114" s="2" t="s">
        <v>18</v>
      </c>
      <c r="C114" s="2" t="s">
        <v>18</v>
      </c>
      <c r="D114" s="2">
        <v>0</v>
      </c>
      <c r="E114" s="2">
        <v>1</v>
      </c>
    </row>
    <row r="115" spans="1:5">
      <c r="A115" s="2">
        <v>114</v>
      </c>
      <c r="B115" s="2" t="s">
        <v>18</v>
      </c>
      <c r="C115" s="2" t="s">
        <v>18</v>
      </c>
      <c r="D115" s="2">
        <v>0</v>
      </c>
      <c r="E115" s="2">
        <v>1</v>
      </c>
    </row>
    <row r="116" spans="1:5">
      <c r="A116" s="2">
        <v>115</v>
      </c>
      <c r="B116" s="2" t="s">
        <v>18</v>
      </c>
      <c r="C116" s="2" t="s">
        <v>18</v>
      </c>
      <c r="D116" s="2">
        <v>0</v>
      </c>
      <c r="E116" s="2">
        <v>1</v>
      </c>
    </row>
    <row r="117" spans="1:5">
      <c r="A117" s="2">
        <v>116</v>
      </c>
      <c r="B117" s="2" t="s">
        <v>18</v>
      </c>
      <c r="C117" s="2" t="s">
        <v>18</v>
      </c>
      <c r="D117" s="2">
        <v>0</v>
      </c>
      <c r="E117" s="2">
        <v>1</v>
      </c>
    </row>
    <row r="118" spans="1:5">
      <c r="A118" s="2">
        <v>117</v>
      </c>
      <c r="B118" s="2" t="s">
        <v>18</v>
      </c>
      <c r="C118" s="2" t="s">
        <v>18</v>
      </c>
      <c r="D118" s="2">
        <v>0</v>
      </c>
      <c r="E118" s="2">
        <v>1</v>
      </c>
    </row>
    <row r="119" spans="1:5">
      <c r="A119" s="2">
        <v>118</v>
      </c>
      <c r="B119" s="2" t="s">
        <v>18</v>
      </c>
      <c r="C119" s="2" t="s">
        <v>18</v>
      </c>
      <c r="D119" s="2">
        <v>0</v>
      </c>
      <c r="E119" s="2">
        <v>1</v>
      </c>
    </row>
    <row r="120" spans="1:5">
      <c r="A120" s="2">
        <v>119</v>
      </c>
      <c r="B120" s="2" t="s">
        <v>18</v>
      </c>
      <c r="C120" s="2" t="s">
        <v>18</v>
      </c>
      <c r="D120" s="2">
        <v>0</v>
      </c>
      <c r="E120" s="2">
        <v>1</v>
      </c>
    </row>
    <row r="121" spans="1:5">
      <c r="A121" s="2">
        <v>120</v>
      </c>
      <c r="B121" s="2" t="s">
        <v>97</v>
      </c>
      <c r="C121" s="2" t="s">
        <v>97</v>
      </c>
      <c r="D121" s="2">
        <v>0.90200000000000002</v>
      </c>
      <c r="E121" s="2">
        <v>9.8000000000000004E-2</v>
      </c>
    </row>
    <row r="122" spans="1:5">
      <c r="A122" s="2">
        <v>121</v>
      </c>
      <c r="B122" s="2" t="s">
        <v>97</v>
      </c>
      <c r="C122" s="2" t="s">
        <v>97</v>
      </c>
      <c r="D122" s="2">
        <v>1</v>
      </c>
      <c r="E122" s="2">
        <v>0</v>
      </c>
    </row>
    <row r="123" spans="1:5">
      <c r="A123" s="2">
        <v>122</v>
      </c>
      <c r="B123" s="2" t="s">
        <v>18</v>
      </c>
      <c r="C123" s="2" t="s">
        <v>18</v>
      </c>
      <c r="D123" s="2">
        <v>0</v>
      </c>
      <c r="E123" s="2">
        <v>1</v>
      </c>
    </row>
    <row r="124" spans="1:5">
      <c r="A124" s="2">
        <v>123</v>
      </c>
      <c r="B124" s="2" t="s">
        <v>18</v>
      </c>
      <c r="C124" s="2" t="s">
        <v>18</v>
      </c>
      <c r="D124" s="2">
        <v>0</v>
      </c>
      <c r="E124" s="2">
        <v>1</v>
      </c>
    </row>
    <row r="125" spans="1:5">
      <c r="A125" s="2">
        <v>124</v>
      </c>
      <c r="B125" s="2" t="s">
        <v>18</v>
      </c>
      <c r="C125" s="2" t="s">
        <v>18</v>
      </c>
      <c r="D125" s="2">
        <v>0</v>
      </c>
      <c r="E125" s="2">
        <v>1</v>
      </c>
    </row>
    <row r="126" spans="1:5">
      <c r="A126" s="2">
        <v>125</v>
      </c>
      <c r="B126" s="2" t="s">
        <v>18</v>
      </c>
      <c r="C126" s="2" t="s">
        <v>18</v>
      </c>
      <c r="D126" s="2">
        <v>0</v>
      </c>
      <c r="E126" s="2">
        <v>1</v>
      </c>
    </row>
    <row r="127" spans="1:5">
      <c r="A127" s="2">
        <v>126</v>
      </c>
      <c r="B127" s="2" t="s">
        <v>18</v>
      </c>
      <c r="C127" s="2" t="s">
        <v>18</v>
      </c>
      <c r="D127" s="2">
        <v>0</v>
      </c>
      <c r="E127" s="2">
        <v>1</v>
      </c>
    </row>
    <row r="128" spans="1:5">
      <c r="A128" s="2">
        <v>127</v>
      </c>
      <c r="B128" s="2" t="s">
        <v>18</v>
      </c>
      <c r="C128" s="2" t="s">
        <v>18</v>
      </c>
      <c r="D128" s="2">
        <v>0</v>
      </c>
      <c r="E128" s="2">
        <v>1</v>
      </c>
    </row>
    <row r="129" spans="1:5">
      <c r="A129" s="2">
        <v>128</v>
      </c>
      <c r="B129" s="2" t="s">
        <v>18</v>
      </c>
      <c r="C129" s="2" t="s">
        <v>18</v>
      </c>
      <c r="D129" s="2">
        <v>0</v>
      </c>
      <c r="E129" s="2">
        <v>1</v>
      </c>
    </row>
    <row r="130" spans="1:5">
      <c r="A130" s="2">
        <v>129</v>
      </c>
      <c r="B130" s="2" t="s">
        <v>18</v>
      </c>
      <c r="C130" s="2" t="s">
        <v>18</v>
      </c>
      <c r="D130" s="2">
        <v>0</v>
      </c>
      <c r="E130" s="2">
        <v>1</v>
      </c>
    </row>
    <row r="131" spans="1:5">
      <c r="A131" s="2">
        <v>130</v>
      </c>
      <c r="B131" s="2" t="s">
        <v>18</v>
      </c>
      <c r="C131" s="2" t="s">
        <v>18</v>
      </c>
      <c r="D131" s="2">
        <v>6.0000000000000001E-3</v>
      </c>
      <c r="E131" s="2">
        <v>0.99399999999999999</v>
      </c>
    </row>
    <row r="132" spans="1:5">
      <c r="A132" s="2">
        <v>131</v>
      </c>
      <c r="B132" s="2" t="s">
        <v>18</v>
      </c>
      <c r="C132" s="2" t="s">
        <v>18</v>
      </c>
      <c r="D132" s="2">
        <v>0</v>
      </c>
      <c r="E132" s="2">
        <v>1</v>
      </c>
    </row>
    <row r="133" spans="1:5">
      <c r="A133" s="2">
        <v>132</v>
      </c>
      <c r="B133" s="2" t="s">
        <v>18</v>
      </c>
      <c r="C133" s="2" t="s">
        <v>18</v>
      </c>
      <c r="D133" s="2">
        <v>0</v>
      </c>
      <c r="E133" s="2">
        <v>1</v>
      </c>
    </row>
    <row r="134" spans="1:5">
      <c r="A134" s="2">
        <v>133</v>
      </c>
      <c r="B134" s="2" t="s">
        <v>18</v>
      </c>
      <c r="C134" s="2" t="s">
        <v>18</v>
      </c>
      <c r="D134" s="2">
        <v>0</v>
      </c>
      <c r="E134" s="2">
        <v>1</v>
      </c>
    </row>
    <row r="135" spans="1:5">
      <c r="A135" s="2">
        <v>134</v>
      </c>
      <c r="B135" s="2" t="s">
        <v>18</v>
      </c>
      <c r="C135" s="2" t="s">
        <v>18</v>
      </c>
      <c r="D135" s="2">
        <v>0</v>
      </c>
      <c r="E135" s="2">
        <v>1</v>
      </c>
    </row>
    <row r="136" spans="1:5">
      <c r="A136" s="2">
        <v>135</v>
      </c>
      <c r="B136" s="2" t="s">
        <v>18</v>
      </c>
      <c r="C136" s="2" t="s">
        <v>18</v>
      </c>
      <c r="D136" s="2">
        <v>0</v>
      </c>
      <c r="E136" s="2">
        <v>1</v>
      </c>
    </row>
    <row r="137" spans="1:5">
      <c r="A137" s="2">
        <v>136</v>
      </c>
      <c r="B137" s="2" t="s">
        <v>18</v>
      </c>
      <c r="C137" s="2" t="s">
        <v>18</v>
      </c>
      <c r="D137" s="2">
        <v>0</v>
      </c>
      <c r="E137" s="2">
        <v>1</v>
      </c>
    </row>
    <row r="138" spans="1:5">
      <c r="A138" s="2">
        <v>137</v>
      </c>
      <c r="B138" s="2" t="s">
        <v>97</v>
      </c>
      <c r="C138" s="2" t="s">
        <v>97</v>
      </c>
      <c r="D138" s="2">
        <v>0.65800000000000003</v>
      </c>
      <c r="E138" s="2">
        <v>0.34200000000000003</v>
      </c>
    </row>
    <row r="139" spans="1:5">
      <c r="A139" s="2">
        <v>138</v>
      </c>
      <c r="B139" s="2" t="s">
        <v>18</v>
      </c>
      <c r="C139" s="2" t="s">
        <v>18</v>
      </c>
      <c r="D139" s="2">
        <v>0</v>
      </c>
      <c r="E139" s="2">
        <v>1</v>
      </c>
    </row>
    <row r="140" spans="1:5">
      <c r="A140" s="2">
        <v>139</v>
      </c>
      <c r="B140" s="2" t="s">
        <v>18</v>
      </c>
      <c r="C140" s="2" t="s">
        <v>18</v>
      </c>
      <c r="D140" s="2">
        <v>0</v>
      </c>
      <c r="E140" s="2">
        <v>1</v>
      </c>
    </row>
    <row r="141" spans="1:5">
      <c r="A141" s="2">
        <v>140</v>
      </c>
      <c r="B141" s="2" t="s">
        <v>18</v>
      </c>
      <c r="C141" s="2" t="s">
        <v>18</v>
      </c>
      <c r="D141" s="2">
        <v>0</v>
      </c>
      <c r="E141" s="2">
        <v>1</v>
      </c>
    </row>
    <row r="142" spans="1:5">
      <c r="A142" s="2">
        <v>141</v>
      </c>
      <c r="B142" s="2" t="s">
        <v>18</v>
      </c>
      <c r="C142" s="2" t="s">
        <v>18</v>
      </c>
      <c r="D142" s="2">
        <v>0</v>
      </c>
      <c r="E142" s="2">
        <v>1</v>
      </c>
    </row>
    <row r="143" spans="1:5">
      <c r="A143" s="2">
        <v>142</v>
      </c>
      <c r="B143" s="2" t="s">
        <v>18</v>
      </c>
      <c r="C143" s="2" t="s">
        <v>18</v>
      </c>
      <c r="D143" s="2">
        <v>0</v>
      </c>
      <c r="E143" s="2">
        <v>1</v>
      </c>
    </row>
    <row r="144" spans="1:5">
      <c r="A144" s="2">
        <v>143</v>
      </c>
      <c r="B144" s="2" t="s">
        <v>18</v>
      </c>
      <c r="C144" s="2" t="s">
        <v>18</v>
      </c>
      <c r="D144" s="2">
        <v>0</v>
      </c>
      <c r="E144" s="2">
        <v>1</v>
      </c>
    </row>
    <row r="145" spans="1:5">
      <c r="A145" s="2">
        <v>144</v>
      </c>
      <c r="B145" s="2" t="s">
        <v>18</v>
      </c>
      <c r="C145" s="2" t="s">
        <v>18</v>
      </c>
      <c r="D145" s="2">
        <v>0</v>
      </c>
      <c r="E145" s="2">
        <v>1</v>
      </c>
    </row>
    <row r="146" spans="1:5">
      <c r="A146" s="2">
        <v>145</v>
      </c>
      <c r="B146" s="2" t="s">
        <v>18</v>
      </c>
      <c r="C146" s="2" t="s">
        <v>18</v>
      </c>
      <c r="D146" s="2">
        <v>0</v>
      </c>
      <c r="E146" s="2">
        <v>1</v>
      </c>
    </row>
    <row r="147" spans="1:5">
      <c r="A147" s="2">
        <v>146</v>
      </c>
      <c r="B147" s="2" t="s">
        <v>97</v>
      </c>
      <c r="C147" s="2" t="s">
        <v>97</v>
      </c>
      <c r="D147" s="2">
        <v>0.65</v>
      </c>
      <c r="E147" s="2">
        <v>0.35</v>
      </c>
    </row>
    <row r="148" spans="1:5">
      <c r="A148" s="2">
        <v>147</v>
      </c>
      <c r="B148" s="2" t="s">
        <v>18</v>
      </c>
      <c r="C148" s="2" t="s">
        <v>18</v>
      </c>
      <c r="D148" s="2">
        <v>2E-3</v>
      </c>
      <c r="E148" s="2">
        <v>0.998</v>
      </c>
    </row>
    <row r="149" spans="1:5">
      <c r="A149" s="2">
        <v>148</v>
      </c>
      <c r="B149" s="2" t="s">
        <v>18</v>
      </c>
      <c r="C149" s="2" t="s">
        <v>18</v>
      </c>
      <c r="D149" s="2">
        <v>0</v>
      </c>
      <c r="E149" s="2">
        <v>1</v>
      </c>
    </row>
    <row r="150" spans="1:5">
      <c r="A150" s="2">
        <v>149</v>
      </c>
      <c r="B150" s="2" t="s">
        <v>18</v>
      </c>
      <c r="C150" s="2" t="s">
        <v>18</v>
      </c>
      <c r="D150" s="2">
        <v>0</v>
      </c>
      <c r="E150" s="2">
        <v>1</v>
      </c>
    </row>
    <row r="151" spans="1:5">
      <c r="A151" s="2">
        <v>150</v>
      </c>
      <c r="B151" s="2" t="s">
        <v>18</v>
      </c>
      <c r="C151" s="2" t="s">
        <v>18</v>
      </c>
      <c r="D151" s="2">
        <v>0</v>
      </c>
      <c r="E151" s="2">
        <v>1</v>
      </c>
    </row>
    <row r="152" spans="1:5">
      <c r="A152" s="2">
        <v>151</v>
      </c>
      <c r="B152" s="2" t="s">
        <v>18</v>
      </c>
      <c r="C152" s="2" t="s">
        <v>18</v>
      </c>
      <c r="D152" s="2">
        <v>0</v>
      </c>
      <c r="E152" s="2">
        <v>1</v>
      </c>
    </row>
    <row r="153" spans="1:5">
      <c r="A153" s="2">
        <v>152</v>
      </c>
      <c r="B153" s="2" t="s">
        <v>18</v>
      </c>
      <c r="C153" s="2" t="s">
        <v>18</v>
      </c>
      <c r="D153" s="2">
        <v>0</v>
      </c>
      <c r="E153" s="2">
        <v>1</v>
      </c>
    </row>
    <row r="154" spans="1:5">
      <c r="A154" s="2">
        <v>153</v>
      </c>
      <c r="B154" s="2" t="s">
        <v>18</v>
      </c>
      <c r="C154" s="2" t="s">
        <v>18</v>
      </c>
      <c r="D154" s="2">
        <v>0</v>
      </c>
      <c r="E154" s="2">
        <v>1</v>
      </c>
    </row>
    <row r="155" spans="1:5">
      <c r="A155" s="2">
        <v>154</v>
      </c>
      <c r="B155" s="2" t="s">
        <v>18</v>
      </c>
      <c r="C155" s="2" t="s">
        <v>18</v>
      </c>
      <c r="D155" s="2">
        <v>0</v>
      </c>
      <c r="E155" s="2">
        <v>1</v>
      </c>
    </row>
    <row r="156" spans="1:5">
      <c r="A156" s="2">
        <v>155</v>
      </c>
      <c r="B156" s="2" t="s">
        <v>18</v>
      </c>
      <c r="C156" s="2" t="s">
        <v>18</v>
      </c>
      <c r="D156" s="2">
        <v>0</v>
      </c>
      <c r="E156" s="2">
        <v>1</v>
      </c>
    </row>
    <row r="157" spans="1:5">
      <c r="A157" s="2">
        <v>156</v>
      </c>
      <c r="B157" s="2" t="s">
        <v>18</v>
      </c>
      <c r="C157" s="2" t="s">
        <v>18</v>
      </c>
      <c r="D157" s="2">
        <v>0</v>
      </c>
      <c r="E157" s="2">
        <v>1</v>
      </c>
    </row>
    <row r="158" spans="1:5">
      <c r="A158" s="2">
        <v>157</v>
      </c>
      <c r="B158" s="2" t="s">
        <v>18</v>
      </c>
      <c r="C158" s="2" t="s">
        <v>18</v>
      </c>
      <c r="D158" s="2">
        <v>0</v>
      </c>
      <c r="E158" s="2">
        <v>1</v>
      </c>
    </row>
    <row r="159" spans="1:5">
      <c r="A159" s="2">
        <v>158</v>
      </c>
      <c r="B159" s="2" t="s">
        <v>18</v>
      </c>
      <c r="C159" s="2" t="s">
        <v>18</v>
      </c>
      <c r="D159" s="2">
        <v>0</v>
      </c>
      <c r="E159" s="2">
        <v>1</v>
      </c>
    </row>
    <row r="160" spans="1:5">
      <c r="A160" s="2">
        <v>159</v>
      </c>
      <c r="B160" s="2" t="s">
        <v>18</v>
      </c>
      <c r="C160" s="2" t="s">
        <v>18</v>
      </c>
      <c r="D160" s="2">
        <v>0</v>
      </c>
      <c r="E160" s="2">
        <v>1</v>
      </c>
    </row>
    <row r="161" spans="1:5">
      <c r="A161" s="2">
        <v>160</v>
      </c>
      <c r="B161" s="2" t="s">
        <v>18</v>
      </c>
      <c r="C161" s="2" t="s">
        <v>18</v>
      </c>
      <c r="D161" s="2">
        <v>0</v>
      </c>
      <c r="E161" s="2">
        <v>1</v>
      </c>
    </row>
    <row r="162" spans="1:5">
      <c r="A162" s="2">
        <v>161</v>
      </c>
      <c r="B162" s="2" t="s">
        <v>18</v>
      </c>
      <c r="C162" s="2" t="s">
        <v>18</v>
      </c>
      <c r="D162" s="2">
        <v>0</v>
      </c>
      <c r="E162" s="2">
        <v>1</v>
      </c>
    </row>
    <row r="163" spans="1:5">
      <c r="A163" s="2">
        <v>162</v>
      </c>
      <c r="B163" s="2" t="s">
        <v>18</v>
      </c>
      <c r="C163" s="2" t="s">
        <v>18</v>
      </c>
      <c r="D163" s="2">
        <v>0</v>
      </c>
      <c r="E163" s="2">
        <v>1</v>
      </c>
    </row>
    <row r="164" spans="1:5">
      <c r="A164" s="2">
        <v>163</v>
      </c>
      <c r="B164" s="2" t="s">
        <v>18</v>
      </c>
      <c r="C164" s="2" t="s">
        <v>18</v>
      </c>
      <c r="D164" s="2">
        <v>0</v>
      </c>
      <c r="E164" s="2">
        <v>1</v>
      </c>
    </row>
    <row r="165" spans="1:5">
      <c r="A165" s="2">
        <v>164</v>
      </c>
      <c r="B165" s="2" t="s">
        <v>18</v>
      </c>
      <c r="C165" s="2" t="s">
        <v>18</v>
      </c>
      <c r="D165" s="2">
        <v>0</v>
      </c>
      <c r="E165" s="2">
        <v>1</v>
      </c>
    </row>
    <row r="166" spans="1:5">
      <c r="A166" s="2">
        <v>165</v>
      </c>
      <c r="B166" s="2" t="s">
        <v>18</v>
      </c>
      <c r="C166" s="2" t="s">
        <v>18</v>
      </c>
      <c r="D166" s="2">
        <v>0</v>
      </c>
      <c r="E166" s="2">
        <v>1</v>
      </c>
    </row>
    <row r="167" spans="1:5">
      <c r="A167" s="2">
        <v>166</v>
      </c>
      <c r="B167" s="2" t="s">
        <v>18</v>
      </c>
      <c r="C167" s="2" t="s">
        <v>18</v>
      </c>
      <c r="D167" s="2">
        <v>0</v>
      </c>
      <c r="E167" s="2">
        <v>1</v>
      </c>
    </row>
    <row r="168" spans="1:5">
      <c r="A168" s="2">
        <v>167</v>
      </c>
      <c r="B168" s="2" t="s">
        <v>18</v>
      </c>
      <c r="C168" s="2" t="s">
        <v>18</v>
      </c>
      <c r="D168" s="2">
        <v>0</v>
      </c>
      <c r="E168" s="2">
        <v>1</v>
      </c>
    </row>
    <row r="169" spans="1:5">
      <c r="A169" s="2">
        <v>168</v>
      </c>
      <c r="B169" s="2" t="s">
        <v>18</v>
      </c>
      <c r="C169" s="2" t="s">
        <v>18</v>
      </c>
      <c r="D169" s="2">
        <v>0</v>
      </c>
      <c r="E169" s="2">
        <v>1</v>
      </c>
    </row>
    <row r="170" spans="1:5">
      <c r="A170" s="2">
        <v>169</v>
      </c>
      <c r="B170" s="2" t="s">
        <v>18</v>
      </c>
      <c r="C170" s="2" t="s">
        <v>18</v>
      </c>
      <c r="D170" s="2">
        <v>0</v>
      </c>
      <c r="E170" s="2">
        <v>1</v>
      </c>
    </row>
    <row r="171" spans="1:5">
      <c r="A171" s="2">
        <v>170</v>
      </c>
      <c r="B171" s="2" t="s">
        <v>18</v>
      </c>
      <c r="C171" s="2" t="s">
        <v>18</v>
      </c>
      <c r="D171" s="2">
        <v>0</v>
      </c>
      <c r="E171" s="2">
        <v>1</v>
      </c>
    </row>
    <row r="172" spans="1:5">
      <c r="A172" s="2">
        <v>171</v>
      </c>
      <c r="B172" s="2" t="s">
        <v>18</v>
      </c>
      <c r="C172" s="2" t="s">
        <v>18</v>
      </c>
      <c r="D172" s="2">
        <v>0</v>
      </c>
      <c r="E172" s="2">
        <v>1</v>
      </c>
    </row>
    <row r="173" spans="1:5">
      <c r="A173" s="2">
        <v>172</v>
      </c>
      <c r="B173" s="2" t="s">
        <v>18</v>
      </c>
      <c r="C173" s="2" t="s">
        <v>18</v>
      </c>
      <c r="D173" s="2">
        <v>0</v>
      </c>
      <c r="E173" s="2">
        <v>1</v>
      </c>
    </row>
    <row r="174" spans="1:5">
      <c r="A174" s="2">
        <v>173</v>
      </c>
      <c r="B174" s="2" t="s">
        <v>18</v>
      </c>
      <c r="C174" s="2" t="s">
        <v>18</v>
      </c>
      <c r="D174" s="2">
        <v>0</v>
      </c>
      <c r="E174" s="2">
        <v>1</v>
      </c>
    </row>
    <row r="175" spans="1:5">
      <c r="A175" s="2">
        <v>174</v>
      </c>
      <c r="B175" s="2" t="s">
        <v>18</v>
      </c>
      <c r="C175" s="2" t="s">
        <v>18</v>
      </c>
      <c r="D175" s="2">
        <v>0</v>
      </c>
      <c r="E175" s="2">
        <v>1</v>
      </c>
    </row>
    <row r="176" spans="1:5">
      <c r="A176" s="2">
        <v>175</v>
      </c>
      <c r="B176" s="2" t="s">
        <v>18</v>
      </c>
      <c r="C176" s="2" t="s">
        <v>18</v>
      </c>
      <c r="D176" s="2">
        <v>0</v>
      </c>
      <c r="E176" s="2">
        <v>1</v>
      </c>
    </row>
    <row r="177" spans="1:5">
      <c r="A177" s="2">
        <v>176</v>
      </c>
      <c r="B177" s="2" t="s">
        <v>18</v>
      </c>
      <c r="C177" s="2" t="s">
        <v>18</v>
      </c>
      <c r="D177" s="2">
        <v>0</v>
      </c>
      <c r="E177" s="2">
        <v>1</v>
      </c>
    </row>
    <row r="178" spans="1:5">
      <c r="A178" s="2">
        <v>177</v>
      </c>
      <c r="B178" s="2" t="s">
        <v>18</v>
      </c>
      <c r="C178" s="2" t="s">
        <v>18</v>
      </c>
      <c r="D178" s="2">
        <v>0</v>
      </c>
      <c r="E178" s="2">
        <v>1</v>
      </c>
    </row>
    <row r="179" spans="1:5">
      <c r="A179" s="2">
        <v>178</v>
      </c>
      <c r="B179" s="2" t="s">
        <v>18</v>
      </c>
      <c r="C179" s="2" t="s">
        <v>18</v>
      </c>
      <c r="D179" s="2">
        <v>0</v>
      </c>
      <c r="E179" s="2">
        <v>1</v>
      </c>
    </row>
    <row r="180" spans="1:5">
      <c r="A180" s="2">
        <v>179</v>
      </c>
      <c r="B180" s="2" t="s">
        <v>18</v>
      </c>
      <c r="C180" s="2" t="s">
        <v>18</v>
      </c>
      <c r="D180" s="2">
        <v>0</v>
      </c>
      <c r="E180" s="2">
        <v>1</v>
      </c>
    </row>
    <row r="181" spans="1:5">
      <c r="A181" s="2">
        <v>180</v>
      </c>
      <c r="B181" s="2" t="s">
        <v>18</v>
      </c>
      <c r="C181" s="2" t="s">
        <v>18</v>
      </c>
      <c r="D181" s="2">
        <v>2E-3</v>
      </c>
      <c r="E181" s="2">
        <v>0.998</v>
      </c>
    </row>
    <row r="182" spans="1:5">
      <c r="A182" s="2">
        <v>181</v>
      </c>
      <c r="B182" s="2" t="s">
        <v>18</v>
      </c>
      <c r="C182" s="2" t="s">
        <v>18</v>
      </c>
      <c r="D182" s="2">
        <v>0</v>
      </c>
      <c r="E182" s="2">
        <v>1</v>
      </c>
    </row>
    <row r="183" spans="1:5">
      <c r="A183" s="2">
        <v>182</v>
      </c>
      <c r="B183" s="2" t="s">
        <v>18</v>
      </c>
      <c r="C183" s="2" t="s">
        <v>18</v>
      </c>
      <c r="D183" s="2">
        <v>0</v>
      </c>
      <c r="E183" s="2">
        <v>1</v>
      </c>
    </row>
    <row r="184" spans="1:5">
      <c r="A184" s="2">
        <v>183</v>
      </c>
      <c r="B184" s="2" t="s">
        <v>18</v>
      </c>
      <c r="C184" s="2" t="s">
        <v>18</v>
      </c>
      <c r="D184" s="2">
        <v>2E-3</v>
      </c>
      <c r="E184" s="2">
        <v>0.998</v>
      </c>
    </row>
    <row r="185" spans="1:5">
      <c r="A185" s="2">
        <v>184</v>
      </c>
      <c r="B185" s="2" t="s">
        <v>18</v>
      </c>
      <c r="C185" s="2" t="s">
        <v>18</v>
      </c>
      <c r="D185" s="2">
        <v>0</v>
      </c>
      <c r="E185" s="2">
        <v>1</v>
      </c>
    </row>
    <row r="186" spans="1:5">
      <c r="A186" s="2">
        <v>185</v>
      </c>
      <c r="B186" s="2" t="s">
        <v>18</v>
      </c>
      <c r="C186" s="2" t="s">
        <v>18</v>
      </c>
      <c r="D186" s="2">
        <v>0</v>
      </c>
      <c r="E186" s="2">
        <v>1</v>
      </c>
    </row>
    <row r="187" spans="1:5">
      <c r="A187" s="2">
        <v>186</v>
      </c>
      <c r="B187" s="2" t="s">
        <v>18</v>
      </c>
      <c r="C187" s="2" t="s">
        <v>18</v>
      </c>
      <c r="D187" s="2">
        <v>0</v>
      </c>
      <c r="E187" s="2">
        <v>1</v>
      </c>
    </row>
    <row r="188" spans="1:5">
      <c r="A188" s="2">
        <v>187</v>
      </c>
      <c r="B188" s="2" t="s">
        <v>18</v>
      </c>
      <c r="C188" s="2" t="s">
        <v>18</v>
      </c>
      <c r="D188" s="2">
        <v>4.0000000000000001E-3</v>
      </c>
      <c r="E188" s="2">
        <v>0.996</v>
      </c>
    </row>
    <row r="189" spans="1:5">
      <c r="A189" s="2">
        <v>188</v>
      </c>
      <c r="B189" s="2" t="s">
        <v>18</v>
      </c>
      <c r="C189" s="2" t="s">
        <v>18</v>
      </c>
      <c r="D189" s="2">
        <v>0</v>
      </c>
      <c r="E189" s="2">
        <v>1</v>
      </c>
    </row>
    <row r="190" spans="1:5">
      <c r="A190" s="2">
        <v>189</v>
      </c>
      <c r="B190" s="2" t="s">
        <v>18</v>
      </c>
      <c r="C190" s="2" t="s">
        <v>18</v>
      </c>
      <c r="D190" s="2">
        <v>0</v>
      </c>
      <c r="E190" s="2">
        <v>1</v>
      </c>
    </row>
    <row r="191" spans="1:5">
      <c r="A191" s="2">
        <v>190</v>
      </c>
      <c r="B191" s="2" t="s">
        <v>18</v>
      </c>
      <c r="C191" s="2" t="s">
        <v>18</v>
      </c>
      <c r="D191" s="2">
        <v>0</v>
      </c>
      <c r="E191" s="2">
        <v>1</v>
      </c>
    </row>
    <row r="192" spans="1:5">
      <c r="A192" s="2">
        <v>191</v>
      </c>
      <c r="B192" s="2" t="s">
        <v>18</v>
      </c>
      <c r="C192" s="2" t="s">
        <v>18</v>
      </c>
      <c r="D192" s="2">
        <v>0</v>
      </c>
      <c r="E192" s="2">
        <v>1</v>
      </c>
    </row>
    <row r="193" spans="1:5">
      <c r="A193" s="2">
        <v>192</v>
      </c>
      <c r="B193" s="2" t="s">
        <v>18</v>
      </c>
      <c r="C193" s="2" t="s">
        <v>18</v>
      </c>
      <c r="D193" s="2">
        <v>0</v>
      </c>
      <c r="E193" s="2">
        <v>1</v>
      </c>
    </row>
    <row r="194" spans="1:5">
      <c r="A194" s="2">
        <v>193</v>
      </c>
      <c r="B194" s="2" t="s">
        <v>18</v>
      </c>
      <c r="C194" s="2" t="s">
        <v>18</v>
      </c>
      <c r="D194" s="2">
        <v>0</v>
      </c>
      <c r="E194" s="2">
        <v>1</v>
      </c>
    </row>
    <row r="195" spans="1:5">
      <c r="A195" s="2">
        <v>194</v>
      </c>
      <c r="B195" s="2" t="s">
        <v>97</v>
      </c>
      <c r="C195" s="2" t="s">
        <v>97</v>
      </c>
      <c r="D195" s="2">
        <v>0.85799999999999998</v>
      </c>
      <c r="E195" s="2">
        <v>0.14199999999999999</v>
      </c>
    </row>
    <row r="196" spans="1:5">
      <c r="A196" s="2">
        <v>195</v>
      </c>
      <c r="B196" s="2" t="s">
        <v>18</v>
      </c>
      <c r="C196" s="2" t="s">
        <v>18</v>
      </c>
      <c r="D196" s="2">
        <v>0</v>
      </c>
      <c r="E196" s="2">
        <v>1</v>
      </c>
    </row>
    <row r="197" spans="1:5">
      <c r="A197" s="2">
        <v>196</v>
      </c>
      <c r="B197" s="2" t="s">
        <v>18</v>
      </c>
      <c r="C197" s="2" t="s">
        <v>18</v>
      </c>
      <c r="D197" s="2">
        <v>0</v>
      </c>
      <c r="E197" s="2">
        <v>1</v>
      </c>
    </row>
    <row r="198" spans="1:5">
      <c r="A198" s="2">
        <v>197</v>
      </c>
      <c r="B198" s="2" t="s">
        <v>18</v>
      </c>
      <c r="C198" s="2" t="s">
        <v>18</v>
      </c>
      <c r="D198" s="2">
        <v>0</v>
      </c>
      <c r="E198" s="2">
        <v>1</v>
      </c>
    </row>
    <row r="199" spans="1:5">
      <c r="A199" s="2">
        <v>198</v>
      </c>
      <c r="B199" s="2" t="s">
        <v>18</v>
      </c>
      <c r="C199" s="2" t="s">
        <v>18</v>
      </c>
      <c r="D199" s="2">
        <v>0</v>
      </c>
      <c r="E199" s="2">
        <v>1</v>
      </c>
    </row>
    <row r="200" spans="1:5">
      <c r="A200" s="2">
        <v>199</v>
      </c>
      <c r="B200" s="2" t="s">
        <v>18</v>
      </c>
      <c r="C200" s="2" t="s">
        <v>18</v>
      </c>
      <c r="D200" s="2">
        <v>0</v>
      </c>
      <c r="E200" s="2">
        <v>1</v>
      </c>
    </row>
    <row r="201" spans="1:5">
      <c r="A201" s="2">
        <v>200</v>
      </c>
      <c r="B201" s="2" t="s">
        <v>18</v>
      </c>
      <c r="C201" s="2" t="s">
        <v>18</v>
      </c>
      <c r="D201" s="2">
        <v>0</v>
      </c>
      <c r="E201" s="2">
        <v>1</v>
      </c>
    </row>
    <row r="202" spans="1:5">
      <c r="A202" s="2">
        <v>201</v>
      </c>
      <c r="B202" s="2" t="s">
        <v>18</v>
      </c>
      <c r="C202" s="2" t="s">
        <v>18</v>
      </c>
      <c r="D202" s="2">
        <v>0</v>
      </c>
      <c r="E202" s="2">
        <v>1</v>
      </c>
    </row>
    <row r="203" spans="1:5">
      <c r="A203" s="2">
        <v>202</v>
      </c>
      <c r="B203" s="2" t="s">
        <v>18</v>
      </c>
      <c r="C203" s="2" t="s">
        <v>18</v>
      </c>
      <c r="D203" s="2">
        <v>0</v>
      </c>
      <c r="E203" s="2">
        <v>1</v>
      </c>
    </row>
    <row r="204" spans="1:5">
      <c r="A204" s="2">
        <v>203</v>
      </c>
      <c r="B204" s="2" t="s">
        <v>18</v>
      </c>
      <c r="C204" s="2" t="s">
        <v>18</v>
      </c>
      <c r="D204" s="2">
        <v>0</v>
      </c>
      <c r="E204" s="2">
        <v>1</v>
      </c>
    </row>
    <row r="205" spans="1:5">
      <c r="A205" s="2">
        <v>204</v>
      </c>
      <c r="B205" s="2" t="s">
        <v>18</v>
      </c>
      <c r="C205" s="2" t="s">
        <v>18</v>
      </c>
      <c r="D205" s="2">
        <v>0</v>
      </c>
      <c r="E205" s="2">
        <v>1</v>
      </c>
    </row>
    <row r="206" spans="1:5">
      <c r="A206" s="2">
        <v>205</v>
      </c>
      <c r="B206" s="2" t="s">
        <v>18</v>
      </c>
      <c r="C206" s="2" t="s">
        <v>18</v>
      </c>
      <c r="D206" s="2">
        <v>0</v>
      </c>
      <c r="E206" s="2">
        <v>1</v>
      </c>
    </row>
    <row r="207" spans="1:5">
      <c r="A207" s="2">
        <v>206</v>
      </c>
      <c r="B207" s="2" t="s">
        <v>18</v>
      </c>
      <c r="C207" s="2" t="s">
        <v>18</v>
      </c>
      <c r="D207" s="2">
        <v>0</v>
      </c>
      <c r="E207" s="2">
        <v>1</v>
      </c>
    </row>
    <row r="208" spans="1:5">
      <c r="A208" s="2">
        <v>207</v>
      </c>
      <c r="B208" s="2" t="s">
        <v>18</v>
      </c>
      <c r="C208" s="2" t="s">
        <v>18</v>
      </c>
      <c r="D208" s="2">
        <v>0</v>
      </c>
      <c r="E208" s="2">
        <v>1</v>
      </c>
    </row>
    <row r="209" spans="1:5">
      <c r="A209" s="2">
        <v>208</v>
      </c>
      <c r="B209" s="2" t="s">
        <v>18</v>
      </c>
      <c r="C209" s="2" t="s">
        <v>18</v>
      </c>
      <c r="D209" s="2">
        <v>0</v>
      </c>
      <c r="E209" s="2">
        <v>1</v>
      </c>
    </row>
    <row r="210" spans="1:5">
      <c r="A210" s="2">
        <v>209</v>
      </c>
      <c r="B210" s="2" t="s">
        <v>18</v>
      </c>
      <c r="C210" s="2" t="s">
        <v>18</v>
      </c>
      <c r="D210" s="2">
        <v>0</v>
      </c>
      <c r="E210" s="2">
        <v>1</v>
      </c>
    </row>
    <row r="211" spans="1:5">
      <c r="A211" s="2">
        <v>210</v>
      </c>
      <c r="B211" s="2" t="s">
        <v>18</v>
      </c>
      <c r="C211" s="2" t="s">
        <v>18</v>
      </c>
      <c r="D211" s="2">
        <v>0</v>
      </c>
      <c r="E211" s="2">
        <v>1</v>
      </c>
    </row>
    <row r="212" spans="1:5">
      <c r="A212" s="2">
        <v>211</v>
      </c>
      <c r="B212" s="2" t="s">
        <v>18</v>
      </c>
      <c r="C212" s="2" t="s">
        <v>18</v>
      </c>
      <c r="D212" s="2">
        <v>0</v>
      </c>
      <c r="E212" s="2">
        <v>1</v>
      </c>
    </row>
    <row r="213" spans="1:5">
      <c r="A213" s="2">
        <v>212</v>
      </c>
      <c r="B213" s="2" t="s">
        <v>18</v>
      </c>
      <c r="C213" s="2" t="s">
        <v>18</v>
      </c>
      <c r="D213" s="2">
        <v>0</v>
      </c>
      <c r="E213" s="2">
        <v>1</v>
      </c>
    </row>
    <row r="214" spans="1:5">
      <c r="A214" s="2">
        <v>213</v>
      </c>
      <c r="B214" s="2" t="s">
        <v>18</v>
      </c>
      <c r="C214" s="2" t="s">
        <v>18</v>
      </c>
      <c r="D214" s="2">
        <v>0</v>
      </c>
      <c r="E214" s="2">
        <v>1</v>
      </c>
    </row>
    <row r="215" spans="1:5">
      <c r="A215" s="2">
        <v>214</v>
      </c>
      <c r="B215" s="2" t="s">
        <v>18</v>
      </c>
      <c r="C215" s="2" t="s">
        <v>18</v>
      </c>
      <c r="D215" s="2">
        <v>0</v>
      </c>
      <c r="E215" s="2">
        <v>1</v>
      </c>
    </row>
    <row r="216" spans="1:5">
      <c r="A216" s="2">
        <v>215</v>
      </c>
      <c r="B216" s="2" t="s">
        <v>18</v>
      </c>
      <c r="C216" s="2" t="s">
        <v>18</v>
      </c>
      <c r="D216" s="2">
        <v>0</v>
      </c>
      <c r="E216" s="2">
        <v>1</v>
      </c>
    </row>
    <row r="217" spans="1:5">
      <c r="A217" s="2">
        <v>216</v>
      </c>
      <c r="B217" s="2" t="s">
        <v>18</v>
      </c>
      <c r="C217" s="2" t="s">
        <v>18</v>
      </c>
      <c r="D217" s="2">
        <v>0</v>
      </c>
      <c r="E217" s="2">
        <v>1</v>
      </c>
    </row>
    <row r="218" spans="1:5">
      <c r="A218" s="2">
        <v>217</v>
      </c>
      <c r="B218" s="2" t="s">
        <v>18</v>
      </c>
      <c r="C218" s="2" t="s">
        <v>18</v>
      </c>
      <c r="D218" s="2">
        <v>0</v>
      </c>
      <c r="E218" s="2">
        <v>1</v>
      </c>
    </row>
    <row r="219" spans="1:5">
      <c r="A219" s="2">
        <v>218</v>
      </c>
      <c r="B219" s="2" t="s">
        <v>18</v>
      </c>
      <c r="C219" s="2" t="s">
        <v>18</v>
      </c>
      <c r="D219" s="2">
        <v>0</v>
      </c>
      <c r="E219" s="2">
        <v>1</v>
      </c>
    </row>
    <row r="220" spans="1:5">
      <c r="A220" s="2">
        <v>219</v>
      </c>
      <c r="B220" s="2" t="s">
        <v>18</v>
      </c>
      <c r="C220" s="2" t="s">
        <v>18</v>
      </c>
      <c r="D220" s="2">
        <v>0</v>
      </c>
      <c r="E220" s="2">
        <v>1</v>
      </c>
    </row>
    <row r="221" spans="1:5">
      <c r="A221" s="2">
        <v>220</v>
      </c>
      <c r="B221" s="2" t="s">
        <v>18</v>
      </c>
      <c r="C221" s="2" t="s">
        <v>18</v>
      </c>
      <c r="D221" s="2">
        <v>0</v>
      </c>
      <c r="E221" s="2">
        <v>1</v>
      </c>
    </row>
    <row r="222" spans="1:5">
      <c r="A222" s="2">
        <v>221</v>
      </c>
      <c r="B222" s="2" t="s">
        <v>18</v>
      </c>
      <c r="C222" s="2" t="s">
        <v>18</v>
      </c>
      <c r="D222" s="2">
        <v>0</v>
      </c>
      <c r="E222" s="2">
        <v>1</v>
      </c>
    </row>
    <row r="223" spans="1:5">
      <c r="A223" s="2">
        <v>222</v>
      </c>
      <c r="B223" s="2" t="s">
        <v>18</v>
      </c>
      <c r="C223" s="2" t="s">
        <v>18</v>
      </c>
      <c r="D223" s="2">
        <v>0</v>
      </c>
      <c r="E223" s="2">
        <v>1</v>
      </c>
    </row>
    <row r="224" spans="1:5">
      <c r="A224" s="2">
        <v>223</v>
      </c>
      <c r="B224" s="2" t="s">
        <v>18</v>
      </c>
      <c r="C224" s="2" t="s">
        <v>18</v>
      </c>
      <c r="D224" s="2">
        <v>0</v>
      </c>
      <c r="E224" s="2">
        <v>1</v>
      </c>
    </row>
    <row r="225" spans="1:5">
      <c r="A225" s="2">
        <v>224</v>
      </c>
      <c r="B225" s="2" t="s">
        <v>18</v>
      </c>
      <c r="C225" s="2" t="s">
        <v>18</v>
      </c>
      <c r="D225" s="2">
        <v>0</v>
      </c>
      <c r="E225" s="2">
        <v>1</v>
      </c>
    </row>
    <row r="226" spans="1:5">
      <c r="A226" s="2">
        <v>225</v>
      </c>
      <c r="B226" s="2" t="s">
        <v>18</v>
      </c>
      <c r="C226" s="2" t="s">
        <v>18</v>
      </c>
      <c r="D226" s="2">
        <v>0</v>
      </c>
      <c r="E226" s="2">
        <v>1</v>
      </c>
    </row>
    <row r="227" spans="1:5">
      <c r="A227" s="2">
        <v>226</v>
      </c>
      <c r="B227" s="2" t="s">
        <v>18</v>
      </c>
      <c r="C227" s="2" t="s">
        <v>18</v>
      </c>
      <c r="D227" s="2">
        <v>0</v>
      </c>
      <c r="E227" s="2">
        <v>1</v>
      </c>
    </row>
    <row r="228" spans="1:5">
      <c r="A228" s="2">
        <v>227</v>
      </c>
      <c r="B228" s="2" t="s">
        <v>18</v>
      </c>
      <c r="C228" s="2" t="s">
        <v>18</v>
      </c>
      <c r="D228" s="2">
        <v>0</v>
      </c>
      <c r="E228" s="2">
        <v>1</v>
      </c>
    </row>
    <row r="229" spans="1:5">
      <c r="A229" s="2">
        <v>228</v>
      </c>
      <c r="B229" s="2" t="s">
        <v>18</v>
      </c>
      <c r="C229" s="2" t="s">
        <v>18</v>
      </c>
      <c r="D229" s="2">
        <v>0</v>
      </c>
      <c r="E229" s="2">
        <v>1</v>
      </c>
    </row>
    <row r="230" spans="1:5">
      <c r="A230" s="2">
        <v>229</v>
      </c>
      <c r="B230" s="2" t="s">
        <v>18</v>
      </c>
      <c r="C230" s="2" t="s">
        <v>18</v>
      </c>
      <c r="D230" s="2">
        <v>0</v>
      </c>
      <c r="E230" s="2">
        <v>1</v>
      </c>
    </row>
    <row r="231" spans="1:5">
      <c r="A231" s="2">
        <v>230</v>
      </c>
      <c r="B231" s="2" t="s">
        <v>18</v>
      </c>
      <c r="C231" s="2" t="s">
        <v>18</v>
      </c>
      <c r="D231" s="2">
        <v>0</v>
      </c>
      <c r="E231" s="2">
        <v>1</v>
      </c>
    </row>
    <row r="232" spans="1:5">
      <c r="A232" s="2">
        <v>231</v>
      </c>
      <c r="B232" s="2" t="s">
        <v>18</v>
      </c>
      <c r="C232" s="2" t="s">
        <v>18</v>
      </c>
      <c r="D232" s="2">
        <v>0.04</v>
      </c>
      <c r="E232" s="2">
        <v>0.96</v>
      </c>
    </row>
    <row r="233" spans="1:5">
      <c r="A233" s="2">
        <v>232</v>
      </c>
      <c r="B233" s="2" t="s">
        <v>18</v>
      </c>
      <c r="C233" s="2" t="s">
        <v>18</v>
      </c>
      <c r="D233" s="2">
        <v>0</v>
      </c>
      <c r="E233" s="2">
        <v>1</v>
      </c>
    </row>
    <row r="234" spans="1:5">
      <c r="A234" s="2">
        <v>233</v>
      </c>
      <c r="B234" s="2" t="s">
        <v>18</v>
      </c>
      <c r="C234" s="2" t="s">
        <v>18</v>
      </c>
      <c r="D234" s="2">
        <v>0</v>
      </c>
      <c r="E234" s="2">
        <v>1</v>
      </c>
    </row>
    <row r="235" spans="1:5">
      <c r="A235" s="2">
        <v>234</v>
      </c>
      <c r="B235" s="2" t="s">
        <v>18</v>
      </c>
      <c r="C235" s="2" t="s">
        <v>18</v>
      </c>
      <c r="D235" s="2">
        <v>0</v>
      </c>
      <c r="E235" s="2">
        <v>1</v>
      </c>
    </row>
    <row r="236" spans="1:5">
      <c r="A236" s="2">
        <v>235</v>
      </c>
      <c r="B236" s="2" t="s">
        <v>18</v>
      </c>
      <c r="C236" s="2" t="s">
        <v>18</v>
      </c>
      <c r="D236" s="2">
        <v>0</v>
      </c>
      <c r="E236" s="2">
        <v>1</v>
      </c>
    </row>
    <row r="237" spans="1:5">
      <c r="A237" s="2">
        <v>236</v>
      </c>
      <c r="B237" s="2" t="s">
        <v>18</v>
      </c>
      <c r="C237" s="2" t="s">
        <v>18</v>
      </c>
      <c r="D237" s="2">
        <v>0</v>
      </c>
      <c r="E237" s="2">
        <v>1</v>
      </c>
    </row>
    <row r="238" spans="1:5">
      <c r="A238" s="2">
        <v>237</v>
      </c>
      <c r="B238" s="2" t="s">
        <v>18</v>
      </c>
      <c r="C238" s="2" t="s">
        <v>18</v>
      </c>
      <c r="D238" s="2">
        <v>0</v>
      </c>
      <c r="E238" s="2">
        <v>1</v>
      </c>
    </row>
    <row r="239" spans="1:5">
      <c r="A239" s="2">
        <v>238</v>
      </c>
      <c r="B239" s="2" t="s">
        <v>18</v>
      </c>
      <c r="C239" s="2" t="s">
        <v>18</v>
      </c>
      <c r="D239" s="2">
        <v>0</v>
      </c>
      <c r="E239" s="2">
        <v>1</v>
      </c>
    </row>
    <row r="240" spans="1:5">
      <c r="A240" s="2">
        <v>239</v>
      </c>
      <c r="B240" s="2" t="s">
        <v>18</v>
      </c>
      <c r="C240" s="2" t="s">
        <v>18</v>
      </c>
      <c r="D240" s="2">
        <v>0</v>
      </c>
      <c r="E240" s="2">
        <v>1</v>
      </c>
    </row>
    <row r="241" spans="1:5">
      <c r="A241" s="2">
        <v>240</v>
      </c>
      <c r="B241" s="2" t="s">
        <v>18</v>
      </c>
      <c r="C241" s="2" t="s">
        <v>18</v>
      </c>
      <c r="D241" s="2">
        <v>0</v>
      </c>
      <c r="E241" s="2">
        <v>1</v>
      </c>
    </row>
    <row r="242" spans="1:5">
      <c r="A242" s="2">
        <v>241</v>
      </c>
      <c r="B242" s="2" t="s">
        <v>18</v>
      </c>
      <c r="C242" s="2" t="s">
        <v>18</v>
      </c>
      <c r="D242" s="2">
        <v>0</v>
      </c>
      <c r="E242" s="2">
        <v>1</v>
      </c>
    </row>
    <row r="243" spans="1:5">
      <c r="A243" s="2">
        <v>242</v>
      </c>
      <c r="B243" s="2" t="s">
        <v>18</v>
      </c>
      <c r="C243" s="2" t="s">
        <v>18</v>
      </c>
      <c r="D243" s="2">
        <v>0</v>
      </c>
      <c r="E243" s="2">
        <v>1</v>
      </c>
    </row>
    <row r="244" spans="1:5">
      <c r="A244" s="2">
        <v>243</v>
      </c>
      <c r="B244" s="2" t="s">
        <v>18</v>
      </c>
      <c r="C244" s="2" t="s">
        <v>18</v>
      </c>
      <c r="D244" s="2">
        <v>0</v>
      </c>
      <c r="E244" s="2">
        <v>1</v>
      </c>
    </row>
    <row r="245" spans="1:5">
      <c r="A245" s="2">
        <v>244</v>
      </c>
      <c r="B245" s="2" t="s">
        <v>18</v>
      </c>
      <c r="C245" s="2" t="s">
        <v>18</v>
      </c>
      <c r="D245" s="2">
        <v>0</v>
      </c>
      <c r="E245" s="2">
        <v>1</v>
      </c>
    </row>
    <row r="246" spans="1:5">
      <c r="A246" s="2">
        <v>245</v>
      </c>
      <c r="B246" s="2" t="s">
        <v>18</v>
      </c>
      <c r="C246" s="2" t="s">
        <v>18</v>
      </c>
      <c r="D246" s="2">
        <v>0</v>
      </c>
      <c r="E246" s="2">
        <v>1</v>
      </c>
    </row>
    <row r="247" spans="1:5">
      <c r="A247" s="2">
        <v>246</v>
      </c>
      <c r="B247" s="2" t="s">
        <v>18</v>
      </c>
      <c r="C247" s="2" t="s">
        <v>18</v>
      </c>
      <c r="D247" s="2">
        <v>4.0000000000000001E-3</v>
      </c>
      <c r="E247" s="2">
        <v>0.996</v>
      </c>
    </row>
    <row r="248" spans="1:5">
      <c r="A248" s="2">
        <v>247</v>
      </c>
      <c r="B248" s="2" t="s">
        <v>18</v>
      </c>
      <c r="C248" s="2" t="s">
        <v>18</v>
      </c>
      <c r="D248" s="2">
        <v>0</v>
      </c>
      <c r="E248" s="2">
        <v>1</v>
      </c>
    </row>
    <row r="249" spans="1:5">
      <c r="A249" s="2">
        <v>248</v>
      </c>
      <c r="B249" s="2" t="s">
        <v>18</v>
      </c>
      <c r="C249" s="2" t="s">
        <v>18</v>
      </c>
      <c r="D249" s="2">
        <v>0</v>
      </c>
      <c r="E249" s="2">
        <v>1</v>
      </c>
    </row>
    <row r="250" spans="1:5">
      <c r="A250" s="2">
        <v>249</v>
      </c>
      <c r="B250" s="2" t="s">
        <v>18</v>
      </c>
      <c r="C250" s="2" t="s">
        <v>18</v>
      </c>
      <c r="D250" s="2">
        <v>0</v>
      </c>
      <c r="E250" s="2">
        <v>1</v>
      </c>
    </row>
    <row r="251" spans="1:5">
      <c r="A251" s="2">
        <v>250</v>
      </c>
      <c r="B251" s="2" t="s">
        <v>18</v>
      </c>
      <c r="C251" s="2" t="s">
        <v>18</v>
      </c>
      <c r="D251" s="2">
        <v>0</v>
      </c>
      <c r="E251" s="2">
        <v>1</v>
      </c>
    </row>
    <row r="252" spans="1:5">
      <c r="A252" s="2">
        <v>251</v>
      </c>
      <c r="B252" s="2" t="s">
        <v>18</v>
      </c>
      <c r="C252" s="2" t="s">
        <v>18</v>
      </c>
      <c r="D252" s="2">
        <v>0</v>
      </c>
      <c r="E252" s="2">
        <v>1</v>
      </c>
    </row>
    <row r="253" spans="1:5">
      <c r="A253" s="2">
        <v>252</v>
      </c>
      <c r="B253" s="2" t="s">
        <v>18</v>
      </c>
      <c r="C253" s="2" t="s">
        <v>18</v>
      </c>
      <c r="D253" s="2">
        <v>0</v>
      </c>
      <c r="E253" s="2">
        <v>1</v>
      </c>
    </row>
    <row r="254" spans="1:5">
      <c r="A254" s="2">
        <v>253</v>
      </c>
      <c r="B254" s="2" t="s">
        <v>18</v>
      </c>
      <c r="C254" s="2" t="s">
        <v>18</v>
      </c>
      <c r="D254" s="2">
        <v>0</v>
      </c>
      <c r="E254" s="2">
        <v>1</v>
      </c>
    </row>
    <row r="255" spans="1:5">
      <c r="A255" s="2">
        <v>254</v>
      </c>
      <c r="B255" s="2" t="s">
        <v>18</v>
      </c>
      <c r="C255" s="2" t="s">
        <v>18</v>
      </c>
      <c r="D255" s="2">
        <v>0</v>
      </c>
      <c r="E255" s="2">
        <v>1</v>
      </c>
    </row>
    <row r="256" spans="1:5">
      <c r="A256" s="2">
        <v>255</v>
      </c>
      <c r="B256" s="2" t="s">
        <v>18</v>
      </c>
      <c r="C256" s="2" t="s">
        <v>18</v>
      </c>
      <c r="D256" s="2">
        <v>0</v>
      </c>
      <c r="E256" s="2">
        <v>1</v>
      </c>
    </row>
    <row r="257" spans="1:5">
      <c r="A257" s="2">
        <v>256</v>
      </c>
      <c r="B257" s="2" t="s">
        <v>18</v>
      </c>
      <c r="C257" s="2" t="s">
        <v>18</v>
      </c>
      <c r="D257" s="2">
        <v>5.8000000000000003E-2</v>
      </c>
      <c r="E257" s="2">
        <v>0.94199999999999995</v>
      </c>
    </row>
    <row r="258" spans="1:5">
      <c r="A258" s="2">
        <v>257</v>
      </c>
      <c r="B258" s="2" t="s">
        <v>18</v>
      </c>
      <c r="C258" s="2" t="s">
        <v>18</v>
      </c>
      <c r="D258" s="2">
        <v>0</v>
      </c>
      <c r="E258" s="2">
        <v>1</v>
      </c>
    </row>
    <row r="259" spans="1:5">
      <c r="A259" s="2">
        <v>258</v>
      </c>
      <c r="B259" s="2" t="s">
        <v>18</v>
      </c>
      <c r="C259" s="2" t="s">
        <v>18</v>
      </c>
      <c r="D259" s="2">
        <v>0</v>
      </c>
      <c r="E259" s="2">
        <v>1</v>
      </c>
    </row>
    <row r="260" spans="1:5">
      <c r="A260" s="2">
        <v>259</v>
      </c>
      <c r="B260" s="2" t="s">
        <v>18</v>
      </c>
      <c r="C260" s="2" t="s">
        <v>18</v>
      </c>
      <c r="D260" s="2">
        <v>3.2000000000000001E-2</v>
      </c>
      <c r="E260" s="2">
        <v>0.96799999999999997</v>
      </c>
    </row>
    <row r="261" spans="1:5">
      <c r="A261" s="2">
        <v>260</v>
      </c>
      <c r="B261" s="2" t="s">
        <v>18</v>
      </c>
      <c r="C261" s="2" t="s">
        <v>18</v>
      </c>
      <c r="D261" s="2">
        <v>0</v>
      </c>
      <c r="E261" s="2">
        <v>1</v>
      </c>
    </row>
    <row r="262" spans="1:5">
      <c r="A262" s="2">
        <v>261</v>
      </c>
      <c r="B262" s="2" t="s">
        <v>18</v>
      </c>
      <c r="C262" s="2" t="s">
        <v>18</v>
      </c>
      <c r="D262" s="2">
        <v>0</v>
      </c>
      <c r="E262" s="2">
        <v>1</v>
      </c>
    </row>
    <row r="263" spans="1:5">
      <c r="A263" s="2">
        <v>262</v>
      </c>
      <c r="B263" s="2" t="s">
        <v>18</v>
      </c>
      <c r="C263" s="2" t="s">
        <v>18</v>
      </c>
      <c r="D263" s="2">
        <v>0</v>
      </c>
      <c r="E263" s="2">
        <v>1</v>
      </c>
    </row>
    <row r="264" spans="1:5">
      <c r="A264" s="2">
        <v>263</v>
      </c>
      <c r="B264" s="2" t="s">
        <v>18</v>
      </c>
      <c r="C264" s="2" t="s">
        <v>18</v>
      </c>
      <c r="D264" s="2">
        <v>0</v>
      </c>
      <c r="E264" s="2">
        <v>1</v>
      </c>
    </row>
    <row r="265" spans="1:5">
      <c r="A265" s="2">
        <v>264</v>
      </c>
      <c r="B265" s="2" t="s">
        <v>18</v>
      </c>
      <c r="C265" s="2" t="s">
        <v>18</v>
      </c>
      <c r="D265" s="2">
        <v>0</v>
      </c>
      <c r="E265" s="2">
        <v>1</v>
      </c>
    </row>
    <row r="266" spans="1:5">
      <c r="A266" s="2">
        <v>265</v>
      </c>
      <c r="B266" s="2" t="s">
        <v>18</v>
      </c>
      <c r="C266" s="2" t="s">
        <v>18</v>
      </c>
      <c r="D266" s="2">
        <v>0</v>
      </c>
      <c r="E266" s="2">
        <v>1</v>
      </c>
    </row>
    <row r="267" spans="1:5">
      <c r="A267" s="2">
        <v>266</v>
      </c>
      <c r="B267" s="2" t="s">
        <v>18</v>
      </c>
      <c r="C267" s="2" t="s">
        <v>18</v>
      </c>
      <c r="D267" s="2">
        <v>0</v>
      </c>
      <c r="E267" s="2">
        <v>1</v>
      </c>
    </row>
    <row r="268" spans="1:5">
      <c r="A268" s="2">
        <v>267</v>
      </c>
      <c r="B268" s="2" t="s">
        <v>18</v>
      </c>
      <c r="C268" s="2" t="s">
        <v>18</v>
      </c>
      <c r="D268" s="2">
        <v>0</v>
      </c>
      <c r="E268" s="2">
        <v>1</v>
      </c>
    </row>
    <row r="269" spans="1:5">
      <c r="A269" s="2">
        <v>268</v>
      </c>
      <c r="B269" s="2" t="s">
        <v>18</v>
      </c>
      <c r="C269" s="2" t="s">
        <v>18</v>
      </c>
      <c r="D269" s="2">
        <v>0</v>
      </c>
      <c r="E269" s="2">
        <v>1</v>
      </c>
    </row>
    <row r="270" spans="1:5">
      <c r="A270" s="2">
        <v>269</v>
      </c>
      <c r="B270" s="2" t="s">
        <v>18</v>
      </c>
      <c r="C270" s="2" t="s">
        <v>18</v>
      </c>
      <c r="D270" s="2">
        <v>0</v>
      </c>
      <c r="E270" s="2">
        <v>1</v>
      </c>
    </row>
    <row r="271" spans="1:5">
      <c r="A271" s="2">
        <v>270</v>
      </c>
      <c r="B271" s="2" t="s">
        <v>18</v>
      </c>
      <c r="C271" s="2" t="s">
        <v>18</v>
      </c>
      <c r="D271" s="2">
        <v>0</v>
      </c>
      <c r="E271" s="2">
        <v>1</v>
      </c>
    </row>
    <row r="272" spans="1:5">
      <c r="A272" s="2">
        <v>271</v>
      </c>
      <c r="B272" s="2" t="s">
        <v>18</v>
      </c>
      <c r="C272" s="2" t="s">
        <v>18</v>
      </c>
      <c r="D272" s="2">
        <v>0</v>
      </c>
      <c r="E272" s="2">
        <v>1</v>
      </c>
    </row>
    <row r="273" spans="1:5">
      <c r="A273" s="2">
        <v>272</v>
      </c>
      <c r="B273" s="2" t="s">
        <v>18</v>
      </c>
      <c r="C273" s="2" t="s">
        <v>18</v>
      </c>
      <c r="D273" s="2">
        <v>0</v>
      </c>
      <c r="E273" s="2">
        <v>1</v>
      </c>
    </row>
    <row r="274" spans="1:5">
      <c r="A274" s="2">
        <v>273</v>
      </c>
      <c r="B274" s="2" t="s">
        <v>18</v>
      </c>
      <c r="C274" s="2" t="s">
        <v>18</v>
      </c>
      <c r="D274" s="2">
        <v>0</v>
      </c>
      <c r="E274" s="2">
        <v>1</v>
      </c>
    </row>
    <row r="275" spans="1:5">
      <c r="A275" s="2">
        <v>274</v>
      </c>
      <c r="B275" s="2" t="s">
        <v>18</v>
      </c>
      <c r="C275" s="2" t="s">
        <v>18</v>
      </c>
      <c r="D275" s="2">
        <v>0</v>
      </c>
      <c r="E275" s="2">
        <v>1</v>
      </c>
    </row>
    <row r="276" spans="1:5">
      <c r="A276" s="2">
        <v>275</v>
      </c>
      <c r="B276" s="2" t="s">
        <v>18</v>
      </c>
      <c r="C276" s="2" t="s">
        <v>18</v>
      </c>
      <c r="D276" s="2">
        <v>0</v>
      </c>
      <c r="E276" s="2">
        <v>1</v>
      </c>
    </row>
    <row r="277" spans="1:5">
      <c r="A277" s="2">
        <v>276</v>
      </c>
      <c r="B277" s="2" t="s">
        <v>18</v>
      </c>
      <c r="C277" s="2" t="s">
        <v>18</v>
      </c>
      <c r="D277" s="2">
        <v>0</v>
      </c>
      <c r="E277" s="2">
        <v>1</v>
      </c>
    </row>
    <row r="278" spans="1:5">
      <c r="A278" s="2">
        <v>277</v>
      </c>
      <c r="B278" s="2" t="s">
        <v>18</v>
      </c>
      <c r="C278" s="2" t="s">
        <v>18</v>
      </c>
      <c r="D278" s="2">
        <v>0</v>
      </c>
      <c r="E278" s="2">
        <v>1</v>
      </c>
    </row>
    <row r="279" spans="1:5">
      <c r="A279" s="2">
        <v>278</v>
      </c>
      <c r="B279" s="2" t="s">
        <v>18</v>
      </c>
      <c r="C279" s="2" t="s">
        <v>18</v>
      </c>
      <c r="D279" s="2">
        <v>0</v>
      </c>
      <c r="E279" s="2">
        <v>1</v>
      </c>
    </row>
    <row r="280" spans="1:5">
      <c r="A280" s="2">
        <v>279</v>
      </c>
      <c r="B280" s="2" t="s">
        <v>18</v>
      </c>
      <c r="C280" s="2" t="s">
        <v>18</v>
      </c>
      <c r="D280" s="2">
        <v>0</v>
      </c>
      <c r="E280" s="2">
        <v>1</v>
      </c>
    </row>
    <row r="281" spans="1:5">
      <c r="A281" s="2">
        <v>280</v>
      </c>
      <c r="B281" s="2" t="s">
        <v>18</v>
      </c>
      <c r="C281" s="2" t="s">
        <v>18</v>
      </c>
      <c r="D281" s="2">
        <v>0</v>
      </c>
      <c r="E281" s="2">
        <v>1</v>
      </c>
    </row>
    <row r="282" spans="1:5">
      <c r="A282" s="2">
        <v>281</v>
      </c>
      <c r="B282" s="2" t="s">
        <v>18</v>
      </c>
      <c r="C282" s="2" t="s">
        <v>18</v>
      </c>
      <c r="D282" s="2">
        <v>0</v>
      </c>
      <c r="E282" s="2">
        <v>1</v>
      </c>
    </row>
    <row r="283" spans="1:5">
      <c r="A283" s="2">
        <v>282</v>
      </c>
      <c r="B283" s="2" t="s">
        <v>18</v>
      </c>
      <c r="C283" s="2" t="s">
        <v>18</v>
      </c>
      <c r="D283" s="2">
        <v>0</v>
      </c>
      <c r="E283" s="2">
        <v>1</v>
      </c>
    </row>
    <row r="284" spans="1:5">
      <c r="A284" s="2">
        <v>283</v>
      </c>
      <c r="B284" s="2" t="s">
        <v>18</v>
      </c>
      <c r="C284" s="2" t="s">
        <v>18</v>
      </c>
      <c r="D284" s="2">
        <v>2E-3</v>
      </c>
      <c r="E284" s="2">
        <v>0.998</v>
      </c>
    </row>
    <row r="285" spans="1:5">
      <c r="A285" s="2">
        <v>284</v>
      </c>
      <c r="B285" s="2" t="s">
        <v>18</v>
      </c>
      <c r="C285" s="2" t="s">
        <v>18</v>
      </c>
      <c r="D285" s="2">
        <v>0</v>
      </c>
      <c r="E285" s="2">
        <v>1</v>
      </c>
    </row>
    <row r="286" spans="1:5">
      <c r="A286" s="2">
        <v>285</v>
      </c>
      <c r="B286" s="2" t="s">
        <v>18</v>
      </c>
      <c r="C286" s="2" t="s">
        <v>18</v>
      </c>
      <c r="D286" s="2">
        <v>0</v>
      </c>
      <c r="E286" s="2">
        <v>1</v>
      </c>
    </row>
    <row r="287" spans="1:5">
      <c r="A287" s="2">
        <v>286</v>
      </c>
      <c r="B287" s="2" t="s">
        <v>18</v>
      </c>
      <c r="C287" s="2" t="s">
        <v>18</v>
      </c>
      <c r="D287" s="2">
        <v>0</v>
      </c>
      <c r="E287" s="2">
        <v>1</v>
      </c>
    </row>
    <row r="288" spans="1:5">
      <c r="A288" s="2">
        <v>287</v>
      </c>
      <c r="B288" s="2" t="s">
        <v>18</v>
      </c>
      <c r="C288" s="2" t="s">
        <v>18</v>
      </c>
      <c r="D288" s="2">
        <v>0</v>
      </c>
      <c r="E288" s="2">
        <v>1</v>
      </c>
    </row>
    <row r="289" spans="1:5">
      <c r="A289" s="2">
        <v>288</v>
      </c>
      <c r="B289" s="2" t="s">
        <v>18</v>
      </c>
      <c r="C289" s="2" t="s">
        <v>18</v>
      </c>
      <c r="D289" s="2">
        <v>0</v>
      </c>
      <c r="E289" s="2">
        <v>1</v>
      </c>
    </row>
    <row r="290" spans="1:5">
      <c r="A290" s="2">
        <v>289</v>
      </c>
      <c r="B290" s="2" t="s">
        <v>18</v>
      </c>
      <c r="C290" s="2" t="s">
        <v>18</v>
      </c>
      <c r="D290" s="2">
        <v>0</v>
      </c>
      <c r="E290" s="2">
        <v>1</v>
      </c>
    </row>
    <row r="291" spans="1:5">
      <c r="A291" s="2">
        <v>290</v>
      </c>
      <c r="B291" s="2" t="s">
        <v>18</v>
      </c>
      <c r="C291" s="2" t="s">
        <v>18</v>
      </c>
      <c r="D291" s="2">
        <v>0</v>
      </c>
      <c r="E291" s="2">
        <v>1</v>
      </c>
    </row>
    <row r="292" spans="1:5">
      <c r="A292" s="2">
        <v>291</v>
      </c>
      <c r="B292" s="2" t="s">
        <v>18</v>
      </c>
      <c r="C292" s="2" t="s">
        <v>18</v>
      </c>
      <c r="D292" s="2">
        <v>0</v>
      </c>
      <c r="E292" s="2">
        <v>1</v>
      </c>
    </row>
    <row r="293" spans="1:5">
      <c r="A293" s="2">
        <v>292</v>
      </c>
      <c r="B293" s="2" t="s">
        <v>18</v>
      </c>
      <c r="C293" s="2" t="s">
        <v>18</v>
      </c>
      <c r="D293" s="2">
        <v>0</v>
      </c>
      <c r="E293" s="2">
        <v>1</v>
      </c>
    </row>
    <row r="294" spans="1:5">
      <c r="A294" s="2">
        <v>293</v>
      </c>
      <c r="B294" s="2" t="s">
        <v>18</v>
      </c>
      <c r="C294" s="2" t="s">
        <v>18</v>
      </c>
      <c r="D294" s="2">
        <v>7.5999999999999998E-2</v>
      </c>
      <c r="E294" s="2">
        <v>0.92400000000000004</v>
      </c>
    </row>
    <row r="295" spans="1:5">
      <c r="A295" s="2">
        <v>294</v>
      </c>
      <c r="B295" s="2" t="s">
        <v>18</v>
      </c>
      <c r="C295" s="2" t="s">
        <v>18</v>
      </c>
      <c r="D295" s="2">
        <v>0</v>
      </c>
      <c r="E295" s="2">
        <v>1</v>
      </c>
    </row>
    <row r="296" spans="1:5">
      <c r="A296" s="2">
        <v>295</v>
      </c>
      <c r="B296" s="2" t="s">
        <v>18</v>
      </c>
      <c r="C296" s="2" t="s">
        <v>18</v>
      </c>
      <c r="D296" s="2">
        <v>0</v>
      </c>
      <c r="E296" s="2">
        <v>1</v>
      </c>
    </row>
    <row r="297" spans="1:5">
      <c r="A297" s="2">
        <v>296</v>
      </c>
      <c r="B297" s="2" t="s">
        <v>18</v>
      </c>
      <c r="C297" s="2" t="s">
        <v>18</v>
      </c>
      <c r="D297" s="2">
        <v>0</v>
      </c>
      <c r="E297" s="2">
        <v>1</v>
      </c>
    </row>
    <row r="298" spans="1:5">
      <c r="A298" s="2">
        <v>297</v>
      </c>
      <c r="B298" s="2" t="s">
        <v>18</v>
      </c>
      <c r="C298" s="2" t="s">
        <v>18</v>
      </c>
      <c r="D298" s="2">
        <v>0</v>
      </c>
      <c r="E298" s="2">
        <v>1</v>
      </c>
    </row>
    <row r="299" spans="1:5">
      <c r="A299" s="2">
        <v>298</v>
      </c>
      <c r="B299" s="2" t="s">
        <v>18</v>
      </c>
      <c r="C299" s="2" t="s">
        <v>18</v>
      </c>
      <c r="D299" s="2">
        <v>0</v>
      </c>
      <c r="E299" s="2">
        <v>1</v>
      </c>
    </row>
    <row r="300" spans="1:5">
      <c r="A300" s="2">
        <v>299</v>
      </c>
      <c r="B300" s="2" t="s">
        <v>18</v>
      </c>
      <c r="C300" s="2" t="s">
        <v>18</v>
      </c>
      <c r="D300" s="2">
        <v>0</v>
      </c>
      <c r="E300" s="2">
        <v>1</v>
      </c>
    </row>
    <row r="301" spans="1:5">
      <c r="A301" s="2">
        <v>300</v>
      </c>
      <c r="B301" s="2" t="s">
        <v>18</v>
      </c>
      <c r="C301" s="2" t="s">
        <v>18</v>
      </c>
      <c r="D301" s="2">
        <v>0</v>
      </c>
      <c r="E301" s="2">
        <v>1</v>
      </c>
    </row>
    <row r="302" spans="1:5">
      <c r="A302" s="2">
        <v>301</v>
      </c>
      <c r="B302" s="2" t="s">
        <v>18</v>
      </c>
      <c r="C302" s="2" t="s">
        <v>18</v>
      </c>
      <c r="D302" s="2">
        <v>0</v>
      </c>
      <c r="E302" s="2">
        <v>1</v>
      </c>
    </row>
    <row r="303" spans="1:5">
      <c r="A303" s="2">
        <v>302</v>
      </c>
      <c r="B303" s="2" t="s">
        <v>18</v>
      </c>
      <c r="C303" s="2" t="s">
        <v>18</v>
      </c>
      <c r="D303" s="2">
        <v>0</v>
      </c>
      <c r="E303" s="2">
        <v>1</v>
      </c>
    </row>
    <row r="304" spans="1:5">
      <c r="A304" s="2">
        <v>303</v>
      </c>
      <c r="B304" s="2" t="s">
        <v>18</v>
      </c>
      <c r="C304" s="2" t="s">
        <v>18</v>
      </c>
      <c r="D304" s="2">
        <v>0</v>
      </c>
      <c r="E304" s="2">
        <v>1</v>
      </c>
    </row>
    <row r="305" spans="1:5">
      <c r="A305" s="2">
        <v>304</v>
      </c>
      <c r="B305" s="2" t="s">
        <v>18</v>
      </c>
      <c r="C305" s="2" t="s">
        <v>18</v>
      </c>
      <c r="D305" s="2">
        <v>0</v>
      </c>
      <c r="E305" s="2">
        <v>1</v>
      </c>
    </row>
    <row r="306" spans="1:5">
      <c r="A306" s="2">
        <v>305</v>
      </c>
      <c r="B306" s="2" t="s">
        <v>18</v>
      </c>
      <c r="C306" s="2" t="s">
        <v>18</v>
      </c>
      <c r="D306" s="2">
        <v>0</v>
      </c>
      <c r="E306" s="2">
        <v>1</v>
      </c>
    </row>
    <row r="307" spans="1:5">
      <c r="A307" s="2">
        <v>306</v>
      </c>
      <c r="B307" s="2" t="s">
        <v>18</v>
      </c>
      <c r="C307" s="2" t="s">
        <v>18</v>
      </c>
      <c r="D307" s="2">
        <v>0</v>
      </c>
      <c r="E307" s="2">
        <v>1</v>
      </c>
    </row>
    <row r="308" spans="1:5">
      <c r="A308" s="2">
        <v>307</v>
      </c>
      <c r="B308" s="2" t="s">
        <v>18</v>
      </c>
      <c r="C308" s="2" t="s">
        <v>18</v>
      </c>
      <c r="D308" s="2">
        <v>0</v>
      </c>
      <c r="E308" s="2">
        <v>1</v>
      </c>
    </row>
    <row r="309" spans="1:5">
      <c r="A309" s="2">
        <v>308</v>
      </c>
      <c r="B309" s="2" t="s">
        <v>18</v>
      </c>
      <c r="C309" s="2" t="s">
        <v>18</v>
      </c>
      <c r="D309" s="2">
        <v>0</v>
      </c>
      <c r="E309" s="2">
        <v>1</v>
      </c>
    </row>
    <row r="310" spans="1:5">
      <c r="A310" s="2">
        <v>309</v>
      </c>
      <c r="B310" s="2" t="s">
        <v>18</v>
      </c>
      <c r="C310" s="2" t="s">
        <v>18</v>
      </c>
      <c r="D310" s="2">
        <v>0</v>
      </c>
      <c r="E310" s="2">
        <v>1</v>
      </c>
    </row>
    <row r="311" spans="1:5">
      <c r="A311" s="2">
        <v>310</v>
      </c>
      <c r="B311" s="2" t="s">
        <v>18</v>
      </c>
      <c r="C311" s="2" t="s">
        <v>18</v>
      </c>
      <c r="D311" s="2">
        <v>0</v>
      </c>
      <c r="E311" s="2">
        <v>1</v>
      </c>
    </row>
    <row r="312" spans="1:5">
      <c r="A312" s="2">
        <v>311</v>
      </c>
      <c r="B312" s="2" t="s">
        <v>18</v>
      </c>
      <c r="C312" s="2" t="s">
        <v>18</v>
      </c>
      <c r="D312" s="2">
        <v>0</v>
      </c>
      <c r="E312" s="2">
        <v>1</v>
      </c>
    </row>
    <row r="313" spans="1:5">
      <c r="A313" s="2">
        <v>312</v>
      </c>
      <c r="B313" s="2" t="s">
        <v>18</v>
      </c>
      <c r="C313" s="2" t="s">
        <v>18</v>
      </c>
      <c r="D313" s="2">
        <v>0</v>
      </c>
      <c r="E313" s="2">
        <v>1</v>
      </c>
    </row>
    <row r="314" spans="1:5">
      <c r="A314" s="2">
        <v>313</v>
      </c>
      <c r="B314" s="2" t="s">
        <v>18</v>
      </c>
      <c r="C314" s="2" t="s">
        <v>18</v>
      </c>
      <c r="D314" s="2">
        <v>6.0000000000000001E-3</v>
      </c>
      <c r="E314" s="2">
        <v>0.99399999999999999</v>
      </c>
    </row>
    <row r="315" spans="1:5">
      <c r="A315" s="2">
        <v>314</v>
      </c>
      <c r="B315" s="2" t="s">
        <v>18</v>
      </c>
      <c r="C315" s="2" t="s">
        <v>18</v>
      </c>
      <c r="D315" s="2">
        <v>0</v>
      </c>
      <c r="E315" s="2">
        <v>1</v>
      </c>
    </row>
    <row r="316" spans="1:5">
      <c r="A316" s="2">
        <v>315</v>
      </c>
      <c r="B316" s="2" t="s">
        <v>18</v>
      </c>
      <c r="C316" s="2" t="s">
        <v>18</v>
      </c>
      <c r="D316" s="2">
        <v>0</v>
      </c>
      <c r="E316" s="2">
        <v>1</v>
      </c>
    </row>
    <row r="317" spans="1:5">
      <c r="A317" s="2">
        <v>316</v>
      </c>
      <c r="B317" s="2" t="s">
        <v>97</v>
      </c>
      <c r="C317" s="2" t="s">
        <v>97</v>
      </c>
      <c r="D317" s="2">
        <v>0.98399999999999999</v>
      </c>
      <c r="E317" s="2">
        <v>1.6E-2</v>
      </c>
    </row>
    <row r="318" spans="1:5">
      <c r="A318" s="2">
        <v>317</v>
      </c>
      <c r="B318" s="2" t="s">
        <v>18</v>
      </c>
      <c r="C318" s="2" t="s">
        <v>18</v>
      </c>
      <c r="D318" s="2">
        <v>0</v>
      </c>
      <c r="E318" s="2">
        <v>1</v>
      </c>
    </row>
    <row r="319" spans="1:5">
      <c r="A319" s="2">
        <v>318</v>
      </c>
      <c r="B319" s="2" t="s">
        <v>18</v>
      </c>
      <c r="C319" s="2" t="s">
        <v>18</v>
      </c>
      <c r="D319" s="2">
        <v>0</v>
      </c>
      <c r="E319" s="2">
        <v>1</v>
      </c>
    </row>
    <row r="320" spans="1:5">
      <c r="A320" s="2">
        <v>319</v>
      </c>
      <c r="B320" s="2" t="s">
        <v>18</v>
      </c>
      <c r="C320" s="2" t="s">
        <v>18</v>
      </c>
      <c r="D320" s="2">
        <v>0</v>
      </c>
      <c r="E320" s="2">
        <v>1</v>
      </c>
    </row>
    <row r="321" spans="1:5">
      <c r="A321" s="2">
        <v>320</v>
      </c>
      <c r="B321" s="2" t="s">
        <v>18</v>
      </c>
      <c r="C321" s="2" t="s">
        <v>18</v>
      </c>
      <c r="D321" s="2">
        <v>0</v>
      </c>
      <c r="E321" s="2">
        <v>1</v>
      </c>
    </row>
    <row r="322" spans="1:5">
      <c r="A322" s="2">
        <v>321</v>
      </c>
      <c r="B322" s="2" t="s">
        <v>18</v>
      </c>
      <c r="C322" s="2" t="s">
        <v>18</v>
      </c>
      <c r="D322" s="2">
        <v>0</v>
      </c>
      <c r="E322" s="2">
        <v>1</v>
      </c>
    </row>
    <row r="323" spans="1:5">
      <c r="A323" s="2">
        <v>322</v>
      </c>
      <c r="B323" s="2" t="s">
        <v>18</v>
      </c>
      <c r="C323" s="2" t="s">
        <v>18</v>
      </c>
      <c r="D323" s="2">
        <v>0</v>
      </c>
      <c r="E323" s="2">
        <v>1</v>
      </c>
    </row>
    <row r="324" spans="1:5">
      <c r="A324" s="2">
        <v>323</v>
      </c>
      <c r="B324" s="2" t="s">
        <v>18</v>
      </c>
      <c r="C324" s="2" t="s">
        <v>18</v>
      </c>
      <c r="D324" s="2">
        <v>0</v>
      </c>
      <c r="E324" s="2">
        <v>1</v>
      </c>
    </row>
    <row r="325" spans="1:5">
      <c r="A325" s="2">
        <v>324</v>
      </c>
      <c r="B325" s="2" t="s">
        <v>18</v>
      </c>
      <c r="C325" s="2" t="s">
        <v>18</v>
      </c>
      <c r="D325" s="2">
        <v>0</v>
      </c>
      <c r="E325" s="2">
        <v>1</v>
      </c>
    </row>
    <row r="326" spans="1:5">
      <c r="A326" s="2">
        <v>325</v>
      </c>
      <c r="B326" s="2" t="s">
        <v>18</v>
      </c>
      <c r="C326" s="2" t="s">
        <v>18</v>
      </c>
      <c r="D326" s="2">
        <v>0</v>
      </c>
      <c r="E326" s="2">
        <v>1</v>
      </c>
    </row>
    <row r="327" spans="1:5">
      <c r="A327" s="2">
        <v>326</v>
      </c>
      <c r="B327" s="2" t="s">
        <v>18</v>
      </c>
      <c r="C327" s="2" t="s">
        <v>18</v>
      </c>
      <c r="D327" s="2">
        <v>0</v>
      </c>
      <c r="E327" s="2">
        <v>1</v>
      </c>
    </row>
    <row r="328" spans="1:5">
      <c r="A328" s="2">
        <v>327</v>
      </c>
      <c r="B328" s="2" t="s">
        <v>18</v>
      </c>
      <c r="C328" s="2" t="s">
        <v>18</v>
      </c>
      <c r="D328" s="2">
        <v>0</v>
      </c>
      <c r="E328" s="2">
        <v>1</v>
      </c>
    </row>
    <row r="329" spans="1:5">
      <c r="A329" s="2">
        <v>328</v>
      </c>
      <c r="B329" s="2" t="s">
        <v>18</v>
      </c>
      <c r="C329" s="2" t="s">
        <v>18</v>
      </c>
      <c r="D329" s="2">
        <v>0</v>
      </c>
      <c r="E329" s="2">
        <v>1</v>
      </c>
    </row>
    <row r="330" spans="1:5">
      <c r="A330" s="2">
        <v>329</v>
      </c>
      <c r="B330" s="2" t="s">
        <v>18</v>
      </c>
      <c r="C330" s="2" t="s">
        <v>18</v>
      </c>
      <c r="D330" s="2">
        <v>0</v>
      </c>
      <c r="E330" s="2">
        <v>1</v>
      </c>
    </row>
    <row r="331" spans="1:5">
      <c r="A331" s="2">
        <v>330</v>
      </c>
      <c r="B331" s="2" t="s">
        <v>18</v>
      </c>
      <c r="C331" s="2" t="s">
        <v>18</v>
      </c>
      <c r="D331" s="2">
        <v>0</v>
      </c>
      <c r="E331" s="2">
        <v>1</v>
      </c>
    </row>
    <row r="332" spans="1:5">
      <c r="A332" s="2">
        <v>331</v>
      </c>
      <c r="B332" s="2" t="s">
        <v>18</v>
      </c>
      <c r="C332" s="2" t="s">
        <v>18</v>
      </c>
      <c r="D332" s="2">
        <v>0</v>
      </c>
      <c r="E332" s="2">
        <v>1</v>
      </c>
    </row>
    <row r="333" spans="1:5">
      <c r="A333" s="2">
        <v>332</v>
      </c>
      <c r="B333" s="2" t="s">
        <v>18</v>
      </c>
      <c r="C333" s="2" t="s">
        <v>18</v>
      </c>
      <c r="D333" s="2">
        <v>0</v>
      </c>
      <c r="E333" s="2">
        <v>1</v>
      </c>
    </row>
    <row r="334" spans="1:5">
      <c r="A334" s="2">
        <v>333</v>
      </c>
      <c r="B334" s="2" t="s">
        <v>18</v>
      </c>
      <c r="C334" s="2" t="s">
        <v>18</v>
      </c>
      <c r="D334" s="2">
        <v>2E-3</v>
      </c>
      <c r="E334" s="2">
        <v>0.998</v>
      </c>
    </row>
    <row r="335" spans="1:5">
      <c r="A335" s="2">
        <v>334</v>
      </c>
      <c r="B335" s="2" t="s">
        <v>18</v>
      </c>
      <c r="C335" s="2" t="s">
        <v>18</v>
      </c>
      <c r="D335" s="2">
        <v>0</v>
      </c>
      <c r="E335" s="2">
        <v>1</v>
      </c>
    </row>
    <row r="336" spans="1:5">
      <c r="A336" s="2">
        <v>335</v>
      </c>
      <c r="B336" s="2" t="s">
        <v>18</v>
      </c>
      <c r="C336" s="2" t="s">
        <v>18</v>
      </c>
      <c r="D336" s="2">
        <v>0</v>
      </c>
      <c r="E336" s="2">
        <v>1</v>
      </c>
    </row>
    <row r="337" spans="1:5">
      <c r="A337" s="2">
        <v>336</v>
      </c>
      <c r="B337" s="2" t="s">
        <v>18</v>
      </c>
      <c r="C337" s="2" t="s">
        <v>18</v>
      </c>
      <c r="D337" s="2">
        <v>0</v>
      </c>
      <c r="E337" s="2">
        <v>1</v>
      </c>
    </row>
    <row r="338" spans="1:5">
      <c r="A338" s="2">
        <v>337</v>
      </c>
      <c r="B338" s="2" t="s">
        <v>18</v>
      </c>
      <c r="C338" s="2" t="s">
        <v>18</v>
      </c>
      <c r="D338" s="2">
        <v>6.8000000000000005E-2</v>
      </c>
      <c r="E338" s="2">
        <v>0.93200000000000005</v>
      </c>
    </row>
    <row r="339" spans="1:5">
      <c r="A339" s="2">
        <v>338</v>
      </c>
      <c r="B339" s="2" t="s">
        <v>18</v>
      </c>
      <c r="C339" s="2" t="s">
        <v>18</v>
      </c>
      <c r="D339" s="2">
        <v>0</v>
      </c>
      <c r="E339" s="2">
        <v>1</v>
      </c>
    </row>
    <row r="340" spans="1:5">
      <c r="A340" s="2">
        <v>339</v>
      </c>
      <c r="B340" s="2" t="s">
        <v>18</v>
      </c>
      <c r="C340" s="2" t="s">
        <v>18</v>
      </c>
      <c r="D340" s="2">
        <v>6.6000000000000003E-2</v>
      </c>
      <c r="E340" s="2">
        <v>0.93400000000000005</v>
      </c>
    </row>
    <row r="341" spans="1:5">
      <c r="A341" s="2">
        <v>340</v>
      </c>
      <c r="B341" s="2" t="s">
        <v>18</v>
      </c>
      <c r="C341" s="2" t="s">
        <v>18</v>
      </c>
      <c r="D341" s="2">
        <v>0</v>
      </c>
      <c r="E341" s="2">
        <v>1</v>
      </c>
    </row>
    <row r="342" spans="1:5">
      <c r="A342" s="2">
        <v>341</v>
      </c>
      <c r="B342" s="2" t="s">
        <v>18</v>
      </c>
      <c r="C342" s="2" t="s">
        <v>18</v>
      </c>
      <c r="D342" s="2">
        <v>0</v>
      </c>
      <c r="E342" s="2">
        <v>1</v>
      </c>
    </row>
    <row r="343" spans="1:5">
      <c r="A343" s="2">
        <v>342</v>
      </c>
      <c r="B343" s="2" t="s">
        <v>18</v>
      </c>
      <c r="C343" s="2" t="s">
        <v>18</v>
      </c>
      <c r="D343" s="2">
        <v>0</v>
      </c>
      <c r="E343" s="2">
        <v>1</v>
      </c>
    </row>
    <row r="344" spans="1:5">
      <c r="A344" s="2">
        <v>343</v>
      </c>
      <c r="B344" s="2" t="s">
        <v>18</v>
      </c>
      <c r="C344" s="2" t="s">
        <v>18</v>
      </c>
      <c r="D344" s="2">
        <v>0</v>
      </c>
      <c r="E344" s="2">
        <v>1</v>
      </c>
    </row>
    <row r="345" spans="1:5">
      <c r="A345" s="2">
        <v>344</v>
      </c>
      <c r="B345" s="2" t="s">
        <v>18</v>
      </c>
      <c r="C345" s="2" t="s">
        <v>18</v>
      </c>
      <c r="D345" s="2">
        <v>0</v>
      </c>
      <c r="E345" s="2">
        <v>1</v>
      </c>
    </row>
    <row r="346" spans="1:5">
      <c r="A346" s="2">
        <v>345</v>
      </c>
      <c r="B346" s="2" t="s">
        <v>18</v>
      </c>
      <c r="C346" s="2" t="s">
        <v>18</v>
      </c>
      <c r="D346" s="2">
        <v>0</v>
      </c>
      <c r="E346" s="2">
        <v>1</v>
      </c>
    </row>
    <row r="347" spans="1:5">
      <c r="A347" s="2">
        <v>346</v>
      </c>
      <c r="B347" s="2" t="s">
        <v>18</v>
      </c>
      <c r="C347" s="2" t="s">
        <v>18</v>
      </c>
      <c r="D347" s="2">
        <v>0</v>
      </c>
      <c r="E347" s="2">
        <v>1</v>
      </c>
    </row>
    <row r="348" spans="1:5">
      <c r="A348" s="2">
        <v>347</v>
      </c>
      <c r="B348" s="2" t="s">
        <v>18</v>
      </c>
      <c r="C348" s="2" t="s">
        <v>18</v>
      </c>
      <c r="D348" s="2">
        <v>0</v>
      </c>
      <c r="E348" s="2">
        <v>1</v>
      </c>
    </row>
    <row r="349" spans="1:5">
      <c r="A349" s="2">
        <v>348</v>
      </c>
      <c r="B349" s="2" t="s">
        <v>18</v>
      </c>
      <c r="C349" s="2" t="s">
        <v>18</v>
      </c>
      <c r="D349" s="2">
        <v>8.0000000000000002E-3</v>
      </c>
      <c r="E349" s="2">
        <v>0.99199999999999999</v>
      </c>
    </row>
    <row r="350" spans="1:5">
      <c r="A350" s="2">
        <v>349</v>
      </c>
      <c r="B350" s="2" t="s">
        <v>18</v>
      </c>
      <c r="C350" s="2" t="s">
        <v>18</v>
      </c>
      <c r="D350" s="2">
        <v>0</v>
      </c>
      <c r="E350" s="2">
        <v>1</v>
      </c>
    </row>
    <row r="351" spans="1:5">
      <c r="A351" s="2">
        <v>350</v>
      </c>
      <c r="B351" s="2" t="s">
        <v>18</v>
      </c>
      <c r="C351" s="2" t="s">
        <v>18</v>
      </c>
      <c r="D351" s="2">
        <v>0</v>
      </c>
      <c r="E351" s="2">
        <v>1</v>
      </c>
    </row>
    <row r="352" spans="1:5">
      <c r="A352" s="2">
        <v>351</v>
      </c>
      <c r="B352" s="2" t="s">
        <v>18</v>
      </c>
      <c r="C352" s="2" t="s">
        <v>18</v>
      </c>
      <c r="D352" s="2">
        <v>0</v>
      </c>
      <c r="E352" s="2">
        <v>1</v>
      </c>
    </row>
    <row r="353" spans="1:5">
      <c r="A353" s="2">
        <v>352</v>
      </c>
      <c r="B353" s="2" t="s">
        <v>18</v>
      </c>
      <c r="C353" s="2" t="s">
        <v>18</v>
      </c>
      <c r="D353" s="2">
        <v>0</v>
      </c>
      <c r="E353" s="2">
        <v>1</v>
      </c>
    </row>
    <row r="354" spans="1:5">
      <c r="A354" s="2">
        <v>353</v>
      </c>
      <c r="B354" s="2" t="s">
        <v>18</v>
      </c>
      <c r="C354" s="2" t="s">
        <v>18</v>
      </c>
      <c r="D354" s="2">
        <v>0</v>
      </c>
      <c r="E354" s="2">
        <v>1</v>
      </c>
    </row>
    <row r="355" spans="1:5">
      <c r="A355" s="2">
        <v>354</v>
      </c>
      <c r="B355" s="2" t="s">
        <v>18</v>
      </c>
      <c r="C355" s="2" t="s">
        <v>18</v>
      </c>
      <c r="D355" s="2">
        <v>0</v>
      </c>
      <c r="E355" s="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>
      <selection sqref="A1:N355"/>
    </sheetView>
  </sheetViews>
  <sheetFormatPr baseColWidth="10" defaultRowHeight="16"/>
  <sheetData>
    <row r="1" spans="1:14">
      <c r="A1" t="s">
        <v>405</v>
      </c>
      <c r="B1" t="s">
        <v>7</v>
      </c>
      <c r="C1" t="s">
        <v>415</v>
      </c>
      <c r="D1" t="s">
        <v>77</v>
      </c>
      <c r="E1" t="s">
        <v>20</v>
      </c>
      <c r="F1" t="s">
        <v>98</v>
      </c>
      <c r="G1" t="s">
        <v>72</v>
      </c>
      <c r="H1" t="s">
        <v>39</v>
      </c>
      <c r="I1" t="s">
        <v>178</v>
      </c>
      <c r="J1" t="s">
        <v>45</v>
      </c>
      <c r="K1" t="s">
        <v>407</v>
      </c>
      <c r="L1" t="s">
        <v>34</v>
      </c>
      <c r="M1" t="s">
        <v>61</v>
      </c>
      <c r="N1" t="s">
        <v>82</v>
      </c>
    </row>
    <row r="2" spans="1:14">
      <c r="A2">
        <v>1</v>
      </c>
      <c r="B2" t="s">
        <v>20</v>
      </c>
      <c r="C2" t="s">
        <v>20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20</v>
      </c>
      <c r="C3" t="s">
        <v>20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20</v>
      </c>
      <c r="C4" t="s">
        <v>20</v>
      </c>
      <c r="D4">
        <v>0</v>
      </c>
      <c r="E4">
        <v>0.99</v>
      </c>
      <c r="F4">
        <v>0</v>
      </c>
      <c r="G4">
        <v>0</v>
      </c>
      <c r="H4">
        <v>0.01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4</v>
      </c>
      <c r="B5" t="s">
        <v>20</v>
      </c>
      <c r="C5" t="s">
        <v>20</v>
      </c>
      <c r="D5">
        <v>0.01</v>
      </c>
      <c r="E5">
        <v>0.93</v>
      </c>
      <c r="F5">
        <v>0.05</v>
      </c>
      <c r="G5">
        <v>0</v>
      </c>
      <c r="H5">
        <v>0.01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>
        <v>5</v>
      </c>
      <c r="B6" t="s">
        <v>20</v>
      </c>
      <c r="C6" t="s">
        <v>20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>
        <v>6</v>
      </c>
      <c r="B7" t="s">
        <v>34</v>
      </c>
      <c r="C7" t="s">
        <v>34</v>
      </c>
      <c r="D7">
        <v>0</v>
      </c>
      <c r="E7">
        <v>0</v>
      </c>
      <c r="F7">
        <v>0</v>
      </c>
      <c r="G7">
        <v>0</v>
      </c>
      <c r="H7">
        <v>0.01</v>
      </c>
      <c r="I7">
        <v>0</v>
      </c>
      <c r="J7">
        <v>0</v>
      </c>
      <c r="K7">
        <v>0</v>
      </c>
      <c r="L7">
        <v>0.99</v>
      </c>
      <c r="M7">
        <v>0</v>
      </c>
      <c r="N7">
        <v>0</v>
      </c>
    </row>
    <row r="8" spans="1:14">
      <c r="A8">
        <v>7</v>
      </c>
      <c r="B8" t="s">
        <v>20</v>
      </c>
      <c r="C8" t="s">
        <v>20</v>
      </c>
      <c r="D8">
        <v>0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39</v>
      </c>
      <c r="C9" t="s">
        <v>39</v>
      </c>
      <c r="D9">
        <v>0</v>
      </c>
      <c r="E9">
        <v>0.01</v>
      </c>
      <c r="F9">
        <v>0</v>
      </c>
      <c r="G9">
        <v>0</v>
      </c>
      <c r="H9">
        <v>0.99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>
      <c r="A10">
        <v>9</v>
      </c>
      <c r="B10" t="s">
        <v>20</v>
      </c>
      <c r="C10" t="s">
        <v>20</v>
      </c>
      <c r="D10">
        <v>0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45</v>
      </c>
      <c r="C11" t="s">
        <v>45</v>
      </c>
      <c r="D11">
        <v>0</v>
      </c>
      <c r="E11">
        <v>0</v>
      </c>
      <c r="F11">
        <v>0</v>
      </c>
      <c r="G11">
        <v>0</v>
      </c>
      <c r="H11">
        <v>0.01</v>
      </c>
      <c r="I11">
        <v>0</v>
      </c>
      <c r="J11">
        <v>0.95</v>
      </c>
      <c r="K11">
        <v>0</v>
      </c>
      <c r="L11">
        <v>0</v>
      </c>
      <c r="M11">
        <v>0.04</v>
      </c>
      <c r="N11">
        <v>0</v>
      </c>
    </row>
    <row r="12" spans="1:14">
      <c r="A12">
        <v>11</v>
      </c>
      <c r="B12" t="s">
        <v>20</v>
      </c>
      <c r="C12" t="s">
        <v>20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>
        <v>12</v>
      </c>
      <c r="B13" t="s">
        <v>45</v>
      </c>
      <c r="C13" t="s">
        <v>45</v>
      </c>
      <c r="D13">
        <v>0</v>
      </c>
      <c r="E13">
        <v>0</v>
      </c>
      <c r="F13">
        <v>0</v>
      </c>
      <c r="G13">
        <v>0</v>
      </c>
      <c r="H13">
        <v>0.17</v>
      </c>
      <c r="I13">
        <v>0</v>
      </c>
      <c r="J13">
        <v>0.82</v>
      </c>
      <c r="K13">
        <v>0</v>
      </c>
      <c r="L13">
        <v>0</v>
      </c>
      <c r="M13">
        <v>0.01</v>
      </c>
      <c r="N13">
        <v>0</v>
      </c>
    </row>
    <row r="14" spans="1:14">
      <c r="A14">
        <v>13</v>
      </c>
      <c r="B14" t="s">
        <v>20</v>
      </c>
      <c r="C14" t="s">
        <v>20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>
        <v>14</v>
      </c>
      <c r="B15" t="s">
        <v>39</v>
      </c>
      <c r="C15" t="s">
        <v>39</v>
      </c>
      <c r="D15">
        <v>0</v>
      </c>
      <c r="E15">
        <v>0.3</v>
      </c>
      <c r="F15">
        <v>0</v>
      </c>
      <c r="G15">
        <v>0</v>
      </c>
      <c r="H15">
        <v>0.67</v>
      </c>
      <c r="I15">
        <v>0</v>
      </c>
      <c r="J15">
        <v>0.03</v>
      </c>
      <c r="K15">
        <v>0</v>
      </c>
      <c r="L15">
        <v>0</v>
      </c>
      <c r="M15">
        <v>0</v>
      </c>
      <c r="N15">
        <v>0</v>
      </c>
    </row>
    <row r="16" spans="1:14">
      <c r="A16">
        <v>15</v>
      </c>
      <c r="B16" t="s">
        <v>20</v>
      </c>
      <c r="C16" t="s">
        <v>20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39</v>
      </c>
      <c r="C17" t="s">
        <v>39</v>
      </c>
      <c r="D17">
        <v>0</v>
      </c>
      <c r="E17">
        <v>0</v>
      </c>
      <c r="F17">
        <v>0</v>
      </c>
      <c r="G17">
        <v>0</v>
      </c>
      <c r="H17">
        <v>0.95</v>
      </c>
      <c r="I17">
        <v>0</v>
      </c>
      <c r="J17">
        <v>0.05</v>
      </c>
      <c r="K17">
        <v>0</v>
      </c>
      <c r="L17">
        <v>0</v>
      </c>
      <c r="M17">
        <v>0</v>
      </c>
      <c r="N17">
        <v>0</v>
      </c>
    </row>
    <row r="18" spans="1:14">
      <c r="A18">
        <v>17</v>
      </c>
      <c r="B18" t="s">
        <v>20</v>
      </c>
      <c r="C18" t="s">
        <v>20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20</v>
      </c>
      <c r="C19" t="s">
        <v>20</v>
      </c>
      <c r="D19">
        <v>0</v>
      </c>
      <c r="E19">
        <v>0.98</v>
      </c>
      <c r="F19">
        <v>0</v>
      </c>
      <c r="G19">
        <v>0</v>
      </c>
      <c r="H19">
        <v>0.02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20</v>
      </c>
      <c r="C20" t="s">
        <v>20</v>
      </c>
      <c r="D20">
        <v>0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</row>
    <row r="21" spans="1:14">
      <c r="A21">
        <v>20</v>
      </c>
      <c r="B21" t="s">
        <v>34</v>
      </c>
      <c r="C21" t="s">
        <v>34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</row>
    <row r="22" spans="1:14">
      <c r="A22">
        <v>21</v>
      </c>
      <c r="B22" t="s">
        <v>45</v>
      </c>
      <c r="C22" t="s">
        <v>45</v>
      </c>
      <c r="D22">
        <v>0.09</v>
      </c>
      <c r="E22">
        <v>0</v>
      </c>
      <c r="F22">
        <v>0</v>
      </c>
      <c r="G22">
        <v>0.09</v>
      </c>
      <c r="H22">
        <v>0.02</v>
      </c>
      <c r="I22">
        <v>0</v>
      </c>
      <c r="J22">
        <v>0.7</v>
      </c>
      <c r="K22">
        <v>0</v>
      </c>
      <c r="L22">
        <v>0</v>
      </c>
      <c r="M22">
        <v>0</v>
      </c>
      <c r="N22">
        <v>0.1</v>
      </c>
    </row>
    <row r="23" spans="1:14">
      <c r="A23">
        <v>22</v>
      </c>
      <c r="B23" t="s">
        <v>61</v>
      </c>
      <c r="C23" t="s">
        <v>61</v>
      </c>
      <c r="D23">
        <v>0</v>
      </c>
      <c r="E23">
        <v>0.04</v>
      </c>
      <c r="F23">
        <v>0</v>
      </c>
      <c r="G23">
        <v>0</v>
      </c>
      <c r="H23">
        <v>0.04</v>
      </c>
      <c r="I23">
        <v>0</v>
      </c>
      <c r="J23">
        <v>0.05</v>
      </c>
      <c r="K23">
        <v>0</v>
      </c>
      <c r="L23">
        <v>0</v>
      </c>
      <c r="M23">
        <v>0.87</v>
      </c>
      <c r="N23">
        <v>0</v>
      </c>
    </row>
    <row r="24" spans="1:14">
      <c r="A24">
        <v>23</v>
      </c>
      <c r="B24" t="s">
        <v>20</v>
      </c>
      <c r="C24" t="s">
        <v>20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39</v>
      </c>
      <c r="C25" t="s">
        <v>39</v>
      </c>
      <c r="D25">
        <v>0.05</v>
      </c>
      <c r="E25">
        <v>0.01</v>
      </c>
      <c r="F25">
        <v>0</v>
      </c>
      <c r="G25">
        <v>0</v>
      </c>
      <c r="H25">
        <v>0.92</v>
      </c>
      <c r="I25">
        <v>0</v>
      </c>
      <c r="J25">
        <v>0.01</v>
      </c>
      <c r="K25">
        <v>0.01</v>
      </c>
      <c r="L25">
        <v>0</v>
      </c>
      <c r="M25">
        <v>0</v>
      </c>
      <c r="N25">
        <v>0</v>
      </c>
    </row>
    <row r="26" spans="1:14">
      <c r="A26">
        <v>25</v>
      </c>
      <c r="B26" t="s">
        <v>20</v>
      </c>
      <c r="C26" t="s">
        <v>20</v>
      </c>
      <c r="D26">
        <v>0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45</v>
      </c>
      <c r="C27" t="s">
        <v>45</v>
      </c>
      <c r="D27">
        <v>0.02</v>
      </c>
      <c r="E27">
        <v>0.17</v>
      </c>
      <c r="F27">
        <v>0</v>
      </c>
      <c r="G27">
        <v>0</v>
      </c>
      <c r="H27">
        <v>0.15</v>
      </c>
      <c r="I27">
        <v>0</v>
      </c>
      <c r="J27">
        <v>0.63</v>
      </c>
      <c r="K27">
        <v>0</v>
      </c>
      <c r="L27">
        <v>0</v>
      </c>
      <c r="M27">
        <v>0.03</v>
      </c>
      <c r="N27">
        <v>0</v>
      </c>
    </row>
    <row r="28" spans="1:14">
      <c r="A28">
        <v>27</v>
      </c>
      <c r="B28" t="s">
        <v>45</v>
      </c>
      <c r="C28" t="s">
        <v>45</v>
      </c>
      <c r="D28">
        <v>0</v>
      </c>
      <c r="E28">
        <v>0.14000000000000001</v>
      </c>
      <c r="F28">
        <v>0</v>
      </c>
      <c r="G28">
        <v>0</v>
      </c>
      <c r="H28">
        <v>0.17</v>
      </c>
      <c r="I28">
        <v>0</v>
      </c>
      <c r="J28">
        <v>0.69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45</v>
      </c>
      <c r="C29" t="s">
        <v>45</v>
      </c>
      <c r="D29">
        <v>0</v>
      </c>
      <c r="E29">
        <v>0</v>
      </c>
      <c r="F29">
        <v>0</v>
      </c>
      <c r="G29">
        <v>0</v>
      </c>
      <c r="H29">
        <v>0.08</v>
      </c>
      <c r="I29">
        <v>0</v>
      </c>
      <c r="J29">
        <v>0.86</v>
      </c>
      <c r="K29">
        <v>0</v>
      </c>
      <c r="L29">
        <v>0</v>
      </c>
      <c r="M29">
        <v>0.06</v>
      </c>
      <c r="N29">
        <v>0</v>
      </c>
    </row>
    <row r="30" spans="1:14">
      <c r="A30">
        <v>29</v>
      </c>
      <c r="B30" t="s">
        <v>72</v>
      </c>
      <c r="C30" t="s">
        <v>72</v>
      </c>
      <c r="D30">
        <v>7.0000000000000007E-2</v>
      </c>
      <c r="E30">
        <v>0</v>
      </c>
      <c r="F30">
        <v>0</v>
      </c>
      <c r="G30">
        <v>0.9</v>
      </c>
      <c r="H30">
        <v>0.02</v>
      </c>
      <c r="I30">
        <v>0</v>
      </c>
      <c r="J30">
        <v>0</v>
      </c>
      <c r="K30">
        <v>0</v>
      </c>
      <c r="L30">
        <v>0</v>
      </c>
      <c r="M30">
        <v>0.01</v>
      </c>
      <c r="N30">
        <v>0</v>
      </c>
    </row>
    <row r="31" spans="1:14">
      <c r="A31">
        <v>30</v>
      </c>
      <c r="B31" t="s">
        <v>39</v>
      </c>
      <c r="C31" t="s">
        <v>39</v>
      </c>
      <c r="D31">
        <v>7.0000000000000007E-2</v>
      </c>
      <c r="E31">
        <v>0</v>
      </c>
      <c r="F31">
        <v>0</v>
      </c>
      <c r="G31">
        <v>0</v>
      </c>
      <c r="H31">
        <v>0.88</v>
      </c>
      <c r="I31">
        <v>0.01</v>
      </c>
      <c r="J31">
        <v>0</v>
      </c>
      <c r="K31">
        <v>0</v>
      </c>
      <c r="L31">
        <v>0</v>
      </c>
      <c r="M31">
        <v>0.04</v>
      </c>
      <c r="N31">
        <v>0</v>
      </c>
    </row>
    <row r="32" spans="1:14">
      <c r="A32">
        <v>31</v>
      </c>
      <c r="B32" t="s">
        <v>77</v>
      </c>
      <c r="C32" t="s">
        <v>77</v>
      </c>
      <c r="D32">
        <v>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34</v>
      </c>
      <c r="C33" t="s">
        <v>34</v>
      </c>
      <c r="D33">
        <v>0</v>
      </c>
      <c r="E33">
        <v>0</v>
      </c>
      <c r="F33">
        <v>0</v>
      </c>
      <c r="G33">
        <v>0</v>
      </c>
      <c r="H33">
        <v>0.01</v>
      </c>
      <c r="I33">
        <v>0</v>
      </c>
      <c r="J33">
        <v>0</v>
      </c>
      <c r="K33">
        <v>0</v>
      </c>
      <c r="L33">
        <v>0.99</v>
      </c>
      <c r="M33">
        <v>0</v>
      </c>
      <c r="N33">
        <v>0</v>
      </c>
    </row>
    <row r="34" spans="1:14">
      <c r="A34">
        <v>33</v>
      </c>
      <c r="B34" t="s">
        <v>82</v>
      </c>
      <c r="C34" t="s">
        <v>82</v>
      </c>
      <c r="D34">
        <v>0.04</v>
      </c>
      <c r="E34">
        <v>0</v>
      </c>
      <c r="F34">
        <v>0</v>
      </c>
      <c r="G34">
        <v>0</v>
      </c>
      <c r="H34">
        <v>0.24</v>
      </c>
      <c r="I34">
        <v>0</v>
      </c>
      <c r="J34">
        <v>0</v>
      </c>
      <c r="K34">
        <v>0</v>
      </c>
      <c r="L34">
        <v>0</v>
      </c>
      <c r="M34">
        <v>0.1</v>
      </c>
      <c r="N34">
        <v>0.62</v>
      </c>
    </row>
    <row r="35" spans="1:14">
      <c r="A35">
        <v>34</v>
      </c>
      <c r="B35" t="s">
        <v>39</v>
      </c>
      <c r="C35" t="s">
        <v>39</v>
      </c>
      <c r="D35">
        <v>0</v>
      </c>
      <c r="E35">
        <v>0.02</v>
      </c>
      <c r="F35">
        <v>0</v>
      </c>
      <c r="G35">
        <v>0</v>
      </c>
      <c r="H35">
        <v>0.93</v>
      </c>
      <c r="I35">
        <v>0</v>
      </c>
      <c r="J35">
        <v>0</v>
      </c>
      <c r="K35">
        <v>0</v>
      </c>
      <c r="L35">
        <v>0</v>
      </c>
      <c r="M35">
        <v>0.05</v>
      </c>
      <c r="N35">
        <v>0</v>
      </c>
    </row>
    <row r="36" spans="1:14">
      <c r="A36">
        <v>35</v>
      </c>
      <c r="B36" t="s">
        <v>45</v>
      </c>
      <c r="C36" t="s">
        <v>45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1</v>
      </c>
      <c r="K36">
        <v>0</v>
      </c>
      <c r="L36">
        <v>0</v>
      </c>
      <c r="M36">
        <v>0</v>
      </c>
      <c r="N36">
        <v>0</v>
      </c>
    </row>
    <row r="37" spans="1:14">
      <c r="A37">
        <v>36</v>
      </c>
      <c r="B37" t="s">
        <v>39</v>
      </c>
      <c r="C37" t="s">
        <v>39</v>
      </c>
      <c r="D37">
        <v>0.2</v>
      </c>
      <c r="E37">
        <v>0</v>
      </c>
      <c r="F37">
        <v>0.01</v>
      </c>
      <c r="G37">
        <v>0</v>
      </c>
      <c r="H37">
        <v>0.7</v>
      </c>
      <c r="I37">
        <v>0</v>
      </c>
      <c r="J37">
        <v>0.04</v>
      </c>
      <c r="K37">
        <v>0</v>
      </c>
      <c r="L37">
        <v>0</v>
      </c>
      <c r="M37">
        <v>0.05</v>
      </c>
      <c r="N37">
        <v>0</v>
      </c>
    </row>
    <row r="38" spans="1:14">
      <c r="A38">
        <v>37</v>
      </c>
      <c r="B38" t="s">
        <v>39</v>
      </c>
      <c r="C38" t="s">
        <v>39</v>
      </c>
      <c r="D38">
        <v>0.13</v>
      </c>
      <c r="E38">
        <v>0.01</v>
      </c>
      <c r="F38">
        <v>0</v>
      </c>
      <c r="G38">
        <v>0</v>
      </c>
      <c r="H38">
        <v>0.74</v>
      </c>
      <c r="I38">
        <v>0</v>
      </c>
      <c r="J38">
        <v>0.05</v>
      </c>
      <c r="K38">
        <v>0</v>
      </c>
      <c r="L38">
        <v>0</v>
      </c>
      <c r="M38">
        <v>7.0000000000000007E-2</v>
      </c>
      <c r="N38">
        <v>0</v>
      </c>
    </row>
    <row r="39" spans="1:14">
      <c r="A39">
        <v>38</v>
      </c>
      <c r="B39" t="s">
        <v>20</v>
      </c>
      <c r="C39" t="s">
        <v>20</v>
      </c>
      <c r="D39">
        <v>0</v>
      </c>
      <c r="E39">
        <v>1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20</v>
      </c>
      <c r="C40" t="s">
        <v>20</v>
      </c>
      <c r="D40">
        <v>0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>
      <c r="A41">
        <v>40</v>
      </c>
      <c r="B41" t="s">
        <v>20</v>
      </c>
      <c r="C41" t="s">
        <v>20</v>
      </c>
      <c r="D41">
        <v>0</v>
      </c>
      <c r="E41">
        <v>1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39</v>
      </c>
      <c r="C42" t="s">
        <v>39</v>
      </c>
      <c r="D42">
        <v>0</v>
      </c>
      <c r="E42">
        <v>0</v>
      </c>
      <c r="F42">
        <v>0</v>
      </c>
      <c r="G42">
        <v>0.01</v>
      </c>
      <c r="H42">
        <v>0.81</v>
      </c>
      <c r="I42">
        <v>0</v>
      </c>
      <c r="J42">
        <v>0.17</v>
      </c>
      <c r="K42">
        <v>0</v>
      </c>
      <c r="L42">
        <v>0</v>
      </c>
      <c r="M42">
        <v>0.01</v>
      </c>
      <c r="N42">
        <v>0</v>
      </c>
    </row>
    <row r="43" spans="1:14">
      <c r="A43">
        <v>42</v>
      </c>
      <c r="B43" t="s">
        <v>20</v>
      </c>
      <c r="C43" t="s">
        <v>20</v>
      </c>
      <c r="D43">
        <v>0.02</v>
      </c>
      <c r="E43">
        <v>0.98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98</v>
      </c>
      <c r="C44" t="s">
        <v>98</v>
      </c>
      <c r="D44">
        <v>0</v>
      </c>
      <c r="E44">
        <v>0</v>
      </c>
      <c r="F44">
        <v>0.98</v>
      </c>
      <c r="G44">
        <v>0</v>
      </c>
      <c r="H44">
        <v>0</v>
      </c>
      <c r="I44">
        <v>0</v>
      </c>
      <c r="J44">
        <v>0</v>
      </c>
      <c r="K44">
        <v>0</v>
      </c>
      <c r="L44">
        <v>0.02</v>
      </c>
      <c r="M44">
        <v>0</v>
      </c>
      <c r="N44">
        <v>0</v>
      </c>
    </row>
    <row r="45" spans="1:14">
      <c r="A45">
        <v>44</v>
      </c>
      <c r="B45" t="s">
        <v>20</v>
      </c>
      <c r="C45" t="s">
        <v>20</v>
      </c>
      <c r="D45">
        <v>0.01</v>
      </c>
      <c r="E45">
        <v>0.99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>
      <c r="A46">
        <v>45</v>
      </c>
      <c r="B46" t="s">
        <v>39</v>
      </c>
      <c r="C46" t="s">
        <v>39</v>
      </c>
      <c r="D46">
        <v>0</v>
      </c>
      <c r="E46">
        <v>0</v>
      </c>
      <c r="F46">
        <v>0</v>
      </c>
      <c r="G46">
        <v>0</v>
      </c>
      <c r="H46">
        <v>0.83</v>
      </c>
      <c r="I46">
        <v>0</v>
      </c>
      <c r="J46">
        <v>0.02</v>
      </c>
      <c r="K46">
        <v>0</v>
      </c>
      <c r="L46">
        <v>0</v>
      </c>
      <c r="M46">
        <v>0.15</v>
      </c>
      <c r="N46">
        <v>0</v>
      </c>
    </row>
    <row r="47" spans="1:14">
      <c r="A47">
        <v>46</v>
      </c>
      <c r="B47" t="s">
        <v>98</v>
      </c>
      <c r="C47" t="s">
        <v>98</v>
      </c>
      <c r="D47">
        <v>7.0000000000000007E-2</v>
      </c>
      <c r="E47">
        <v>0</v>
      </c>
      <c r="F47">
        <v>0.56999999999999995</v>
      </c>
      <c r="G47">
        <v>0</v>
      </c>
      <c r="H47">
        <v>0.02</v>
      </c>
      <c r="I47">
        <v>0.01</v>
      </c>
      <c r="J47">
        <v>0.24</v>
      </c>
      <c r="K47">
        <v>0</v>
      </c>
      <c r="L47">
        <v>0</v>
      </c>
      <c r="M47">
        <v>0.09</v>
      </c>
      <c r="N47">
        <v>0</v>
      </c>
    </row>
    <row r="48" spans="1:14">
      <c r="A48">
        <v>47</v>
      </c>
      <c r="B48" t="s">
        <v>20</v>
      </c>
      <c r="C48" t="s">
        <v>20</v>
      </c>
      <c r="D48">
        <v>0</v>
      </c>
      <c r="E48">
        <v>1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72</v>
      </c>
      <c r="C49" t="s">
        <v>72</v>
      </c>
      <c r="D49">
        <v>0.01</v>
      </c>
      <c r="E49">
        <v>0</v>
      </c>
      <c r="F49">
        <v>0</v>
      </c>
      <c r="G49">
        <v>0.98</v>
      </c>
      <c r="H49">
        <v>0.01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39</v>
      </c>
      <c r="C50" t="s">
        <v>39</v>
      </c>
      <c r="D50">
        <v>0</v>
      </c>
      <c r="E50">
        <v>7.0000000000000007E-2</v>
      </c>
      <c r="F50">
        <v>0</v>
      </c>
      <c r="G50">
        <v>0</v>
      </c>
      <c r="H50">
        <v>0.84</v>
      </c>
      <c r="I50">
        <v>0</v>
      </c>
      <c r="J50">
        <v>0.09</v>
      </c>
      <c r="K50">
        <v>0</v>
      </c>
      <c r="L50">
        <v>0</v>
      </c>
      <c r="M50">
        <v>0</v>
      </c>
      <c r="N50">
        <v>0</v>
      </c>
    </row>
    <row r="51" spans="1:14">
      <c r="A51">
        <v>50</v>
      </c>
      <c r="B51" t="s">
        <v>39</v>
      </c>
      <c r="C51" t="s">
        <v>39</v>
      </c>
      <c r="D51">
        <v>0</v>
      </c>
      <c r="E51">
        <v>0.23</v>
      </c>
      <c r="F51">
        <v>0</v>
      </c>
      <c r="G51">
        <v>0</v>
      </c>
      <c r="H51">
        <v>0.77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</row>
    <row r="52" spans="1:14">
      <c r="A52">
        <v>51</v>
      </c>
      <c r="B52" t="s">
        <v>20</v>
      </c>
      <c r="C52" t="s">
        <v>20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39</v>
      </c>
      <c r="C53" t="s">
        <v>39</v>
      </c>
      <c r="D53">
        <v>0.02</v>
      </c>
      <c r="E53">
        <v>0.05</v>
      </c>
      <c r="F53">
        <v>0</v>
      </c>
      <c r="G53">
        <v>0</v>
      </c>
      <c r="H53">
        <v>0.91</v>
      </c>
      <c r="I53">
        <v>0</v>
      </c>
      <c r="J53">
        <v>0.02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72</v>
      </c>
      <c r="C54" t="s">
        <v>72</v>
      </c>
      <c r="D54">
        <v>0.03</v>
      </c>
      <c r="E54">
        <v>0</v>
      </c>
      <c r="F54">
        <v>0</v>
      </c>
      <c r="G54">
        <v>0.84</v>
      </c>
      <c r="H54">
        <v>0.1</v>
      </c>
      <c r="I54">
        <v>0</v>
      </c>
      <c r="J54">
        <v>0.02</v>
      </c>
      <c r="K54">
        <v>0</v>
      </c>
      <c r="L54">
        <v>0</v>
      </c>
      <c r="M54">
        <v>0.01</v>
      </c>
      <c r="N54">
        <v>0</v>
      </c>
    </row>
    <row r="55" spans="1:14">
      <c r="A55">
        <v>54</v>
      </c>
      <c r="B55" t="s">
        <v>20</v>
      </c>
      <c r="C55" t="s">
        <v>20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>
      <c r="A56">
        <v>55</v>
      </c>
      <c r="B56" t="s">
        <v>45</v>
      </c>
      <c r="C56" t="s">
        <v>45</v>
      </c>
      <c r="D56">
        <v>0</v>
      </c>
      <c r="E56">
        <v>0.1</v>
      </c>
      <c r="F56">
        <v>0</v>
      </c>
      <c r="G56">
        <v>0</v>
      </c>
      <c r="H56">
        <v>0.01</v>
      </c>
      <c r="I56">
        <v>0</v>
      </c>
      <c r="J56">
        <v>0.89</v>
      </c>
      <c r="K56">
        <v>0</v>
      </c>
      <c r="L56">
        <v>0</v>
      </c>
      <c r="M56">
        <v>0</v>
      </c>
      <c r="N56">
        <v>0</v>
      </c>
    </row>
    <row r="57" spans="1:14">
      <c r="A57">
        <v>56</v>
      </c>
      <c r="B57" t="s">
        <v>45</v>
      </c>
      <c r="C57" t="s">
        <v>45</v>
      </c>
      <c r="D57">
        <v>0</v>
      </c>
      <c r="E57">
        <v>0</v>
      </c>
      <c r="F57">
        <v>0</v>
      </c>
      <c r="G57">
        <v>0</v>
      </c>
      <c r="H57">
        <v>0.01</v>
      </c>
      <c r="I57">
        <v>0</v>
      </c>
      <c r="J57">
        <v>0.99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45</v>
      </c>
      <c r="C58" t="s">
        <v>45</v>
      </c>
      <c r="D58">
        <v>0</v>
      </c>
      <c r="E58">
        <v>0</v>
      </c>
      <c r="F58">
        <v>0</v>
      </c>
      <c r="G58">
        <v>0</v>
      </c>
      <c r="H58">
        <v>0.25</v>
      </c>
      <c r="I58">
        <v>0</v>
      </c>
      <c r="J58">
        <v>0.75</v>
      </c>
      <c r="K58">
        <v>0</v>
      </c>
      <c r="L58">
        <v>0</v>
      </c>
      <c r="M58">
        <v>0</v>
      </c>
      <c r="N58">
        <v>0</v>
      </c>
    </row>
    <row r="59" spans="1:14">
      <c r="A59">
        <v>58</v>
      </c>
      <c r="B59" t="s">
        <v>39</v>
      </c>
      <c r="C59" t="s">
        <v>39</v>
      </c>
      <c r="D59">
        <v>0.08</v>
      </c>
      <c r="E59">
        <v>0</v>
      </c>
      <c r="F59">
        <v>0</v>
      </c>
      <c r="G59">
        <v>0</v>
      </c>
      <c r="H59">
        <v>0.91</v>
      </c>
      <c r="I59">
        <v>0</v>
      </c>
      <c r="J59">
        <v>0</v>
      </c>
      <c r="K59">
        <v>0.01</v>
      </c>
      <c r="L59">
        <v>0</v>
      </c>
      <c r="M59">
        <v>0</v>
      </c>
      <c r="N59">
        <v>0</v>
      </c>
    </row>
    <row r="60" spans="1:14">
      <c r="A60">
        <v>59</v>
      </c>
      <c r="B60" t="s">
        <v>20</v>
      </c>
      <c r="C60" t="s">
        <v>20</v>
      </c>
      <c r="D60">
        <v>0.02</v>
      </c>
      <c r="E60">
        <v>0.9</v>
      </c>
      <c r="F60">
        <v>0</v>
      </c>
      <c r="G60">
        <v>0</v>
      </c>
      <c r="H60">
        <v>7.0000000000000007E-2</v>
      </c>
      <c r="I60">
        <v>0</v>
      </c>
      <c r="J60">
        <v>0</v>
      </c>
      <c r="K60">
        <v>0.01</v>
      </c>
      <c r="L60">
        <v>0</v>
      </c>
      <c r="M60">
        <v>0</v>
      </c>
      <c r="N60">
        <v>0</v>
      </c>
    </row>
    <row r="61" spans="1:14">
      <c r="A61">
        <v>60</v>
      </c>
      <c r="B61" t="s">
        <v>77</v>
      </c>
      <c r="C61" t="s">
        <v>77</v>
      </c>
      <c r="D61">
        <v>0.71</v>
      </c>
      <c r="E61">
        <v>0</v>
      </c>
      <c r="F61">
        <v>0</v>
      </c>
      <c r="G61">
        <v>0</v>
      </c>
      <c r="H61">
        <v>0.26</v>
      </c>
      <c r="I61">
        <v>0</v>
      </c>
      <c r="J61">
        <v>0.01</v>
      </c>
      <c r="K61">
        <v>0</v>
      </c>
      <c r="L61">
        <v>0</v>
      </c>
      <c r="M61">
        <v>0.02</v>
      </c>
      <c r="N61">
        <v>0</v>
      </c>
    </row>
    <row r="62" spans="1:14">
      <c r="A62">
        <v>61</v>
      </c>
      <c r="B62" t="s">
        <v>20</v>
      </c>
      <c r="C62" t="s">
        <v>20</v>
      </c>
      <c r="D62">
        <v>0</v>
      </c>
      <c r="E62">
        <v>1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45</v>
      </c>
      <c r="C63" t="s">
        <v>45</v>
      </c>
      <c r="D63">
        <v>0.01</v>
      </c>
      <c r="E63">
        <v>0</v>
      </c>
      <c r="F63">
        <v>0</v>
      </c>
      <c r="G63">
        <v>0</v>
      </c>
      <c r="H63">
        <v>0.03</v>
      </c>
      <c r="I63">
        <v>0.01</v>
      </c>
      <c r="J63">
        <v>0.83</v>
      </c>
      <c r="K63">
        <v>0</v>
      </c>
      <c r="L63">
        <v>0</v>
      </c>
      <c r="M63">
        <v>0.12</v>
      </c>
      <c r="N63">
        <v>0</v>
      </c>
    </row>
    <row r="64" spans="1:14">
      <c r="A64">
        <v>63</v>
      </c>
      <c r="B64" t="s">
        <v>77</v>
      </c>
      <c r="C64" t="s">
        <v>77</v>
      </c>
      <c r="D64">
        <v>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>
      <c r="A65">
        <v>64</v>
      </c>
      <c r="B65" t="s">
        <v>39</v>
      </c>
      <c r="C65" t="s">
        <v>39</v>
      </c>
      <c r="D65">
        <v>0</v>
      </c>
      <c r="E65">
        <v>0</v>
      </c>
      <c r="F65">
        <v>0</v>
      </c>
      <c r="G65">
        <v>0</v>
      </c>
      <c r="H65">
        <v>1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20</v>
      </c>
      <c r="C66" t="s">
        <v>20</v>
      </c>
      <c r="D66">
        <v>0</v>
      </c>
      <c r="E66">
        <v>0.89</v>
      </c>
      <c r="F66">
        <v>0</v>
      </c>
      <c r="G66">
        <v>0.04</v>
      </c>
      <c r="H66">
        <v>0.06</v>
      </c>
      <c r="I66">
        <v>0</v>
      </c>
      <c r="J66">
        <v>0</v>
      </c>
      <c r="K66">
        <v>0</v>
      </c>
      <c r="L66">
        <v>0</v>
      </c>
      <c r="M66">
        <v>0.01</v>
      </c>
      <c r="N66">
        <v>0</v>
      </c>
    </row>
    <row r="67" spans="1:14">
      <c r="A67">
        <v>66</v>
      </c>
      <c r="B67" t="s">
        <v>20</v>
      </c>
      <c r="C67" t="s">
        <v>20</v>
      </c>
      <c r="D67">
        <v>0</v>
      </c>
      <c r="E67">
        <v>1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>
      <c r="A68">
        <v>67</v>
      </c>
      <c r="B68" t="s">
        <v>20</v>
      </c>
      <c r="C68" t="s">
        <v>20</v>
      </c>
      <c r="D68">
        <v>0</v>
      </c>
      <c r="E68">
        <v>0.99</v>
      </c>
      <c r="F68">
        <v>0</v>
      </c>
      <c r="G68">
        <v>0</v>
      </c>
      <c r="H68">
        <v>0.01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20</v>
      </c>
      <c r="C69" t="s">
        <v>20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>
      <c r="A70">
        <v>69</v>
      </c>
      <c r="B70" t="s">
        <v>20</v>
      </c>
      <c r="C70" t="s">
        <v>20</v>
      </c>
      <c r="D70">
        <v>0</v>
      </c>
      <c r="E70">
        <v>1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61</v>
      </c>
      <c r="C71" t="s">
        <v>61</v>
      </c>
      <c r="D71">
        <v>0.01</v>
      </c>
      <c r="E71">
        <v>0.17</v>
      </c>
      <c r="F71">
        <v>0</v>
      </c>
      <c r="G71">
        <v>0</v>
      </c>
      <c r="H71">
        <v>7.0000000000000007E-2</v>
      </c>
      <c r="I71">
        <v>0</v>
      </c>
      <c r="J71">
        <v>0.06</v>
      </c>
      <c r="K71">
        <v>0</v>
      </c>
      <c r="L71">
        <v>0</v>
      </c>
      <c r="M71">
        <v>0.69</v>
      </c>
      <c r="N71">
        <v>0</v>
      </c>
    </row>
    <row r="72" spans="1:14">
      <c r="A72">
        <v>71</v>
      </c>
      <c r="B72" t="s">
        <v>77</v>
      </c>
      <c r="C72" t="s">
        <v>77</v>
      </c>
      <c r="D72">
        <v>1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>
      <c r="A73">
        <v>72</v>
      </c>
      <c r="B73" t="s">
        <v>61</v>
      </c>
      <c r="C73" t="s">
        <v>61</v>
      </c>
      <c r="D73">
        <v>0.01</v>
      </c>
      <c r="E73">
        <v>0</v>
      </c>
      <c r="F73">
        <v>0</v>
      </c>
      <c r="G73">
        <v>0</v>
      </c>
      <c r="H73">
        <v>0.33</v>
      </c>
      <c r="I73">
        <v>0</v>
      </c>
      <c r="J73">
        <v>0.05</v>
      </c>
      <c r="K73">
        <v>0</v>
      </c>
      <c r="L73">
        <v>0</v>
      </c>
      <c r="M73">
        <v>0.61</v>
      </c>
      <c r="N73">
        <v>0</v>
      </c>
    </row>
    <row r="74" spans="1:14">
      <c r="A74">
        <v>73</v>
      </c>
      <c r="B74" t="s">
        <v>39</v>
      </c>
      <c r="C74" t="s">
        <v>39</v>
      </c>
      <c r="D74">
        <v>0</v>
      </c>
      <c r="E74">
        <v>0.01</v>
      </c>
      <c r="F74">
        <v>0</v>
      </c>
      <c r="G74">
        <v>0</v>
      </c>
      <c r="H74">
        <v>0.99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39</v>
      </c>
      <c r="C75" t="s">
        <v>39</v>
      </c>
      <c r="D75">
        <v>0</v>
      </c>
      <c r="E75">
        <v>0</v>
      </c>
      <c r="F75">
        <v>0</v>
      </c>
      <c r="G75">
        <v>0</v>
      </c>
      <c r="H75">
        <v>0.99</v>
      </c>
      <c r="I75">
        <v>0</v>
      </c>
      <c r="J75">
        <v>0</v>
      </c>
      <c r="K75">
        <v>0</v>
      </c>
      <c r="L75">
        <v>0.01</v>
      </c>
      <c r="M75">
        <v>0</v>
      </c>
      <c r="N75">
        <v>0</v>
      </c>
    </row>
    <row r="76" spans="1:14">
      <c r="A76">
        <v>75</v>
      </c>
      <c r="B76" t="s">
        <v>72</v>
      </c>
      <c r="C76" t="s">
        <v>72</v>
      </c>
      <c r="D76">
        <v>0</v>
      </c>
      <c r="E76">
        <v>0</v>
      </c>
      <c r="F76">
        <v>0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20</v>
      </c>
      <c r="C77" t="s">
        <v>20</v>
      </c>
      <c r="D77">
        <v>0</v>
      </c>
      <c r="E77">
        <v>1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>
      <c r="A78">
        <v>77</v>
      </c>
      <c r="B78" t="s">
        <v>20</v>
      </c>
      <c r="C78" t="s">
        <v>20</v>
      </c>
      <c r="D78">
        <v>0</v>
      </c>
      <c r="E78">
        <v>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20</v>
      </c>
      <c r="C79" t="s">
        <v>20</v>
      </c>
      <c r="D79">
        <v>0</v>
      </c>
      <c r="E79">
        <v>0.65</v>
      </c>
      <c r="F79">
        <v>0</v>
      </c>
      <c r="G79">
        <v>0</v>
      </c>
      <c r="H79">
        <v>0.03</v>
      </c>
      <c r="I79">
        <v>0</v>
      </c>
      <c r="J79">
        <v>0.08</v>
      </c>
      <c r="K79">
        <v>0</v>
      </c>
      <c r="L79">
        <v>0</v>
      </c>
      <c r="M79">
        <v>0.24</v>
      </c>
      <c r="N79">
        <v>0</v>
      </c>
    </row>
    <row r="80" spans="1:14">
      <c r="A80">
        <v>79</v>
      </c>
      <c r="B80" t="s">
        <v>20</v>
      </c>
      <c r="C80" t="s">
        <v>20</v>
      </c>
      <c r="D80">
        <v>0</v>
      </c>
      <c r="E80">
        <v>1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72</v>
      </c>
      <c r="C81" t="s">
        <v>72</v>
      </c>
      <c r="D81">
        <v>0</v>
      </c>
      <c r="E81">
        <v>0</v>
      </c>
      <c r="F81">
        <v>0</v>
      </c>
      <c r="G81">
        <v>0.96</v>
      </c>
      <c r="H81">
        <v>0</v>
      </c>
      <c r="I81">
        <v>0</v>
      </c>
      <c r="J81">
        <v>0.02</v>
      </c>
      <c r="K81">
        <v>0</v>
      </c>
      <c r="L81">
        <v>0</v>
      </c>
      <c r="M81">
        <v>0.02</v>
      </c>
      <c r="N81">
        <v>0</v>
      </c>
    </row>
    <row r="82" spans="1:14">
      <c r="A82">
        <v>81</v>
      </c>
      <c r="B82" t="s">
        <v>45</v>
      </c>
      <c r="C82" t="s">
        <v>45</v>
      </c>
      <c r="D82">
        <v>0</v>
      </c>
      <c r="E82">
        <v>0</v>
      </c>
      <c r="F82">
        <v>0.01</v>
      </c>
      <c r="G82">
        <v>0.01</v>
      </c>
      <c r="H82">
        <v>0.01</v>
      </c>
      <c r="I82">
        <v>0</v>
      </c>
      <c r="J82">
        <v>0.94</v>
      </c>
      <c r="K82">
        <v>0.02</v>
      </c>
      <c r="L82">
        <v>0.01</v>
      </c>
      <c r="M82">
        <v>0</v>
      </c>
      <c r="N82">
        <v>0</v>
      </c>
    </row>
    <row r="83" spans="1:14">
      <c r="A83">
        <v>82</v>
      </c>
      <c r="B83" t="s">
        <v>20</v>
      </c>
      <c r="C83" t="s">
        <v>20</v>
      </c>
      <c r="D83">
        <v>0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83</v>
      </c>
      <c r="B84" t="s">
        <v>20</v>
      </c>
      <c r="C84" t="s">
        <v>20</v>
      </c>
      <c r="D84">
        <v>0</v>
      </c>
      <c r="E84">
        <v>1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>
      <c r="A85">
        <v>84</v>
      </c>
      <c r="B85" t="s">
        <v>45</v>
      </c>
      <c r="C85" t="s">
        <v>45</v>
      </c>
      <c r="D85">
        <v>0.01</v>
      </c>
      <c r="E85">
        <v>0</v>
      </c>
      <c r="F85">
        <v>0</v>
      </c>
      <c r="G85">
        <v>0</v>
      </c>
      <c r="H85">
        <v>0.01</v>
      </c>
      <c r="I85">
        <v>0</v>
      </c>
      <c r="J85">
        <v>0.96</v>
      </c>
      <c r="K85">
        <v>0</v>
      </c>
      <c r="L85">
        <v>0</v>
      </c>
      <c r="M85">
        <v>0.02</v>
      </c>
      <c r="N85">
        <v>0</v>
      </c>
    </row>
    <row r="86" spans="1:14">
      <c r="A86">
        <v>85</v>
      </c>
      <c r="B86" t="s">
        <v>39</v>
      </c>
      <c r="C86" t="s">
        <v>39</v>
      </c>
      <c r="D86">
        <v>0</v>
      </c>
      <c r="E86">
        <v>0</v>
      </c>
      <c r="F86">
        <v>0</v>
      </c>
      <c r="G86">
        <v>0</v>
      </c>
      <c r="H86">
        <v>1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20</v>
      </c>
      <c r="C87" t="s">
        <v>20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39</v>
      </c>
      <c r="C88" t="s">
        <v>39</v>
      </c>
      <c r="D88">
        <v>0.04</v>
      </c>
      <c r="E88">
        <v>0</v>
      </c>
      <c r="F88">
        <v>0</v>
      </c>
      <c r="G88">
        <v>0</v>
      </c>
      <c r="H88">
        <v>0.82</v>
      </c>
      <c r="I88">
        <v>0</v>
      </c>
      <c r="J88">
        <v>0.08</v>
      </c>
      <c r="K88">
        <v>0.06</v>
      </c>
      <c r="L88">
        <v>0</v>
      </c>
      <c r="M88">
        <v>0</v>
      </c>
      <c r="N88">
        <v>0</v>
      </c>
    </row>
    <row r="89" spans="1:14">
      <c r="A89">
        <v>88</v>
      </c>
      <c r="B89" t="s">
        <v>39</v>
      </c>
      <c r="C89" t="s">
        <v>39</v>
      </c>
      <c r="D89">
        <v>0.16</v>
      </c>
      <c r="E89">
        <v>0</v>
      </c>
      <c r="F89">
        <v>0</v>
      </c>
      <c r="G89">
        <v>0</v>
      </c>
      <c r="H89">
        <v>0.81</v>
      </c>
      <c r="I89">
        <v>0</v>
      </c>
      <c r="J89">
        <v>0</v>
      </c>
      <c r="K89">
        <v>0</v>
      </c>
      <c r="L89">
        <v>0</v>
      </c>
      <c r="M89">
        <v>0.03</v>
      </c>
      <c r="N89">
        <v>0</v>
      </c>
    </row>
    <row r="90" spans="1:14">
      <c r="A90">
        <v>89</v>
      </c>
      <c r="B90" t="s">
        <v>98</v>
      </c>
      <c r="C90" t="s">
        <v>98</v>
      </c>
      <c r="D90">
        <v>0</v>
      </c>
      <c r="E90">
        <v>0</v>
      </c>
      <c r="F90">
        <v>0.79</v>
      </c>
      <c r="G90">
        <v>0</v>
      </c>
      <c r="H90">
        <v>0</v>
      </c>
      <c r="I90">
        <v>0</v>
      </c>
      <c r="J90">
        <v>0</v>
      </c>
      <c r="K90">
        <v>0</v>
      </c>
      <c r="L90">
        <v>0.21</v>
      </c>
      <c r="M90">
        <v>0</v>
      </c>
      <c r="N90">
        <v>0</v>
      </c>
    </row>
    <row r="91" spans="1:14">
      <c r="A91">
        <v>90</v>
      </c>
      <c r="B91" t="s">
        <v>20</v>
      </c>
      <c r="C91" t="s">
        <v>20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39</v>
      </c>
      <c r="C92" t="s">
        <v>39</v>
      </c>
      <c r="D92">
        <v>0</v>
      </c>
      <c r="E92">
        <v>0.02</v>
      </c>
      <c r="F92">
        <v>0</v>
      </c>
      <c r="G92">
        <v>0</v>
      </c>
      <c r="H92">
        <v>0.63</v>
      </c>
      <c r="I92">
        <v>0.01</v>
      </c>
      <c r="J92">
        <v>0.13</v>
      </c>
      <c r="K92">
        <v>0</v>
      </c>
      <c r="L92">
        <v>0</v>
      </c>
      <c r="M92">
        <v>0.21</v>
      </c>
      <c r="N92">
        <v>0</v>
      </c>
    </row>
    <row r="93" spans="1:14">
      <c r="A93">
        <v>92</v>
      </c>
      <c r="B93" t="s">
        <v>77</v>
      </c>
      <c r="C93" t="s">
        <v>77</v>
      </c>
      <c r="D93">
        <v>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34</v>
      </c>
      <c r="C94" t="s">
        <v>34</v>
      </c>
      <c r="D94">
        <v>0</v>
      </c>
      <c r="E94">
        <v>0.04</v>
      </c>
      <c r="F94">
        <v>0.02</v>
      </c>
      <c r="G94">
        <v>0</v>
      </c>
      <c r="H94">
        <v>0</v>
      </c>
      <c r="I94">
        <v>0</v>
      </c>
      <c r="J94">
        <v>0</v>
      </c>
      <c r="K94">
        <v>0</v>
      </c>
      <c r="L94">
        <v>0.94</v>
      </c>
      <c r="M94">
        <v>0</v>
      </c>
      <c r="N94">
        <v>0</v>
      </c>
    </row>
    <row r="95" spans="1:14">
      <c r="A95">
        <v>94</v>
      </c>
      <c r="B95" t="s">
        <v>45</v>
      </c>
      <c r="C95" t="s">
        <v>45</v>
      </c>
      <c r="D95">
        <v>0.01</v>
      </c>
      <c r="E95">
        <v>0.01</v>
      </c>
      <c r="F95">
        <v>0</v>
      </c>
      <c r="G95">
        <v>0</v>
      </c>
      <c r="H95">
        <v>0.25</v>
      </c>
      <c r="I95">
        <v>0</v>
      </c>
      <c r="J95">
        <v>0.7</v>
      </c>
      <c r="K95">
        <v>0</v>
      </c>
      <c r="L95">
        <v>0</v>
      </c>
      <c r="M95">
        <v>0.03</v>
      </c>
      <c r="N95">
        <v>0</v>
      </c>
    </row>
    <row r="96" spans="1:14">
      <c r="A96">
        <v>95</v>
      </c>
      <c r="B96" t="s">
        <v>39</v>
      </c>
      <c r="C96" t="s">
        <v>39</v>
      </c>
      <c r="D96">
        <v>0.01</v>
      </c>
      <c r="E96">
        <v>0</v>
      </c>
      <c r="F96">
        <v>0.03</v>
      </c>
      <c r="G96">
        <v>0</v>
      </c>
      <c r="H96">
        <v>0.71</v>
      </c>
      <c r="I96">
        <v>0</v>
      </c>
      <c r="J96">
        <v>0.2</v>
      </c>
      <c r="K96">
        <v>0</v>
      </c>
      <c r="L96">
        <v>0</v>
      </c>
      <c r="M96">
        <v>0</v>
      </c>
      <c r="N96">
        <v>0.05</v>
      </c>
    </row>
    <row r="97" spans="1:14">
      <c r="A97">
        <v>96</v>
      </c>
      <c r="B97" t="s">
        <v>45</v>
      </c>
      <c r="C97" t="s">
        <v>45</v>
      </c>
      <c r="D97">
        <v>0.01</v>
      </c>
      <c r="E97">
        <v>0.02</v>
      </c>
      <c r="F97">
        <v>0</v>
      </c>
      <c r="G97">
        <v>0</v>
      </c>
      <c r="H97">
        <v>0.14000000000000001</v>
      </c>
      <c r="I97">
        <v>0</v>
      </c>
      <c r="J97">
        <v>0.81</v>
      </c>
      <c r="K97">
        <v>0</v>
      </c>
      <c r="L97">
        <v>0</v>
      </c>
      <c r="M97">
        <v>0.02</v>
      </c>
      <c r="N97">
        <v>0</v>
      </c>
    </row>
    <row r="98" spans="1:14">
      <c r="A98">
        <v>97</v>
      </c>
      <c r="B98" t="s">
        <v>20</v>
      </c>
      <c r="C98" t="s">
        <v>20</v>
      </c>
      <c r="D98">
        <v>0</v>
      </c>
      <c r="E98">
        <v>1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>
      <c r="A99">
        <v>98</v>
      </c>
      <c r="B99" t="s">
        <v>98</v>
      </c>
      <c r="C99" t="s">
        <v>98</v>
      </c>
      <c r="D99">
        <v>7.0000000000000007E-2</v>
      </c>
      <c r="E99">
        <v>0</v>
      </c>
      <c r="F99">
        <v>0.85</v>
      </c>
      <c r="G99">
        <v>0</v>
      </c>
      <c r="H99">
        <v>0.08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>
      <c r="A100">
        <v>99</v>
      </c>
      <c r="B100" t="s">
        <v>39</v>
      </c>
      <c r="C100" t="s">
        <v>39</v>
      </c>
      <c r="D100">
        <v>0.05</v>
      </c>
      <c r="E100">
        <v>0.02</v>
      </c>
      <c r="F100">
        <v>0</v>
      </c>
      <c r="G100">
        <v>0</v>
      </c>
      <c r="H100">
        <v>0.93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20</v>
      </c>
      <c r="C101" t="s">
        <v>20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72</v>
      </c>
      <c r="C102" t="s">
        <v>72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61</v>
      </c>
      <c r="C103" t="s">
        <v>61</v>
      </c>
      <c r="D103">
        <v>0.02</v>
      </c>
      <c r="E103">
        <v>0.16</v>
      </c>
      <c r="F103">
        <v>0</v>
      </c>
      <c r="G103">
        <v>0</v>
      </c>
      <c r="H103">
        <v>0.18</v>
      </c>
      <c r="I103">
        <v>0</v>
      </c>
      <c r="J103">
        <v>0.01</v>
      </c>
      <c r="K103">
        <v>0</v>
      </c>
      <c r="L103">
        <v>0</v>
      </c>
      <c r="M103">
        <v>0.63</v>
      </c>
      <c r="N103">
        <v>0</v>
      </c>
    </row>
    <row r="104" spans="1:14">
      <c r="A104">
        <v>103</v>
      </c>
      <c r="B104" t="s">
        <v>39</v>
      </c>
      <c r="C104" t="s">
        <v>39</v>
      </c>
      <c r="D104">
        <v>0.01</v>
      </c>
      <c r="E104">
        <v>0</v>
      </c>
      <c r="F104">
        <v>0</v>
      </c>
      <c r="G104">
        <v>0</v>
      </c>
      <c r="H104">
        <v>0.74</v>
      </c>
      <c r="I104">
        <v>0</v>
      </c>
      <c r="J104">
        <v>0.16</v>
      </c>
      <c r="K104">
        <v>0</v>
      </c>
      <c r="L104">
        <v>0</v>
      </c>
      <c r="M104">
        <v>0.09</v>
      </c>
      <c r="N104">
        <v>0</v>
      </c>
    </row>
    <row r="105" spans="1:14">
      <c r="A105">
        <v>104</v>
      </c>
      <c r="B105" t="s">
        <v>39</v>
      </c>
      <c r="C105" t="s">
        <v>39</v>
      </c>
      <c r="D105">
        <v>0</v>
      </c>
      <c r="E105">
        <v>0</v>
      </c>
      <c r="F105">
        <v>0</v>
      </c>
      <c r="G105">
        <v>0</v>
      </c>
      <c r="H105">
        <v>0.79</v>
      </c>
      <c r="I105">
        <v>0</v>
      </c>
      <c r="J105">
        <v>0.2</v>
      </c>
      <c r="K105">
        <v>0</v>
      </c>
      <c r="L105">
        <v>0</v>
      </c>
      <c r="M105">
        <v>0.01</v>
      </c>
      <c r="N105">
        <v>0</v>
      </c>
    </row>
    <row r="106" spans="1:14">
      <c r="A106">
        <v>105</v>
      </c>
      <c r="B106" t="s">
        <v>45</v>
      </c>
      <c r="C106" t="s">
        <v>45</v>
      </c>
      <c r="D106">
        <v>0.04</v>
      </c>
      <c r="E106">
        <v>0</v>
      </c>
      <c r="F106">
        <v>0</v>
      </c>
      <c r="G106">
        <v>0</v>
      </c>
      <c r="H106">
        <v>0.05</v>
      </c>
      <c r="I106">
        <v>0</v>
      </c>
      <c r="J106">
        <v>0.87</v>
      </c>
      <c r="K106">
        <v>0</v>
      </c>
      <c r="L106">
        <v>0</v>
      </c>
      <c r="M106">
        <v>0.04</v>
      </c>
      <c r="N106">
        <v>0</v>
      </c>
    </row>
    <row r="107" spans="1:14">
      <c r="A107">
        <v>106</v>
      </c>
      <c r="B107" t="s">
        <v>20</v>
      </c>
      <c r="C107" t="s">
        <v>20</v>
      </c>
      <c r="D107">
        <v>0</v>
      </c>
      <c r="E107">
        <v>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>
      <c r="A108">
        <v>107</v>
      </c>
      <c r="B108" t="s">
        <v>39</v>
      </c>
      <c r="C108" t="s">
        <v>39</v>
      </c>
      <c r="D108">
        <v>0.08</v>
      </c>
      <c r="E108">
        <v>0.04</v>
      </c>
      <c r="F108">
        <v>0</v>
      </c>
      <c r="G108">
        <v>0</v>
      </c>
      <c r="H108">
        <v>0.83</v>
      </c>
      <c r="I108">
        <v>0</v>
      </c>
      <c r="J108">
        <v>0.02</v>
      </c>
      <c r="K108">
        <v>0</v>
      </c>
      <c r="L108">
        <v>0</v>
      </c>
      <c r="M108">
        <v>0.03</v>
      </c>
      <c r="N108">
        <v>0</v>
      </c>
    </row>
    <row r="109" spans="1:14">
      <c r="A109">
        <v>108</v>
      </c>
      <c r="B109" t="s">
        <v>178</v>
      </c>
      <c r="C109" t="s">
        <v>178</v>
      </c>
      <c r="D109">
        <v>0</v>
      </c>
      <c r="E109">
        <v>0</v>
      </c>
      <c r="F109">
        <v>0</v>
      </c>
      <c r="G109">
        <v>0</v>
      </c>
      <c r="H109">
        <v>0.01</v>
      </c>
      <c r="I109">
        <v>0.99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39</v>
      </c>
      <c r="C110" t="s">
        <v>39</v>
      </c>
      <c r="D110">
        <v>0</v>
      </c>
      <c r="E110">
        <v>0</v>
      </c>
      <c r="F110">
        <v>0</v>
      </c>
      <c r="G110">
        <v>0</v>
      </c>
      <c r="H110">
        <v>0.99</v>
      </c>
      <c r="I110">
        <v>0</v>
      </c>
      <c r="J110">
        <v>0.01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39</v>
      </c>
      <c r="C111" t="s">
        <v>39</v>
      </c>
      <c r="D111">
        <v>0</v>
      </c>
      <c r="E111">
        <v>0</v>
      </c>
      <c r="F111">
        <v>0</v>
      </c>
      <c r="G111">
        <v>0</v>
      </c>
      <c r="H111">
        <v>0.95</v>
      </c>
      <c r="I111">
        <v>0</v>
      </c>
      <c r="J111">
        <v>0.05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45</v>
      </c>
      <c r="C112" t="s">
        <v>45</v>
      </c>
      <c r="D112">
        <v>0.04</v>
      </c>
      <c r="E112">
        <v>0</v>
      </c>
      <c r="F112">
        <v>0</v>
      </c>
      <c r="G112">
        <v>0</v>
      </c>
      <c r="H112">
        <v>0.19</v>
      </c>
      <c r="I112">
        <v>0</v>
      </c>
      <c r="J112">
        <v>0.64</v>
      </c>
      <c r="K112">
        <v>0.02</v>
      </c>
      <c r="L112">
        <v>0</v>
      </c>
      <c r="M112">
        <v>0</v>
      </c>
      <c r="N112">
        <v>0.11</v>
      </c>
    </row>
    <row r="113" spans="1:14">
      <c r="A113">
        <v>112</v>
      </c>
      <c r="B113" t="s">
        <v>72</v>
      </c>
      <c r="C113" t="s">
        <v>72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>
      <c r="A114">
        <v>113</v>
      </c>
      <c r="B114" t="s">
        <v>72</v>
      </c>
      <c r="C114" t="s">
        <v>72</v>
      </c>
      <c r="D114">
        <v>0.17</v>
      </c>
      <c r="E114">
        <v>0</v>
      </c>
      <c r="F114">
        <v>0</v>
      </c>
      <c r="G114">
        <v>0.73</v>
      </c>
      <c r="H114">
        <v>0.08</v>
      </c>
      <c r="I114">
        <v>0</v>
      </c>
      <c r="J114">
        <v>0.02</v>
      </c>
      <c r="K114">
        <v>0</v>
      </c>
      <c r="L114">
        <v>0</v>
      </c>
      <c r="M114">
        <v>0</v>
      </c>
      <c r="N114">
        <v>0</v>
      </c>
    </row>
    <row r="115" spans="1:14">
      <c r="A115">
        <v>114</v>
      </c>
      <c r="B115" t="s">
        <v>39</v>
      </c>
      <c r="C115" t="s">
        <v>39</v>
      </c>
      <c r="D115">
        <v>0</v>
      </c>
      <c r="E115">
        <v>0.33</v>
      </c>
      <c r="F115">
        <v>0</v>
      </c>
      <c r="G115">
        <v>0</v>
      </c>
      <c r="H115">
        <v>0.59</v>
      </c>
      <c r="I115">
        <v>0</v>
      </c>
      <c r="J115">
        <v>0.08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20</v>
      </c>
      <c r="C116" t="s">
        <v>20</v>
      </c>
      <c r="D116">
        <v>0</v>
      </c>
      <c r="E116">
        <v>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45</v>
      </c>
      <c r="C117" t="s">
        <v>45</v>
      </c>
      <c r="D117">
        <v>0.03</v>
      </c>
      <c r="E117">
        <v>0</v>
      </c>
      <c r="F117">
        <v>0</v>
      </c>
      <c r="G117">
        <v>0</v>
      </c>
      <c r="H117">
        <v>0.04</v>
      </c>
      <c r="I117">
        <v>0</v>
      </c>
      <c r="J117">
        <v>0.86</v>
      </c>
      <c r="K117">
        <v>0</v>
      </c>
      <c r="L117">
        <v>0</v>
      </c>
      <c r="M117">
        <v>7.0000000000000007E-2</v>
      </c>
      <c r="N117">
        <v>0</v>
      </c>
    </row>
    <row r="118" spans="1:14">
      <c r="A118">
        <v>117</v>
      </c>
      <c r="B118" t="s">
        <v>20</v>
      </c>
      <c r="C118" t="s">
        <v>20</v>
      </c>
      <c r="D118">
        <v>0</v>
      </c>
      <c r="E118">
        <v>0.99</v>
      </c>
      <c r="F118">
        <v>0</v>
      </c>
      <c r="G118">
        <v>0</v>
      </c>
      <c r="H118">
        <v>0.01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>
      <c r="A119">
        <v>118</v>
      </c>
      <c r="B119" t="s">
        <v>20</v>
      </c>
      <c r="C119" t="s">
        <v>20</v>
      </c>
      <c r="D119">
        <v>0</v>
      </c>
      <c r="E119">
        <v>1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>
      <c r="A120">
        <v>119</v>
      </c>
      <c r="B120" t="s">
        <v>20</v>
      </c>
      <c r="C120" t="s">
        <v>20</v>
      </c>
      <c r="D120">
        <v>0</v>
      </c>
      <c r="E120">
        <v>0.78</v>
      </c>
      <c r="F120">
        <v>0</v>
      </c>
      <c r="G120">
        <v>0</v>
      </c>
      <c r="H120">
        <v>0.22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</row>
    <row r="121" spans="1:14">
      <c r="A121">
        <v>120</v>
      </c>
      <c r="B121" t="s">
        <v>98</v>
      </c>
      <c r="C121" t="s">
        <v>98</v>
      </c>
      <c r="D121">
        <v>0</v>
      </c>
      <c r="E121">
        <v>0</v>
      </c>
      <c r="F121">
        <v>0.77</v>
      </c>
      <c r="G121">
        <v>0.17</v>
      </c>
      <c r="H121">
        <v>0.05</v>
      </c>
      <c r="I121">
        <v>0</v>
      </c>
      <c r="J121">
        <v>0.01</v>
      </c>
      <c r="K121">
        <v>0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98</v>
      </c>
      <c r="C122" t="s">
        <v>98</v>
      </c>
      <c r="D122">
        <v>0</v>
      </c>
      <c r="E122">
        <v>0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20</v>
      </c>
      <c r="C123" t="s">
        <v>20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34</v>
      </c>
      <c r="C124" t="s">
        <v>34</v>
      </c>
      <c r="D124">
        <v>0</v>
      </c>
      <c r="E124">
        <v>0</v>
      </c>
      <c r="F124">
        <v>0</v>
      </c>
      <c r="G124">
        <v>0</v>
      </c>
      <c r="H124">
        <v>0.04</v>
      </c>
      <c r="I124">
        <v>0</v>
      </c>
      <c r="J124">
        <v>0</v>
      </c>
      <c r="K124">
        <v>0</v>
      </c>
      <c r="L124">
        <v>0.96</v>
      </c>
      <c r="M124">
        <v>0</v>
      </c>
      <c r="N124">
        <v>0</v>
      </c>
    </row>
    <row r="125" spans="1:14">
      <c r="A125">
        <v>124</v>
      </c>
      <c r="B125" t="s">
        <v>39</v>
      </c>
      <c r="C125" t="s">
        <v>39</v>
      </c>
      <c r="D125">
        <v>0.03</v>
      </c>
      <c r="E125">
        <v>0</v>
      </c>
      <c r="F125">
        <v>0</v>
      </c>
      <c r="G125">
        <v>0</v>
      </c>
      <c r="H125">
        <v>0.79</v>
      </c>
      <c r="I125">
        <v>0</v>
      </c>
      <c r="J125">
        <v>7.0000000000000007E-2</v>
      </c>
      <c r="K125">
        <v>0</v>
      </c>
      <c r="L125">
        <v>0</v>
      </c>
      <c r="M125">
        <v>0.11</v>
      </c>
      <c r="N125">
        <v>0</v>
      </c>
    </row>
    <row r="126" spans="1:14">
      <c r="A126">
        <v>125</v>
      </c>
      <c r="B126" t="s">
        <v>20</v>
      </c>
      <c r="C126" t="s">
        <v>20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20</v>
      </c>
      <c r="C127" t="s">
        <v>20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39</v>
      </c>
      <c r="C128" t="s">
        <v>39</v>
      </c>
      <c r="D128">
        <v>0</v>
      </c>
      <c r="E128">
        <v>0.01</v>
      </c>
      <c r="F128">
        <v>0</v>
      </c>
      <c r="G128">
        <v>0</v>
      </c>
      <c r="H128">
        <v>0.77</v>
      </c>
      <c r="I128">
        <v>0</v>
      </c>
      <c r="J128">
        <v>0.22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72</v>
      </c>
      <c r="C129" t="s">
        <v>72</v>
      </c>
      <c r="D129">
        <v>0.01</v>
      </c>
      <c r="E129">
        <v>0</v>
      </c>
      <c r="F129">
        <v>0</v>
      </c>
      <c r="G129">
        <v>0.98</v>
      </c>
      <c r="H129">
        <v>0</v>
      </c>
      <c r="I129">
        <v>0</v>
      </c>
      <c r="J129">
        <v>0.01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20</v>
      </c>
      <c r="C130" t="s">
        <v>20</v>
      </c>
      <c r="D130">
        <v>0</v>
      </c>
      <c r="E130">
        <v>0.95</v>
      </c>
      <c r="F130">
        <v>0</v>
      </c>
      <c r="G130">
        <v>0</v>
      </c>
      <c r="H130">
        <v>0.04</v>
      </c>
      <c r="I130">
        <v>0</v>
      </c>
      <c r="J130">
        <v>0.01</v>
      </c>
      <c r="K130">
        <v>0</v>
      </c>
      <c r="L130">
        <v>0</v>
      </c>
      <c r="M130">
        <v>0</v>
      </c>
      <c r="N130">
        <v>0</v>
      </c>
    </row>
    <row r="131" spans="1:14">
      <c r="A131">
        <v>130</v>
      </c>
      <c r="B131" t="s">
        <v>34</v>
      </c>
      <c r="C131" t="s">
        <v>34</v>
      </c>
      <c r="D131">
        <v>0</v>
      </c>
      <c r="E131">
        <v>0</v>
      </c>
      <c r="F131">
        <v>0</v>
      </c>
      <c r="G131">
        <v>0</v>
      </c>
      <c r="H131">
        <v>0.02</v>
      </c>
      <c r="I131">
        <v>0</v>
      </c>
      <c r="J131">
        <v>0.02</v>
      </c>
      <c r="K131">
        <v>0</v>
      </c>
      <c r="L131">
        <v>0.96</v>
      </c>
      <c r="M131">
        <v>0</v>
      </c>
      <c r="N131">
        <v>0</v>
      </c>
    </row>
    <row r="132" spans="1:14">
      <c r="A132">
        <v>131</v>
      </c>
      <c r="B132" t="s">
        <v>20</v>
      </c>
      <c r="C132" t="s">
        <v>20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</row>
    <row r="133" spans="1:14">
      <c r="A133">
        <v>132</v>
      </c>
      <c r="B133" t="s">
        <v>39</v>
      </c>
      <c r="C133" t="s">
        <v>39</v>
      </c>
      <c r="D133">
        <v>0.01</v>
      </c>
      <c r="E133">
        <v>0</v>
      </c>
      <c r="F133">
        <v>0</v>
      </c>
      <c r="G133">
        <v>0</v>
      </c>
      <c r="H133">
        <v>0.77</v>
      </c>
      <c r="I133">
        <v>0</v>
      </c>
      <c r="J133">
        <v>0.04</v>
      </c>
      <c r="K133">
        <v>0</v>
      </c>
      <c r="L133">
        <v>0</v>
      </c>
      <c r="M133">
        <v>0.18</v>
      </c>
      <c r="N133">
        <v>0</v>
      </c>
    </row>
    <row r="134" spans="1:14">
      <c r="A134">
        <v>133</v>
      </c>
      <c r="B134" t="s">
        <v>61</v>
      </c>
      <c r="C134" t="s">
        <v>61</v>
      </c>
      <c r="D134">
        <v>0.12</v>
      </c>
      <c r="E134">
        <v>0</v>
      </c>
      <c r="F134">
        <v>0</v>
      </c>
      <c r="G134">
        <v>0</v>
      </c>
      <c r="H134">
        <v>0.27</v>
      </c>
      <c r="I134">
        <v>0</v>
      </c>
      <c r="J134">
        <v>0.01</v>
      </c>
      <c r="K134">
        <v>0</v>
      </c>
      <c r="L134">
        <v>0</v>
      </c>
      <c r="M134">
        <v>0.6</v>
      </c>
      <c r="N134">
        <v>0</v>
      </c>
    </row>
    <row r="135" spans="1:14">
      <c r="A135">
        <v>134</v>
      </c>
      <c r="B135" t="s">
        <v>178</v>
      </c>
      <c r="C135" t="s">
        <v>178</v>
      </c>
      <c r="D135">
        <v>0.03</v>
      </c>
      <c r="E135">
        <v>0.19</v>
      </c>
      <c r="F135">
        <v>0</v>
      </c>
      <c r="G135">
        <v>0</v>
      </c>
      <c r="H135">
        <v>0.04</v>
      </c>
      <c r="I135">
        <v>0.67</v>
      </c>
      <c r="J135">
        <v>0.01</v>
      </c>
      <c r="K135">
        <v>0.04</v>
      </c>
      <c r="L135">
        <v>0</v>
      </c>
      <c r="M135">
        <v>0.01</v>
      </c>
      <c r="N135">
        <v>0.01</v>
      </c>
    </row>
    <row r="136" spans="1:14">
      <c r="A136">
        <v>135</v>
      </c>
      <c r="B136" t="s">
        <v>20</v>
      </c>
      <c r="C136" t="s">
        <v>20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39</v>
      </c>
      <c r="C137" t="s">
        <v>39</v>
      </c>
      <c r="D137">
        <v>0.01</v>
      </c>
      <c r="E137">
        <v>0.04</v>
      </c>
      <c r="F137">
        <v>0</v>
      </c>
      <c r="G137">
        <v>0</v>
      </c>
      <c r="H137">
        <v>0.92</v>
      </c>
      <c r="I137">
        <v>0.01</v>
      </c>
      <c r="J137">
        <v>0</v>
      </c>
      <c r="K137">
        <v>0</v>
      </c>
      <c r="L137">
        <v>0</v>
      </c>
      <c r="M137">
        <v>0.02</v>
      </c>
      <c r="N137">
        <v>0</v>
      </c>
    </row>
    <row r="138" spans="1:14">
      <c r="A138">
        <v>137</v>
      </c>
      <c r="B138" t="s">
        <v>98</v>
      </c>
      <c r="C138" t="s">
        <v>98</v>
      </c>
      <c r="D138">
        <v>7.0000000000000007E-2</v>
      </c>
      <c r="E138">
        <v>0</v>
      </c>
      <c r="F138">
        <v>0.78</v>
      </c>
      <c r="G138">
        <v>0</v>
      </c>
      <c r="H138">
        <v>0.05</v>
      </c>
      <c r="I138">
        <v>7.0000000000000007E-2</v>
      </c>
      <c r="J138">
        <v>0.01</v>
      </c>
      <c r="K138">
        <v>0</v>
      </c>
      <c r="L138">
        <v>0</v>
      </c>
      <c r="M138">
        <v>0.02</v>
      </c>
      <c r="N138">
        <v>0</v>
      </c>
    </row>
    <row r="139" spans="1:14">
      <c r="A139">
        <v>138</v>
      </c>
      <c r="B139" t="s">
        <v>72</v>
      </c>
      <c r="C139" t="s">
        <v>72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20</v>
      </c>
      <c r="C140" t="s">
        <v>20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20</v>
      </c>
      <c r="C141" t="s">
        <v>20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>
      <c r="A142">
        <v>141</v>
      </c>
      <c r="B142" t="s">
        <v>45</v>
      </c>
      <c r="C142" t="s">
        <v>45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1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20</v>
      </c>
      <c r="C143" t="s">
        <v>20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72</v>
      </c>
      <c r="C144" t="s">
        <v>72</v>
      </c>
      <c r="D144">
        <v>0</v>
      </c>
      <c r="E144">
        <v>0</v>
      </c>
      <c r="F144">
        <v>0</v>
      </c>
      <c r="G144">
        <v>0.84</v>
      </c>
      <c r="H144">
        <v>0</v>
      </c>
      <c r="I144">
        <v>0</v>
      </c>
      <c r="J144">
        <v>0.09</v>
      </c>
      <c r="K144">
        <v>0</v>
      </c>
      <c r="L144">
        <v>0</v>
      </c>
      <c r="M144">
        <v>7.0000000000000007E-2</v>
      </c>
      <c r="N144">
        <v>0</v>
      </c>
    </row>
    <row r="145" spans="1:14">
      <c r="A145">
        <v>144</v>
      </c>
      <c r="B145" t="s">
        <v>39</v>
      </c>
      <c r="C145" t="s">
        <v>39</v>
      </c>
      <c r="D145">
        <v>0</v>
      </c>
      <c r="E145">
        <v>0</v>
      </c>
      <c r="F145">
        <v>0</v>
      </c>
      <c r="G145">
        <v>0</v>
      </c>
      <c r="H145">
        <v>0.94</v>
      </c>
      <c r="I145">
        <v>0</v>
      </c>
      <c r="J145">
        <v>0.06</v>
      </c>
      <c r="K145">
        <v>0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20</v>
      </c>
      <c r="C146" t="s">
        <v>20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98</v>
      </c>
      <c r="C147" t="s">
        <v>98</v>
      </c>
      <c r="D147">
        <v>0.06</v>
      </c>
      <c r="E147">
        <v>0.11</v>
      </c>
      <c r="F147">
        <v>0.76</v>
      </c>
      <c r="G147">
        <v>0</v>
      </c>
      <c r="H147">
        <v>0.03</v>
      </c>
      <c r="I147">
        <v>0</v>
      </c>
      <c r="J147">
        <v>0</v>
      </c>
      <c r="K147">
        <v>0</v>
      </c>
      <c r="L147">
        <v>0</v>
      </c>
      <c r="M147">
        <v>0.04</v>
      </c>
      <c r="N147">
        <v>0</v>
      </c>
    </row>
    <row r="148" spans="1:14">
      <c r="A148">
        <v>147</v>
      </c>
      <c r="B148" t="s">
        <v>77</v>
      </c>
      <c r="C148" t="s">
        <v>77</v>
      </c>
      <c r="D148">
        <v>0.85</v>
      </c>
      <c r="E148">
        <v>0</v>
      </c>
      <c r="F148">
        <v>0</v>
      </c>
      <c r="G148">
        <v>0</v>
      </c>
      <c r="H148">
        <v>0.03</v>
      </c>
      <c r="I148">
        <v>0</v>
      </c>
      <c r="J148">
        <v>0.11</v>
      </c>
      <c r="K148">
        <v>0</v>
      </c>
      <c r="L148">
        <v>0</v>
      </c>
      <c r="M148">
        <v>0.01</v>
      </c>
      <c r="N148">
        <v>0</v>
      </c>
    </row>
    <row r="149" spans="1:14">
      <c r="A149">
        <v>148</v>
      </c>
      <c r="B149" t="s">
        <v>20</v>
      </c>
      <c r="C149" t="s">
        <v>20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20</v>
      </c>
      <c r="C150" t="s">
        <v>20</v>
      </c>
      <c r="D150">
        <v>0</v>
      </c>
      <c r="E150">
        <v>0.9</v>
      </c>
      <c r="F150">
        <v>0</v>
      </c>
      <c r="G150">
        <v>0</v>
      </c>
      <c r="H150">
        <v>0.02</v>
      </c>
      <c r="I150">
        <v>0</v>
      </c>
      <c r="J150">
        <v>0.08</v>
      </c>
      <c r="K150">
        <v>0</v>
      </c>
      <c r="L150">
        <v>0</v>
      </c>
      <c r="M150">
        <v>0</v>
      </c>
      <c r="N150">
        <v>0</v>
      </c>
    </row>
    <row r="151" spans="1:14">
      <c r="A151">
        <v>150</v>
      </c>
      <c r="B151" t="s">
        <v>20</v>
      </c>
      <c r="C151" t="s">
        <v>20</v>
      </c>
      <c r="D151">
        <v>0.01</v>
      </c>
      <c r="E151">
        <v>0.99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20</v>
      </c>
      <c r="C152" t="s">
        <v>20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>
      <c r="A153">
        <v>152</v>
      </c>
      <c r="B153" t="s">
        <v>178</v>
      </c>
      <c r="C153" t="s">
        <v>178</v>
      </c>
      <c r="D153">
        <v>0</v>
      </c>
      <c r="E153">
        <v>0.02</v>
      </c>
      <c r="F153">
        <v>0</v>
      </c>
      <c r="G153">
        <v>0</v>
      </c>
      <c r="H153">
        <v>0.14000000000000001</v>
      </c>
      <c r="I153">
        <v>0.65</v>
      </c>
      <c r="J153">
        <v>0</v>
      </c>
      <c r="K153">
        <v>0</v>
      </c>
      <c r="L153">
        <v>0</v>
      </c>
      <c r="M153">
        <v>0.19</v>
      </c>
      <c r="N153">
        <v>0</v>
      </c>
    </row>
    <row r="154" spans="1:14">
      <c r="A154">
        <v>153</v>
      </c>
      <c r="B154" t="s">
        <v>20</v>
      </c>
      <c r="C154" t="s">
        <v>20</v>
      </c>
      <c r="D154">
        <v>0</v>
      </c>
      <c r="E154">
        <v>0.96</v>
      </c>
      <c r="F154">
        <v>0</v>
      </c>
      <c r="G154">
        <v>0</v>
      </c>
      <c r="H154">
        <v>0.04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20</v>
      </c>
      <c r="C155" t="s">
        <v>20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20</v>
      </c>
      <c r="C156" t="s">
        <v>20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61</v>
      </c>
      <c r="C157" t="s">
        <v>61</v>
      </c>
      <c r="D157">
        <v>0.06</v>
      </c>
      <c r="E157">
        <v>0.28999999999999998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0.65</v>
      </c>
      <c r="N157">
        <v>0</v>
      </c>
    </row>
    <row r="158" spans="1:14">
      <c r="A158">
        <v>157</v>
      </c>
      <c r="B158" t="s">
        <v>45</v>
      </c>
      <c r="C158" t="s">
        <v>45</v>
      </c>
      <c r="D158">
        <v>0</v>
      </c>
      <c r="E158">
        <v>0</v>
      </c>
      <c r="F158">
        <v>0</v>
      </c>
      <c r="G158">
        <v>0</v>
      </c>
      <c r="H158">
        <v>0.01</v>
      </c>
      <c r="I158">
        <v>0</v>
      </c>
      <c r="J158">
        <v>0.97</v>
      </c>
      <c r="K158">
        <v>0.01</v>
      </c>
      <c r="L158">
        <v>0.01</v>
      </c>
      <c r="M158">
        <v>0</v>
      </c>
      <c r="N158">
        <v>0</v>
      </c>
    </row>
    <row r="159" spans="1:14">
      <c r="A159">
        <v>158</v>
      </c>
      <c r="B159" t="s">
        <v>45</v>
      </c>
      <c r="C159" t="s">
        <v>45</v>
      </c>
      <c r="D159">
        <v>0.06</v>
      </c>
      <c r="E159">
        <v>0</v>
      </c>
      <c r="F159">
        <v>0</v>
      </c>
      <c r="G159">
        <v>0</v>
      </c>
      <c r="H159">
        <v>0.17</v>
      </c>
      <c r="I159">
        <v>0</v>
      </c>
      <c r="J159">
        <v>0.6</v>
      </c>
      <c r="K159">
        <v>0</v>
      </c>
      <c r="L159">
        <v>0</v>
      </c>
      <c r="M159">
        <v>0.17</v>
      </c>
      <c r="N159">
        <v>0</v>
      </c>
    </row>
    <row r="160" spans="1:14">
      <c r="A160">
        <v>159</v>
      </c>
      <c r="B160" t="s">
        <v>20</v>
      </c>
      <c r="C160" t="s">
        <v>20</v>
      </c>
      <c r="D160">
        <v>0.01</v>
      </c>
      <c r="E160">
        <v>0.99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>
      <c r="A161">
        <v>160</v>
      </c>
      <c r="B161" t="s">
        <v>45</v>
      </c>
      <c r="C161" t="s">
        <v>45</v>
      </c>
      <c r="D161">
        <v>0</v>
      </c>
      <c r="E161">
        <v>0.13</v>
      </c>
      <c r="F161">
        <v>0</v>
      </c>
      <c r="G161">
        <v>0</v>
      </c>
      <c r="H161">
        <v>0.1</v>
      </c>
      <c r="I161">
        <v>0</v>
      </c>
      <c r="J161">
        <v>0.77</v>
      </c>
      <c r="K161">
        <v>0</v>
      </c>
      <c r="L161">
        <v>0</v>
      </c>
      <c r="M161">
        <v>0</v>
      </c>
      <c r="N161">
        <v>0</v>
      </c>
    </row>
    <row r="162" spans="1:14">
      <c r="A162">
        <v>161</v>
      </c>
      <c r="B162" t="s">
        <v>20</v>
      </c>
      <c r="C162" t="s">
        <v>20</v>
      </c>
      <c r="D162">
        <v>0</v>
      </c>
      <c r="E162">
        <v>1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</row>
    <row r="163" spans="1:14">
      <c r="A163">
        <v>162</v>
      </c>
      <c r="B163" t="s">
        <v>72</v>
      </c>
      <c r="C163" t="s">
        <v>72</v>
      </c>
      <c r="D163">
        <v>0</v>
      </c>
      <c r="E163">
        <v>0</v>
      </c>
      <c r="F163">
        <v>0</v>
      </c>
      <c r="G163">
        <v>0.86</v>
      </c>
      <c r="H163">
        <v>0.03</v>
      </c>
      <c r="I163">
        <v>0</v>
      </c>
      <c r="J163">
        <v>0.03</v>
      </c>
      <c r="K163">
        <v>0</v>
      </c>
      <c r="L163">
        <v>0.08</v>
      </c>
      <c r="M163">
        <v>0</v>
      </c>
      <c r="N163">
        <v>0</v>
      </c>
    </row>
    <row r="164" spans="1:14">
      <c r="A164">
        <v>163</v>
      </c>
      <c r="B164" t="s">
        <v>20</v>
      </c>
      <c r="C164" t="s">
        <v>20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20</v>
      </c>
      <c r="C165" t="s">
        <v>20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20</v>
      </c>
      <c r="C166" t="s">
        <v>20</v>
      </c>
      <c r="D166">
        <v>0</v>
      </c>
      <c r="E166">
        <v>0.94</v>
      </c>
      <c r="F166">
        <v>0</v>
      </c>
      <c r="G166">
        <v>0</v>
      </c>
      <c r="H166">
        <v>0.06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39</v>
      </c>
      <c r="C167" t="s">
        <v>39</v>
      </c>
      <c r="D167">
        <v>0</v>
      </c>
      <c r="E167">
        <v>0</v>
      </c>
      <c r="F167">
        <v>0</v>
      </c>
      <c r="G167">
        <v>0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34</v>
      </c>
      <c r="C168" t="s">
        <v>34</v>
      </c>
      <c r="D168">
        <v>0.01</v>
      </c>
      <c r="E168">
        <v>0</v>
      </c>
      <c r="F168">
        <v>0</v>
      </c>
      <c r="G168">
        <v>0.1</v>
      </c>
      <c r="H168">
        <v>0.09</v>
      </c>
      <c r="I168">
        <v>0</v>
      </c>
      <c r="J168">
        <v>0</v>
      </c>
      <c r="K168">
        <v>0</v>
      </c>
      <c r="L168">
        <v>0.8</v>
      </c>
      <c r="M168">
        <v>0</v>
      </c>
      <c r="N168">
        <v>0</v>
      </c>
    </row>
    <row r="169" spans="1:14">
      <c r="A169">
        <v>168</v>
      </c>
      <c r="B169" t="s">
        <v>61</v>
      </c>
      <c r="C169" t="s">
        <v>61</v>
      </c>
      <c r="D169">
        <v>0.05</v>
      </c>
      <c r="E169">
        <v>0.01</v>
      </c>
      <c r="F169">
        <v>0</v>
      </c>
      <c r="G169">
        <v>0</v>
      </c>
      <c r="H169">
        <v>0.1</v>
      </c>
      <c r="I169">
        <v>0</v>
      </c>
      <c r="J169">
        <v>0.11</v>
      </c>
      <c r="K169">
        <v>0</v>
      </c>
      <c r="L169">
        <v>0</v>
      </c>
      <c r="M169">
        <v>0.73</v>
      </c>
      <c r="N169">
        <v>0</v>
      </c>
    </row>
    <row r="170" spans="1:14">
      <c r="A170">
        <v>169</v>
      </c>
      <c r="B170" t="s">
        <v>178</v>
      </c>
      <c r="C170" t="s">
        <v>178</v>
      </c>
      <c r="D170">
        <v>0.04</v>
      </c>
      <c r="E170">
        <v>0</v>
      </c>
      <c r="F170">
        <v>0</v>
      </c>
      <c r="G170">
        <v>0</v>
      </c>
      <c r="H170">
        <v>0</v>
      </c>
      <c r="I170">
        <v>0.96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>
      <c r="A171">
        <v>170</v>
      </c>
      <c r="B171" t="s">
        <v>20</v>
      </c>
      <c r="C171" t="s">
        <v>20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72</v>
      </c>
      <c r="C172" t="s">
        <v>72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45</v>
      </c>
      <c r="C173" t="s">
        <v>45</v>
      </c>
      <c r="D173">
        <v>7.0000000000000007E-2</v>
      </c>
      <c r="E173">
        <v>0.01</v>
      </c>
      <c r="F173">
        <v>0</v>
      </c>
      <c r="G173">
        <v>0</v>
      </c>
      <c r="H173">
        <v>0.1</v>
      </c>
      <c r="I173">
        <v>0</v>
      </c>
      <c r="J173">
        <v>0.81</v>
      </c>
      <c r="K173">
        <v>0.01</v>
      </c>
      <c r="L173">
        <v>0</v>
      </c>
      <c r="M173">
        <v>0</v>
      </c>
      <c r="N173">
        <v>0</v>
      </c>
    </row>
    <row r="174" spans="1:14">
      <c r="A174">
        <v>173</v>
      </c>
      <c r="B174" t="s">
        <v>20</v>
      </c>
      <c r="C174" t="s">
        <v>20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>
      <c r="A175">
        <v>174</v>
      </c>
      <c r="B175" t="s">
        <v>39</v>
      </c>
      <c r="C175" t="s">
        <v>39</v>
      </c>
      <c r="D175">
        <v>0.02</v>
      </c>
      <c r="E175">
        <v>0.09</v>
      </c>
      <c r="F175">
        <v>0</v>
      </c>
      <c r="G175">
        <v>0.04</v>
      </c>
      <c r="H175">
        <v>0.73</v>
      </c>
      <c r="I175">
        <v>0</v>
      </c>
      <c r="J175">
        <v>0.12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61</v>
      </c>
      <c r="C176" t="s">
        <v>61</v>
      </c>
      <c r="D176">
        <v>0.03</v>
      </c>
      <c r="E176">
        <v>0</v>
      </c>
      <c r="F176">
        <v>0</v>
      </c>
      <c r="G176">
        <v>0</v>
      </c>
      <c r="H176">
        <v>0.02</v>
      </c>
      <c r="I176">
        <v>0</v>
      </c>
      <c r="J176">
        <v>0.01</v>
      </c>
      <c r="K176">
        <v>0</v>
      </c>
      <c r="L176">
        <v>0</v>
      </c>
      <c r="M176">
        <v>0.94</v>
      </c>
      <c r="N176">
        <v>0</v>
      </c>
    </row>
    <row r="177" spans="1:14">
      <c r="A177">
        <v>176</v>
      </c>
      <c r="B177" t="s">
        <v>77</v>
      </c>
      <c r="C177" t="s">
        <v>77</v>
      </c>
      <c r="D177">
        <v>0.56999999999999995</v>
      </c>
      <c r="E177">
        <v>0.09</v>
      </c>
      <c r="F177">
        <v>0</v>
      </c>
      <c r="G177">
        <v>0</v>
      </c>
      <c r="H177">
        <v>0.09</v>
      </c>
      <c r="I177">
        <v>0</v>
      </c>
      <c r="J177">
        <v>0.1</v>
      </c>
      <c r="K177">
        <v>0</v>
      </c>
      <c r="L177">
        <v>0</v>
      </c>
      <c r="M177">
        <v>0.15</v>
      </c>
      <c r="N177">
        <v>0</v>
      </c>
    </row>
    <row r="178" spans="1:14">
      <c r="A178">
        <v>177</v>
      </c>
      <c r="B178" t="s">
        <v>72</v>
      </c>
      <c r="C178" t="s">
        <v>72</v>
      </c>
      <c r="D178">
        <v>0.01</v>
      </c>
      <c r="E178">
        <v>0</v>
      </c>
      <c r="F178">
        <v>0</v>
      </c>
      <c r="G178">
        <v>0.98</v>
      </c>
      <c r="H178">
        <v>0</v>
      </c>
      <c r="I178">
        <v>0</v>
      </c>
      <c r="J178">
        <v>0.01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20</v>
      </c>
      <c r="C179" t="s">
        <v>20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20</v>
      </c>
      <c r="C180" t="s">
        <v>20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72</v>
      </c>
      <c r="C181" t="s">
        <v>72</v>
      </c>
      <c r="D181">
        <v>0</v>
      </c>
      <c r="E181">
        <v>0</v>
      </c>
      <c r="F181">
        <v>0</v>
      </c>
      <c r="G181">
        <v>0.96</v>
      </c>
      <c r="H181">
        <v>0</v>
      </c>
      <c r="I181">
        <v>0</v>
      </c>
      <c r="J181">
        <v>0</v>
      </c>
      <c r="K181">
        <v>0</v>
      </c>
      <c r="L181">
        <v>0.04</v>
      </c>
      <c r="M181">
        <v>0</v>
      </c>
      <c r="N181">
        <v>0</v>
      </c>
    </row>
    <row r="182" spans="1:14">
      <c r="A182">
        <v>181</v>
      </c>
      <c r="B182" t="s">
        <v>20</v>
      </c>
      <c r="C182" t="s">
        <v>20</v>
      </c>
      <c r="D182">
        <v>0.02</v>
      </c>
      <c r="E182">
        <v>0.96</v>
      </c>
      <c r="F182">
        <v>0</v>
      </c>
      <c r="G182">
        <v>0</v>
      </c>
      <c r="H182">
        <v>0.02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72</v>
      </c>
      <c r="C183" t="s">
        <v>72</v>
      </c>
      <c r="D183">
        <v>0</v>
      </c>
      <c r="E183">
        <v>0</v>
      </c>
      <c r="F183">
        <v>0</v>
      </c>
      <c r="G183">
        <v>0.89</v>
      </c>
      <c r="H183">
        <v>0</v>
      </c>
      <c r="I183">
        <v>0</v>
      </c>
      <c r="J183">
        <v>0.11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20</v>
      </c>
      <c r="C184" t="s">
        <v>20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39</v>
      </c>
      <c r="C185" t="s">
        <v>39</v>
      </c>
      <c r="D185">
        <v>0.03</v>
      </c>
      <c r="E185">
        <v>0.33</v>
      </c>
      <c r="F185">
        <v>0</v>
      </c>
      <c r="G185">
        <v>0</v>
      </c>
      <c r="H185">
        <v>0.64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39</v>
      </c>
      <c r="C186" t="s">
        <v>39</v>
      </c>
      <c r="D186">
        <v>0</v>
      </c>
      <c r="E186">
        <v>0.04</v>
      </c>
      <c r="F186">
        <v>0</v>
      </c>
      <c r="G186">
        <v>0</v>
      </c>
      <c r="H186">
        <v>0.64</v>
      </c>
      <c r="I186">
        <v>0.02</v>
      </c>
      <c r="J186">
        <v>0.17</v>
      </c>
      <c r="K186">
        <v>0</v>
      </c>
      <c r="L186">
        <v>0</v>
      </c>
      <c r="M186">
        <v>0.13</v>
      </c>
      <c r="N186">
        <v>0</v>
      </c>
    </row>
    <row r="187" spans="1:14">
      <c r="A187">
        <v>186</v>
      </c>
      <c r="B187" t="s">
        <v>45</v>
      </c>
      <c r="C187" t="s">
        <v>45</v>
      </c>
      <c r="D187">
        <v>0.04</v>
      </c>
      <c r="E187">
        <v>0.03</v>
      </c>
      <c r="F187">
        <v>0</v>
      </c>
      <c r="G187">
        <v>0.23</v>
      </c>
      <c r="H187">
        <v>0</v>
      </c>
      <c r="I187">
        <v>0</v>
      </c>
      <c r="J187">
        <v>0.7</v>
      </c>
      <c r="K187">
        <v>0</v>
      </c>
      <c r="L187">
        <v>0</v>
      </c>
      <c r="M187">
        <v>0</v>
      </c>
      <c r="N187">
        <v>0</v>
      </c>
    </row>
    <row r="188" spans="1:14">
      <c r="A188">
        <v>187</v>
      </c>
      <c r="B188" t="s">
        <v>20</v>
      </c>
      <c r="C188" t="s">
        <v>20</v>
      </c>
      <c r="D188">
        <v>0</v>
      </c>
      <c r="E188">
        <v>0.95</v>
      </c>
      <c r="F188">
        <v>0</v>
      </c>
      <c r="G188">
        <v>0</v>
      </c>
      <c r="H188">
        <v>0.01</v>
      </c>
      <c r="I188">
        <v>0</v>
      </c>
      <c r="J188">
        <v>0.04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39</v>
      </c>
      <c r="C189" t="s">
        <v>39</v>
      </c>
      <c r="D189">
        <v>7.0000000000000007E-2</v>
      </c>
      <c r="E189">
        <v>0.03</v>
      </c>
      <c r="F189">
        <v>0</v>
      </c>
      <c r="G189">
        <v>0</v>
      </c>
      <c r="H189">
        <v>0.77</v>
      </c>
      <c r="I189">
        <v>0</v>
      </c>
      <c r="J189">
        <v>0.1</v>
      </c>
      <c r="K189">
        <v>0</v>
      </c>
      <c r="L189">
        <v>0</v>
      </c>
      <c r="M189">
        <v>0.03</v>
      </c>
      <c r="N189">
        <v>0</v>
      </c>
    </row>
    <row r="190" spans="1:14">
      <c r="A190">
        <v>189</v>
      </c>
      <c r="B190" t="s">
        <v>20</v>
      </c>
      <c r="C190" t="s">
        <v>20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77</v>
      </c>
      <c r="C191" t="s">
        <v>77</v>
      </c>
      <c r="D191">
        <v>0.99</v>
      </c>
      <c r="E191">
        <v>0</v>
      </c>
      <c r="F191">
        <v>0</v>
      </c>
      <c r="G191">
        <v>0.01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77</v>
      </c>
      <c r="C192" t="s">
        <v>77</v>
      </c>
      <c r="D192">
        <v>0.99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0.01</v>
      </c>
      <c r="K192">
        <v>0</v>
      </c>
      <c r="L192">
        <v>0</v>
      </c>
      <c r="M192">
        <v>0</v>
      </c>
      <c r="N192">
        <v>0</v>
      </c>
    </row>
    <row r="193" spans="1:14">
      <c r="A193">
        <v>192</v>
      </c>
      <c r="B193" t="s">
        <v>39</v>
      </c>
      <c r="C193" t="s">
        <v>39</v>
      </c>
      <c r="D193">
        <v>0</v>
      </c>
      <c r="E193">
        <v>0.34</v>
      </c>
      <c r="F193">
        <v>0</v>
      </c>
      <c r="G193">
        <v>0</v>
      </c>
      <c r="H193">
        <v>0.63</v>
      </c>
      <c r="I193">
        <v>0</v>
      </c>
      <c r="J193">
        <v>0</v>
      </c>
      <c r="K193">
        <v>0.03</v>
      </c>
      <c r="L193">
        <v>0</v>
      </c>
      <c r="M193">
        <v>0</v>
      </c>
      <c r="N193">
        <v>0</v>
      </c>
    </row>
    <row r="194" spans="1:14">
      <c r="A194">
        <v>193</v>
      </c>
      <c r="B194" t="s">
        <v>20</v>
      </c>
      <c r="C194" t="s">
        <v>20</v>
      </c>
      <c r="D194">
        <v>0</v>
      </c>
      <c r="E194">
        <v>1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>
      <c r="A195">
        <v>194</v>
      </c>
      <c r="B195" t="s">
        <v>98</v>
      </c>
      <c r="C195" t="s">
        <v>98</v>
      </c>
      <c r="D195">
        <v>0</v>
      </c>
      <c r="E195">
        <v>0.01</v>
      </c>
      <c r="F195">
        <v>0.76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0.23</v>
      </c>
      <c r="M195">
        <v>0</v>
      </c>
      <c r="N195">
        <v>0</v>
      </c>
    </row>
    <row r="196" spans="1:14">
      <c r="A196">
        <v>195</v>
      </c>
      <c r="B196" t="s">
        <v>61</v>
      </c>
      <c r="C196" t="s">
        <v>61</v>
      </c>
      <c r="D196">
        <v>0.02</v>
      </c>
      <c r="E196">
        <v>0.09</v>
      </c>
      <c r="F196">
        <v>0</v>
      </c>
      <c r="G196">
        <v>0</v>
      </c>
      <c r="H196">
        <v>0.23</v>
      </c>
      <c r="I196">
        <v>0.03</v>
      </c>
      <c r="J196">
        <v>0</v>
      </c>
      <c r="K196">
        <v>0</v>
      </c>
      <c r="L196">
        <v>0</v>
      </c>
      <c r="M196">
        <v>0.63</v>
      </c>
      <c r="N196">
        <v>0</v>
      </c>
    </row>
    <row r="197" spans="1:14">
      <c r="A197">
        <v>196</v>
      </c>
      <c r="B197" t="s">
        <v>39</v>
      </c>
      <c r="C197" t="s">
        <v>39</v>
      </c>
      <c r="D197">
        <v>0</v>
      </c>
      <c r="E197">
        <v>0</v>
      </c>
      <c r="F197">
        <v>0</v>
      </c>
      <c r="G197">
        <v>0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45</v>
      </c>
      <c r="C198" t="s">
        <v>45</v>
      </c>
      <c r="D198">
        <v>0.02</v>
      </c>
      <c r="E198">
        <v>0.02</v>
      </c>
      <c r="F198">
        <v>0</v>
      </c>
      <c r="G198">
        <v>0</v>
      </c>
      <c r="H198">
        <v>0</v>
      </c>
      <c r="I198">
        <v>0</v>
      </c>
      <c r="J198">
        <v>0.95</v>
      </c>
      <c r="K198">
        <v>0</v>
      </c>
      <c r="L198">
        <v>0</v>
      </c>
      <c r="M198">
        <v>0.01</v>
      </c>
      <c r="N198">
        <v>0</v>
      </c>
    </row>
    <row r="199" spans="1:14">
      <c r="A199">
        <v>198</v>
      </c>
      <c r="B199" t="s">
        <v>45</v>
      </c>
      <c r="C199" t="s">
        <v>45</v>
      </c>
      <c r="D199">
        <v>0</v>
      </c>
      <c r="E199">
        <v>0.17</v>
      </c>
      <c r="F199">
        <v>0</v>
      </c>
      <c r="G199">
        <v>0</v>
      </c>
      <c r="H199">
        <v>0.17</v>
      </c>
      <c r="I199">
        <v>0</v>
      </c>
      <c r="J199">
        <v>0.61</v>
      </c>
      <c r="K199">
        <v>0</v>
      </c>
      <c r="L199">
        <v>0</v>
      </c>
      <c r="M199">
        <v>0.05</v>
      </c>
      <c r="N199">
        <v>0</v>
      </c>
    </row>
    <row r="200" spans="1:14">
      <c r="A200">
        <v>199</v>
      </c>
      <c r="B200" t="s">
        <v>72</v>
      </c>
      <c r="C200" t="s">
        <v>72</v>
      </c>
      <c r="D200">
        <v>0</v>
      </c>
      <c r="E200">
        <v>0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200</v>
      </c>
      <c r="B201" t="s">
        <v>39</v>
      </c>
      <c r="C201" t="s">
        <v>39</v>
      </c>
      <c r="D201">
        <v>0</v>
      </c>
      <c r="E201">
        <v>0</v>
      </c>
      <c r="F201">
        <v>0</v>
      </c>
      <c r="G201">
        <v>0</v>
      </c>
      <c r="H201">
        <v>0.98</v>
      </c>
      <c r="I201">
        <v>0</v>
      </c>
      <c r="J201">
        <v>0.02</v>
      </c>
      <c r="K201">
        <v>0</v>
      </c>
      <c r="L201">
        <v>0</v>
      </c>
      <c r="M201">
        <v>0</v>
      </c>
      <c r="N201">
        <v>0</v>
      </c>
    </row>
    <row r="202" spans="1:14">
      <c r="A202">
        <v>201</v>
      </c>
      <c r="B202" t="s">
        <v>39</v>
      </c>
      <c r="C202" t="s">
        <v>39</v>
      </c>
      <c r="D202">
        <v>0</v>
      </c>
      <c r="E202">
        <v>0</v>
      </c>
      <c r="F202">
        <v>0</v>
      </c>
      <c r="G202">
        <v>0</v>
      </c>
      <c r="H202">
        <v>0.96</v>
      </c>
      <c r="I202">
        <v>0</v>
      </c>
      <c r="J202">
        <v>0.04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77</v>
      </c>
      <c r="C203" t="s">
        <v>77</v>
      </c>
      <c r="D203">
        <v>0.84</v>
      </c>
      <c r="E203">
        <v>0</v>
      </c>
      <c r="F203">
        <v>0</v>
      </c>
      <c r="G203">
        <v>0</v>
      </c>
      <c r="H203">
        <v>0.01</v>
      </c>
      <c r="I203">
        <v>0</v>
      </c>
      <c r="J203">
        <v>0.06</v>
      </c>
      <c r="K203">
        <v>0.01</v>
      </c>
      <c r="L203">
        <v>0</v>
      </c>
      <c r="M203">
        <v>0.01</v>
      </c>
      <c r="N203">
        <v>7.0000000000000007E-2</v>
      </c>
    </row>
    <row r="204" spans="1:14">
      <c r="A204">
        <v>203</v>
      </c>
      <c r="B204" t="s">
        <v>20</v>
      </c>
      <c r="C204" t="s">
        <v>20</v>
      </c>
      <c r="D204">
        <v>0</v>
      </c>
      <c r="E204">
        <v>0.84</v>
      </c>
      <c r="F204">
        <v>0</v>
      </c>
      <c r="G204">
        <v>0</v>
      </c>
      <c r="H204">
        <v>0.14000000000000001</v>
      </c>
      <c r="I204">
        <v>0</v>
      </c>
      <c r="J204">
        <v>0.02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61</v>
      </c>
      <c r="C205" t="s">
        <v>61</v>
      </c>
      <c r="D205">
        <v>0.01</v>
      </c>
      <c r="E205">
        <v>0.03</v>
      </c>
      <c r="F205">
        <v>0</v>
      </c>
      <c r="G205">
        <v>0</v>
      </c>
      <c r="H205">
        <v>0.03</v>
      </c>
      <c r="I205">
        <v>0</v>
      </c>
      <c r="J205">
        <v>0.21</v>
      </c>
      <c r="K205">
        <v>0</v>
      </c>
      <c r="L205">
        <v>0</v>
      </c>
      <c r="M205">
        <v>0.72</v>
      </c>
      <c r="N205">
        <v>0</v>
      </c>
    </row>
    <row r="206" spans="1:14">
      <c r="A206">
        <v>205</v>
      </c>
      <c r="B206" t="s">
        <v>39</v>
      </c>
      <c r="C206" t="s">
        <v>39</v>
      </c>
      <c r="D206">
        <v>0</v>
      </c>
      <c r="E206">
        <v>0.04</v>
      </c>
      <c r="F206">
        <v>0</v>
      </c>
      <c r="G206">
        <v>0</v>
      </c>
      <c r="H206">
        <v>0.77</v>
      </c>
      <c r="I206">
        <v>0</v>
      </c>
      <c r="J206">
        <v>0.18</v>
      </c>
      <c r="K206">
        <v>0</v>
      </c>
      <c r="L206">
        <v>0</v>
      </c>
      <c r="M206">
        <v>0.01</v>
      </c>
      <c r="N206">
        <v>0</v>
      </c>
    </row>
    <row r="207" spans="1:14">
      <c r="A207">
        <v>206</v>
      </c>
      <c r="B207" t="s">
        <v>20</v>
      </c>
      <c r="C207" t="s">
        <v>20</v>
      </c>
      <c r="D207">
        <v>0</v>
      </c>
      <c r="E207">
        <v>0.99</v>
      </c>
      <c r="F207">
        <v>0</v>
      </c>
      <c r="G207">
        <v>0</v>
      </c>
      <c r="H207">
        <v>0.01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</row>
    <row r="208" spans="1:14">
      <c r="A208">
        <v>207</v>
      </c>
      <c r="B208" t="s">
        <v>20</v>
      </c>
      <c r="C208" t="s">
        <v>20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>
      <c r="A209">
        <v>208</v>
      </c>
      <c r="B209" t="s">
        <v>61</v>
      </c>
      <c r="C209" t="s">
        <v>61</v>
      </c>
      <c r="D209">
        <v>0.03</v>
      </c>
      <c r="E209">
        <v>0</v>
      </c>
      <c r="F209">
        <v>0</v>
      </c>
      <c r="G209">
        <v>0</v>
      </c>
      <c r="H209">
        <v>0.06</v>
      </c>
      <c r="I209">
        <v>0</v>
      </c>
      <c r="J209">
        <v>0.01</v>
      </c>
      <c r="K209">
        <v>0</v>
      </c>
      <c r="L209">
        <v>0</v>
      </c>
      <c r="M209">
        <v>0.9</v>
      </c>
      <c r="N209">
        <v>0</v>
      </c>
    </row>
    <row r="210" spans="1:14">
      <c r="A210">
        <v>209</v>
      </c>
      <c r="B210" t="s">
        <v>20</v>
      </c>
      <c r="C210" t="s">
        <v>20</v>
      </c>
      <c r="D210">
        <v>0.01</v>
      </c>
      <c r="E210">
        <v>0.99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20</v>
      </c>
      <c r="C211" t="s">
        <v>20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>
      <c r="A212">
        <v>211</v>
      </c>
      <c r="B212" t="s">
        <v>20</v>
      </c>
      <c r="C212" t="s">
        <v>20</v>
      </c>
      <c r="D212">
        <v>0</v>
      </c>
      <c r="E212">
        <v>1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>
      <c r="A213">
        <v>212</v>
      </c>
      <c r="B213" t="s">
        <v>20</v>
      </c>
      <c r="C213" t="s">
        <v>20</v>
      </c>
      <c r="D213">
        <v>0</v>
      </c>
      <c r="E213">
        <v>0.98</v>
      </c>
      <c r="F213">
        <v>0</v>
      </c>
      <c r="G213">
        <v>0</v>
      </c>
      <c r="H213">
        <v>0</v>
      </c>
      <c r="I213">
        <v>0.02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72</v>
      </c>
      <c r="C214" t="s">
        <v>72</v>
      </c>
      <c r="D214">
        <v>0</v>
      </c>
      <c r="E214">
        <v>0</v>
      </c>
      <c r="F214">
        <v>0</v>
      </c>
      <c r="G214">
        <v>0.87</v>
      </c>
      <c r="H214">
        <v>0</v>
      </c>
      <c r="I214">
        <v>0</v>
      </c>
      <c r="J214">
        <v>0.11</v>
      </c>
      <c r="K214">
        <v>0</v>
      </c>
      <c r="L214">
        <v>0</v>
      </c>
      <c r="M214">
        <v>0.02</v>
      </c>
      <c r="N214">
        <v>0</v>
      </c>
    </row>
    <row r="215" spans="1:14">
      <c r="A215">
        <v>214</v>
      </c>
      <c r="B215" t="s">
        <v>20</v>
      </c>
      <c r="C215" t="s">
        <v>20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20</v>
      </c>
      <c r="C216" t="s">
        <v>20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>
      <c r="A217">
        <v>216</v>
      </c>
      <c r="B217" t="s">
        <v>20</v>
      </c>
      <c r="C217" t="s">
        <v>20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39</v>
      </c>
      <c r="C218" t="s">
        <v>39</v>
      </c>
      <c r="D218">
        <v>0</v>
      </c>
      <c r="E218">
        <v>0.25</v>
      </c>
      <c r="F218">
        <v>0</v>
      </c>
      <c r="G218">
        <v>0</v>
      </c>
      <c r="H218">
        <v>0.66</v>
      </c>
      <c r="I218">
        <v>0</v>
      </c>
      <c r="J218">
        <v>0.09</v>
      </c>
      <c r="K218">
        <v>0</v>
      </c>
      <c r="L218">
        <v>0</v>
      </c>
      <c r="M218">
        <v>0</v>
      </c>
      <c r="N218">
        <v>0</v>
      </c>
    </row>
    <row r="219" spans="1:14">
      <c r="A219">
        <v>218</v>
      </c>
      <c r="B219" t="s">
        <v>39</v>
      </c>
      <c r="C219" t="s">
        <v>39</v>
      </c>
      <c r="D219">
        <v>0</v>
      </c>
      <c r="E219">
        <v>0</v>
      </c>
      <c r="F219">
        <v>0</v>
      </c>
      <c r="G219">
        <v>0</v>
      </c>
      <c r="H219">
        <v>0.87</v>
      </c>
      <c r="I219">
        <v>0</v>
      </c>
      <c r="J219">
        <v>0.06</v>
      </c>
      <c r="K219">
        <v>0</v>
      </c>
      <c r="L219">
        <v>7.0000000000000007E-2</v>
      </c>
      <c r="M219">
        <v>0</v>
      </c>
      <c r="N219">
        <v>0</v>
      </c>
    </row>
    <row r="220" spans="1:14">
      <c r="A220">
        <v>219</v>
      </c>
      <c r="B220" t="s">
        <v>20</v>
      </c>
      <c r="C220" t="s">
        <v>20</v>
      </c>
      <c r="D220">
        <v>0</v>
      </c>
      <c r="E220">
        <v>0.94</v>
      </c>
      <c r="F220">
        <v>0</v>
      </c>
      <c r="G220">
        <v>0</v>
      </c>
      <c r="H220">
        <v>0.05</v>
      </c>
      <c r="I220">
        <v>0</v>
      </c>
      <c r="J220">
        <v>0</v>
      </c>
      <c r="K220">
        <v>0.01</v>
      </c>
      <c r="L220">
        <v>0</v>
      </c>
      <c r="M220">
        <v>0</v>
      </c>
      <c r="N220">
        <v>0</v>
      </c>
    </row>
    <row r="221" spans="1:14">
      <c r="A221">
        <v>220</v>
      </c>
      <c r="B221" t="s">
        <v>45</v>
      </c>
      <c r="C221" t="s">
        <v>45</v>
      </c>
      <c r="D221">
        <v>0.19</v>
      </c>
      <c r="E221">
        <v>0.01</v>
      </c>
      <c r="F221">
        <v>0</v>
      </c>
      <c r="G221">
        <v>0</v>
      </c>
      <c r="H221">
        <v>0.11</v>
      </c>
      <c r="I221">
        <v>0</v>
      </c>
      <c r="J221">
        <v>0.63</v>
      </c>
      <c r="K221">
        <v>0</v>
      </c>
      <c r="L221">
        <v>0</v>
      </c>
      <c r="M221">
        <v>0.06</v>
      </c>
      <c r="N221">
        <v>0</v>
      </c>
    </row>
    <row r="222" spans="1:14">
      <c r="A222">
        <v>221</v>
      </c>
      <c r="B222" t="s">
        <v>45</v>
      </c>
      <c r="C222" t="s">
        <v>45</v>
      </c>
      <c r="D222">
        <v>0</v>
      </c>
      <c r="E222">
        <v>0.01</v>
      </c>
      <c r="F222">
        <v>0</v>
      </c>
      <c r="G222">
        <v>0</v>
      </c>
      <c r="H222">
        <v>0.09</v>
      </c>
      <c r="I222">
        <v>0</v>
      </c>
      <c r="J222">
        <v>0.9</v>
      </c>
      <c r="K222">
        <v>0</v>
      </c>
      <c r="L222">
        <v>0</v>
      </c>
      <c r="M222">
        <v>0</v>
      </c>
      <c r="N222">
        <v>0</v>
      </c>
    </row>
    <row r="223" spans="1:14">
      <c r="A223">
        <v>222</v>
      </c>
      <c r="B223" t="s">
        <v>39</v>
      </c>
      <c r="C223" t="s">
        <v>39</v>
      </c>
      <c r="D223">
        <v>0</v>
      </c>
      <c r="E223">
        <v>0.04</v>
      </c>
      <c r="F223">
        <v>0</v>
      </c>
      <c r="G223">
        <v>0</v>
      </c>
      <c r="H223">
        <v>0.96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77</v>
      </c>
      <c r="C224" t="s">
        <v>77</v>
      </c>
      <c r="D224">
        <v>1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45</v>
      </c>
      <c r="C225" t="s">
        <v>45</v>
      </c>
      <c r="D225">
        <v>0.09</v>
      </c>
      <c r="E225">
        <v>0</v>
      </c>
      <c r="F225">
        <v>0</v>
      </c>
      <c r="G225">
        <v>0</v>
      </c>
      <c r="H225">
        <v>0.32</v>
      </c>
      <c r="I225">
        <v>0</v>
      </c>
      <c r="J225">
        <v>0.53</v>
      </c>
      <c r="K225">
        <v>0</v>
      </c>
      <c r="L225">
        <v>0</v>
      </c>
      <c r="M225">
        <v>0.06</v>
      </c>
      <c r="N225">
        <v>0</v>
      </c>
    </row>
    <row r="226" spans="1:14">
      <c r="A226">
        <v>225</v>
      </c>
      <c r="B226" t="s">
        <v>20</v>
      </c>
      <c r="C226" t="s">
        <v>20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>
      <c r="A227">
        <v>226</v>
      </c>
      <c r="B227" t="s">
        <v>77</v>
      </c>
      <c r="C227" t="s">
        <v>77</v>
      </c>
      <c r="D227">
        <v>0.64</v>
      </c>
      <c r="E227">
        <v>0</v>
      </c>
      <c r="F227">
        <v>0</v>
      </c>
      <c r="G227">
        <v>0</v>
      </c>
      <c r="H227">
        <v>0.12</v>
      </c>
      <c r="I227">
        <v>0</v>
      </c>
      <c r="J227">
        <v>0</v>
      </c>
      <c r="K227">
        <v>0</v>
      </c>
      <c r="L227">
        <v>0</v>
      </c>
      <c r="M227">
        <v>0.24</v>
      </c>
      <c r="N227">
        <v>0</v>
      </c>
    </row>
    <row r="228" spans="1:14">
      <c r="A228">
        <v>227</v>
      </c>
      <c r="B228" t="s">
        <v>72</v>
      </c>
      <c r="C228" t="s">
        <v>72</v>
      </c>
      <c r="D228">
        <v>0</v>
      </c>
      <c r="E228">
        <v>0</v>
      </c>
      <c r="F228">
        <v>0</v>
      </c>
      <c r="G228">
        <v>0.99</v>
      </c>
      <c r="H228">
        <v>0</v>
      </c>
      <c r="I228">
        <v>0</v>
      </c>
      <c r="J228">
        <v>0</v>
      </c>
      <c r="K228">
        <v>0</v>
      </c>
      <c r="L228">
        <v>0.01</v>
      </c>
      <c r="M228">
        <v>0</v>
      </c>
      <c r="N228">
        <v>0</v>
      </c>
    </row>
    <row r="229" spans="1:14">
      <c r="A229">
        <v>228</v>
      </c>
      <c r="B229" t="s">
        <v>39</v>
      </c>
      <c r="C229" t="s">
        <v>39</v>
      </c>
      <c r="D229">
        <v>0.03</v>
      </c>
      <c r="E229">
        <v>0</v>
      </c>
      <c r="F229">
        <v>0</v>
      </c>
      <c r="G229">
        <v>0</v>
      </c>
      <c r="H229">
        <v>0.85</v>
      </c>
      <c r="I229">
        <v>0</v>
      </c>
      <c r="J229">
        <v>0.04</v>
      </c>
      <c r="K229">
        <v>0.08</v>
      </c>
      <c r="L229">
        <v>0</v>
      </c>
      <c r="M229">
        <v>0</v>
      </c>
      <c r="N229">
        <v>0</v>
      </c>
    </row>
    <row r="230" spans="1:14">
      <c r="A230">
        <v>229</v>
      </c>
      <c r="B230" t="s">
        <v>61</v>
      </c>
      <c r="C230" t="s">
        <v>61</v>
      </c>
      <c r="D230">
        <v>0</v>
      </c>
      <c r="E230">
        <v>0</v>
      </c>
      <c r="F230">
        <v>0</v>
      </c>
      <c r="G230">
        <v>0</v>
      </c>
      <c r="H230">
        <v>0.2</v>
      </c>
      <c r="I230">
        <v>0</v>
      </c>
      <c r="J230">
        <v>0</v>
      </c>
      <c r="K230">
        <v>0</v>
      </c>
      <c r="L230">
        <v>0</v>
      </c>
      <c r="M230">
        <v>0.8</v>
      </c>
      <c r="N230">
        <v>0</v>
      </c>
    </row>
    <row r="231" spans="1:14">
      <c r="A231">
        <v>230</v>
      </c>
      <c r="B231" t="s">
        <v>39</v>
      </c>
      <c r="C231" t="s">
        <v>39</v>
      </c>
      <c r="D231">
        <v>0</v>
      </c>
      <c r="E231">
        <v>0.4</v>
      </c>
      <c r="F231">
        <v>0</v>
      </c>
      <c r="G231">
        <v>0</v>
      </c>
      <c r="H231">
        <v>0.6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178</v>
      </c>
      <c r="C232" t="s">
        <v>178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1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39</v>
      </c>
      <c r="C233" t="s">
        <v>39</v>
      </c>
      <c r="D233">
        <v>0</v>
      </c>
      <c r="E233">
        <v>0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39</v>
      </c>
      <c r="C234" t="s">
        <v>39</v>
      </c>
      <c r="D234">
        <v>0.05</v>
      </c>
      <c r="E234">
        <v>0.08</v>
      </c>
      <c r="F234">
        <v>0</v>
      </c>
      <c r="G234">
        <v>0</v>
      </c>
      <c r="H234">
        <v>0.86</v>
      </c>
      <c r="I234">
        <v>0</v>
      </c>
      <c r="J234">
        <v>0</v>
      </c>
      <c r="K234">
        <v>0</v>
      </c>
      <c r="L234">
        <v>0</v>
      </c>
      <c r="M234">
        <v>0.01</v>
      </c>
      <c r="N234">
        <v>0</v>
      </c>
    </row>
    <row r="235" spans="1:14">
      <c r="A235">
        <v>234</v>
      </c>
      <c r="B235" t="s">
        <v>20</v>
      </c>
      <c r="C235" t="s">
        <v>20</v>
      </c>
      <c r="D235">
        <v>0</v>
      </c>
      <c r="E235">
        <v>0.99</v>
      </c>
      <c r="F235">
        <v>0</v>
      </c>
      <c r="G235">
        <v>0</v>
      </c>
      <c r="H235">
        <v>0.01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45</v>
      </c>
      <c r="C236" t="s">
        <v>45</v>
      </c>
      <c r="D236">
        <v>0</v>
      </c>
      <c r="E236">
        <v>0</v>
      </c>
      <c r="F236">
        <v>0</v>
      </c>
      <c r="G236">
        <v>0</v>
      </c>
      <c r="H236">
        <v>0.1</v>
      </c>
      <c r="I236">
        <v>0</v>
      </c>
      <c r="J236">
        <v>0.9</v>
      </c>
      <c r="K236">
        <v>0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20</v>
      </c>
      <c r="C237" t="s">
        <v>20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61</v>
      </c>
      <c r="C238" t="s">
        <v>61</v>
      </c>
      <c r="D238">
        <v>0</v>
      </c>
      <c r="E238">
        <v>0</v>
      </c>
      <c r="F238">
        <v>0</v>
      </c>
      <c r="G238">
        <v>0</v>
      </c>
      <c r="H238">
        <v>7.0000000000000007E-2</v>
      </c>
      <c r="I238">
        <v>0.03</v>
      </c>
      <c r="J238">
        <v>0.01</v>
      </c>
      <c r="K238">
        <v>0</v>
      </c>
      <c r="L238">
        <v>0</v>
      </c>
      <c r="M238">
        <v>0.89</v>
      </c>
      <c r="N238">
        <v>0</v>
      </c>
    </row>
    <row r="239" spans="1:14">
      <c r="A239">
        <v>238</v>
      </c>
      <c r="B239" t="s">
        <v>20</v>
      </c>
      <c r="C239" t="s">
        <v>20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>
      <c r="A240">
        <v>239</v>
      </c>
      <c r="B240" t="s">
        <v>20</v>
      </c>
      <c r="C240" t="s">
        <v>20</v>
      </c>
      <c r="D240">
        <v>0</v>
      </c>
      <c r="E240">
        <v>0.97</v>
      </c>
      <c r="F240">
        <v>0</v>
      </c>
      <c r="G240">
        <v>0</v>
      </c>
      <c r="H240">
        <v>0</v>
      </c>
      <c r="I240">
        <v>0</v>
      </c>
      <c r="J240">
        <v>0.03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20</v>
      </c>
      <c r="C241" t="s">
        <v>20</v>
      </c>
      <c r="D241">
        <v>0.22</v>
      </c>
      <c r="E241">
        <v>0.74</v>
      </c>
      <c r="F241">
        <v>0</v>
      </c>
      <c r="G241">
        <v>0</v>
      </c>
      <c r="H241">
        <v>0.03</v>
      </c>
      <c r="I241">
        <v>0</v>
      </c>
      <c r="J241">
        <v>0</v>
      </c>
      <c r="K241">
        <v>0</v>
      </c>
      <c r="L241">
        <v>0.01</v>
      </c>
      <c r="M241">
        <v>0</v>
      </c>
      <c r="N241">
        <v>0</v>
      </c>
    </row>
    <row r="242" spans="1:14">
      <c r="A242">
        <v>241</v>
      </c>
      <c r="B242" t="s">
        <v>20</v>
      </c>
      <c r="C242" t="s">
        <v>20</v>
      </c>
      <c r="D242">
        <v>0</v>
      </c>
      <c r="E242">
        <v>0.98</v>
      </c>
      <c r="F242">
        <v>0</v>
      </c>
      <c r="G242">
        <v>0</v>
      </c>
      <c r="H242">
        <v>0.02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45</v>
      </c>
      <c r="C243" t="s">
        <v>45</v>
      </c>
      <c r="D243">
        <v>0.01</v>
      </c>
      <c r="E243">
        <v>0.06</v>
      </c>
      <c r="F243">
        <v>0</v>
      </c>
      <c r="G243">
        <v>0</v>
      </c>
      <c r="H243">
        <v>0.09</v>
      </c>
      <c r="I243">
        <v>0</v>
      </c>
      <c r="J243">
        <v>0.76</v>
      </c>
      <c r="K243">
        <v>0</v>
      </c>
      <c r="L243">
        <v>0</v>
      </c>
      <c r="M243">
        <v>0.08</v>
      </c>
      <c r="N243">
        <v>0</v>
      </c>
    </row>
    <row r="244" spans="1:14">
      <c r="A244">
        <v>243</v>
      </c>
      <c r="B244" t="s">
        <v>39</v>
      </c>
      <c r="C244" t="s">
        <v>39</v>
      </c>
      <c r="D244">
        <v>0</v>
      </c>
      <c r="E244">
        <v>0.05</v>
      </c>
      <c r="F244">
        <v>0</v>
      </c>
      <c r="G244">
        <v>0</v>
      </c>
      <c r="H244">
        <v>0.95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</row>
    <row r="245" spans="1:14">
      <c r="A245">
        <v>244</v>
      </c>
      <c r="B245" t="s">
        <v>20</v>
      </c>
      <c r="C245" t="s">
        <v>20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>
      <c r="A246">
        <v>245</v>
      </c>
      <c r="B246" t="s">
        <v>61</v>
      </c>
      <c r="C246" t="s">
        <v>61</v>
      </c>
      <c r="D246">
        <v>0.02</v>
      </c>
      <c r="E246">
        <v>0</v>
      </c>
      <c r="F246">
        <v>0</v>
      </c>
      <c r="G246">
        <v>0</v>
      </c>
      <c r="H246">
        <v>0.28000000000000003</v>
      </c>
      <c r="I246">
        <v>0</v>
      </c>
      <c r="J246">
        <v>0</v>
      </c>
      <c r="K246">
        <v>0</v>
      </c>
      <c r="L246">
        <v>0</v>
      </c>
      <c r="M246">
        <v>0.7</v>
      </c>
      <c r="N246">
        <v>0</v>
      </c>
    </row>
    <row r="247" spans="1:14">
      <c r="A247">
        <v>246</v>
      </c>
      <c r="B247" t="s">
        <v>45</v>
      </c>
      <c r="C247" t="s">
        <v>45</v>
      </c>
      <c r="D247">
        <v>0.04</v>
      </c>
      <c r="E247">
        <v>0</v>
      </c>
      <c r="F247">
        <v>0</v>
      </c>
      <c r="G247">
        <v>0</v>
      </c>
      <c r="H247">
        <v>0.21</v>
      </c>
      <c r="I247">
        <v>0</v>
      </c>
      <c r="J247">
        <v>0.72</v>
      </c>
      <c r="K247">
        <v>0</v>
      </c>
      <c r="L247">
        <v>0.03</v>
      </c>
      <c r="M247">
        <v>0</v>
      </c>
      <c r="N247">
        <v>0</v>
      </c>
    </row>
    <row r="248" spans="1:14">
      <c r="A248">
        <v>247</v>
      </c>
      <c r="B248" t="s">
        <v>61</v>
      </c>
      <c r="C248" t="s">
        <v>61</v>
      </c>
      <c r="D248">
        <v>0.02</v>
      </c>
      <c r="E248">
        <v>0</v>
      </c>
      <c r="F248">
        <v>0</v>
      </c>
      <c r="G248">
        <v>0</v>
      </c>
      <c r="H248">
        <v>0.21</v>
      </c>
      <c r="I248">
        <v>0.01</v>
      </c>
      <c r="J248">
        <v>0</v>
      </c>
      <c r="K248">
        <v>0</v>
      </c>
      <c r="L248">
        <v>0</v>
      </c>
      <c r="M248">
        <v>0.76</v>
      </c>
      <c r="N248">
        <v>0</v>
      </c>
    </row>
    <row r="249" spans="1:14">
      <c r="A249">
        <v>248</v>
      </c>
      <c r="B249" t="s">
        <v>45</v>
      </c>
      <c r="C249" t="s">
        <v>45</v>
      </c>
      <c r="D249">
        <v>0.04</v>
      </c>
      <c r="E249">
        <v>0</v>
      </c>
      <c r="F249">
        <v>0</v>
      </c>
      <c r="G249">
        <v>0</v>
      </c>
      <c r="H249">
        <v>0.01</v>
      </c>
      <c r="I249">
        <v>0</v>
      </c>
      <c r="J249">
        <v>0.95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20</v>
      </c>
      <c r="C250" t="s">
        <v>20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20</v>
      </c>
      <c r="C251" t="s">
        <v>20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39</v>
      </c>
      <c r="C252" t="s">
        <v>39</v>
      </c>
      <c r="D252">
        <v>0</v>
      </c>
      <c r="E252">
        <v>0</v>
      </c>
      <c r="F252">
        <v>0</v>
      </c>
      <c r="G252">
        <v>0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20</v>
      </c>
      <c r="C253" t="s">
        <v>20</v>
      </c>
      <c r="D253">
        <v>0.04</v>
      </c>
      <c r="E253">
        <v>0.96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39</v>
      </c>
      <c r="C254" t="s">
        <v>39</v>
      </c>
      <c r="D254">
        <v>0.01</v>
      </c>
      <c r="E254">
        <v>0</v>
      </c>
      <c r="F254">
        <v>0</v>
      </c>
      <c r="G254">
        <v>0</v>
      </c>
      <c r="H254">
        <v>0.86</v>
      </c>
      <c r="I254">
        <v>0</v>
      </c>
      <c r="J254">
        <v>0.12</v>
      </c>
      <c r="K254">
        <v>0.01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39</v>
      </c>
      <c r="C255" t="s">
        <v>39</v>
      </c>
      <c r="D255">
        <v>0</v>
      </c>
      <c r="E255">
        <v>0.15</v>
      </c>
      <c r="F255">
        <v>0</v>
      </c>
      <c r="G255">
        <v>0</v>
      </c>
      <c r="H255">
        <v>0.75</v>
      </c>
      <c r="I255">
        <v>0</v>
      </c>
      <c r="J255">
        <v>0.09</v>
      </c>
      <c r="K255">
        <v>0.01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20</v>
      </c>
      <c r="C256" t="s">
        <v>20</v>
      </c>
      <c r="D256">
        <v>0.1</v>
      </c>
      <c r="E256">
        <v>0.64</v>
      </c>
      <c r="F256">
        <v>0</v>
      </c>
      <c r="G256">
        <v>0</v>
      </c>
      <c r="H256">
        <v>0.15</v>
      </c>
      <c r="I256">
        <v>0.03</v>
      </c>
      <c r="J256">
        <v>0.01</v>
      </c>
      <c r="K256">
        <v>0</v>
      </c>
      <c r="L256">
        <v>0</v>
      </c>
      <c r="M256">
        <v>7.0000000000000007E-2</v>
      </c>
      <c r="N256">
        <v>0</v>
      </c>
    </row>
    <row r="257" spans="1:14">
      <c r="A257">
        <v>256</v>
      </c>
      <c r="B257" t="s">
        <v>34</v>
      </c>
      <c r="C257" t="s">
        <v>34</v>
      </c>
      <c r="D257">
        <v>0</v>
      </c>
      <c r="E257">
        <v>0</v>
      </c>
      <c r="F257">
        <v>0.01</v>
      </c>
      <c r="G257">
        <v>0</v>
      </c>
      <c r="H257">
        <v>0.02</v>
      </c>
      <c r="I257">
        <v>0</v>
      </c>
      <c r="J257">
        <v>0</v>
      </c>
      <c r="K257">
        <v>0</v>
      </c>
      <c r="L257">
        <v>0.97</v>
      </c>
      <c r="M257">
        <v>0</v>
      </c>
      <c r="N257">
        <v>0</v>
      </c>
    </row>
    <row r="258" spans="1:14">
      <c r="A258">
        <v>257</v>
      </c>
      <c r="B258" t="s">
        <v>20</v>
      </c>
      <c r="C258" t="s">
        <v>20</v>
      </c>
      <c r="D258">
        <v>0</v>
      </c>
      <c r="E258">
        <v>1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14">
      <c r="A259">
        <v>258</v>
      </c>
      <c r="B259" t="s">
        <v>20</v>
      </c>
      <c r="C259" t="s">
        <v>20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34</v>
      </c>
      <c r="C260" t="s">
        <v>34</v>
      </c>
      <c r="D260">
        <v>0.01</v>
      </c>
      <c r="E260">
        <v>0</v>
      </c>
      <c r="F260">
        <v>0.01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0.98</v>
      </c>
      <c r="M260">
        <v>0</v>
      </c>
      <c r="N260">
        <v>0</v>
      </c>
    </row>
    <row r="261" spans="1:14">
      <c r="A261">
        <v>260</v>
      </c>
      <c r="B261" t="s">
        <v>20</v>
      </c>
      <c r="C261" t="s">
        <v>20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20</v>
      </c>
      <c r="C262" t="s">
        <v>20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72</v>
      </c>
      <c r="C263" t="s">
        <v>72</v>
      </c>
      <c r="D263">
        <v>0.04</v>
      </c>
      <c r="E263">
        <v>0</v>
      </c>
      <c r="F263">
        <v>0.03</v>
      </c>
      <c r="G263">
        <v>0.68</v>
      </c>
      <c r="H263">
        <v>0.19</v>
      </c>
      <c r="I263">
        <v>0</v>
      </c>
      <c r="J263">
        <v>0.05</v>
      </c>
      <c r="K263">
        <v>0</v>
      </c>
      <c r="L263">
        <v>0</v>
      </c>
      <c r="M263">
        <v>0.01</v>
      </c>
      <c r="N263">
        <v>0</v>
      </c>
    </row>
    <row r="264" spans="1:14">
      <c r="A264">
        <v>263</v>
      </c>
      <c r="B264" t="s">
        <v>20</v>
      </c>
      <c r="C264" t="s">
        <v>20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39</v>
      </c>
      <c r="C265" t="s">
        <v>39</v>
      </c>
      <c r="D265">
        <v>0</v>
      </c>
      <c r="E265">
        <v>0</v>
      </c>
      <c r="F265">
        <v>0</v>
      </c>
      <c r="G265">
        <v>0</v>
      </c>
      <c r="H265">
        <v>1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>
      <c r="A266">
        <v>265</v>
      </c>
      <c r="B266" t="s">
        <v>45</v>
      </c>
      <c r="C266" t="s">
        <v>45</v>
      </c>
      <c r="D266">
        <v>0</v>
      </c>
      <c r="E266">
        <v>0</v>
      </c>
      <c r="F266">
        <v>0</v>
      </c>
      <c r="G266">
        <v>0</v>
      </c>
      <c r="H266">
        <v>0.15</v>
      </c>
      <c r="I266">
        <v>0</v>
      </c>
      <c r="J266">
        <v>0.85</v>
      </c>
      <c r="K266">
        <v>0</v>
      </c>
      <c r="L266">
        <v>0</v>
      </c>
      <c r="M266">
        <v>0</v>
      </c>
      <c r="N266">
        <v>0</v>
      </c>
    </row>
    <row r="267" spans="1:14">
      <c r="A267">
        <v>266</v>
      </c>
      <c r="B267" t="s">
        <v>20</v>
      </c>
      <c r="C267" t="s">
        <v>20</v>
      </c>
      <c r="D267">
        <v>0.01</v>
      </c>
      <c r="E267">
        <v>0.99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39</v>
      </c>
      <c r="C268" t="s">
        <v>39</v>
      </c>
      <c r="D268">
        <v>0</v>
      </c>
      <c r="E268">
        <v>0.03</v>
      </c>
      <c r="F268">
        <v>0</v>
      </c>
      <c r="G268">
        <v>0</v>
      </c>
      <c r="H268">
        <v>0.89</v>
      </c>
      <c r="I268">
        <v>0</v>
      </c>
      <c r="J268">
        <v>0.03</v>
      </c>
      <c r="K268">
        <v>0</v>
      </c>
      <c r="L268">
        <v>0</v>
      </c>
      <c r="M268">
        <v>0.05</v>
      </c>
      <c r="N268">
        <v>0</v>
      </c>
    </row>
    <row r="269" spans="1:14">
      <c r="A269">
        <v>268</v>
      </c>
      <c r="B269" t="s">
        <v>77</v>
      </c>
      <c r="C269" t="s">
        <v>77</v>
      </c>
      <c r="D269">
        <v>0.99</v>
      </c>
      <c r="E269">
        <v>0</v>
      </c>
      <c r="F269">
        <v>0</v>
      </c>
      <c r="G269">
        <v>0.01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>
      <c r="A270">
        <v>269</v>
      </c>
      <c r="B270" t="s">
        <v>45</v>
      </c>
      <c r="C270" t="s">
        <v>45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39</v>
      </c>
      <c r="C271" t="s">
        <v>39</v>
      </c>
      <c r="D271">
        <v>0</v>
      </c>
      <c r="E271">
        <v>0.02</v>
      </c>
      <c r="F271">
        <v>0</v>
      </c>
      <c r="G271">
        <v>0</v>
      </c>
      <c r="H271">
        <v>0.98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72</v>
      </c>
      <c r="C272" t="s">
        <v>72</v>
      </c>
      <c r="D272">
        <v>0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61</v>
      </c>
      <c r="C273" t="s">
        <v>61</v>
      </c>
      <c r="D273">
        <v>0.21</v>
      </c>
      <c r="E273">
        <v>0</v>
      </c>
      <c r="F273">
        <v>0</v>
      </c>
      <c r="G273">
        <v>0</v>
      </c>
      <c r="H273">
        <v>0.06</v>
      </c>
      <c r="I273">
        <v>0</v>
      </c>
      <c r="J273">
        <v>7.0000000000000007E-2</v>
      </c>
      <c r="K273">
        <v>0</v>
      </c>
      <c r="L273">
        <v>0</v>
      </c>
      <c r="M273">
        <v>0.64</v>
      </c>
      <c r="N273">
        <v>0.02</v>
      </c>
    </row>
    <row r="274" spans="1:14">
      <c r="A274">
        <v>273</v>
      </c>
      <c r="B274" t="s">
        <v>39</v>
      </c>
      <c r="C274" t="s">
        <v>39</v>
      </c>
      <c r="D274">
        <v>0</v>
      </c>
      <c r="E274">
        <v>0</v>
      </c>
      <c r="F274">
        <v>0</v>
      </c>
      <c r="G274">
        <v>0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20</v>
      </c>
      <c r="C275" t="s">
        <v>20</v>
      </c>
      <c r="D275">
        <v>0</v>
      </c>
      <c r="E275">
        <v>0.98</v>
      </c>
      <c r="F275">
        <v>0</v>
      </c>
      <c r="G275">
        <v>0</v>
      </c>
      <c r="H275">
        <v>0.02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</row>
    <row r="276" spans="1:14">
      <c r="A276">
        <v>275</v>
      </c>
      <c r="B276" t="s">
        <v>72</v>
      </c>
      <c r="C276" t="s">
        <v>72</v>
      </c>
      <c r="D276">
        <v>0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>
      <c r="A277">
        <v>276</v>
      </c>
      <c r="B277" t="s">
        <v>20</v>
      </c>
      <c r="C277" t="s">
        <v>20</v>
      </c>
      <c r="D277">
        <v>0</v>
      </c>
      <c r="E277">
        <v>0.99</v>
      </c>
      <c r="F277">
        <v>0</v>
      </c>
      <c r="G277">
        <v>0</v>
      </c>
      <c r="H277">
        <v>0.01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>
      <c r="A278">
        <v>277</v>
      </c>
      <c r="B278" t="s">
        <v>82</v>
      </c>
      <c r="C278" t="s">
        <v>82</v>
      </c>
      <c r="D278">
        <v>0</v>
      </c>
      <c r="E278">
        <v>0.03</v>
      </c>
      <c r="F278">
        <v>0</v>
      </c>
      <c r="G278">
        <v>0</v>
      </c>
      <c r="H278">
        <v>0.05</v>
      </c>
      <c r="I278">
        <v>0</v>
      </c>
      <c r="J278">
        <v>0.06</v>
      </c>
      <c r="K278">
        <v>0</v>
      </c>
      <c r="L278">
        <v>0</v>
      </c>
      <c r="M278">
        <v>0</v>
      </c>
      <c r="N278">
        <v>0.86</v>
      </c>
    </row>
    <row r="279" spans="1:14">
      <c r="A279">
        <v>278</v>
      </c>
      <c r="B279" t="s">
        <v>45</v>
      </c>
      <c r="C279" t="s">
        <v>45</v>
      </c>
      <c r="D279">
        <v>0</v>
      </c>
      <c r="E279">
        <v>0</v>
      </c>
      <c r="F279">
        <v>0</v>
      </c>
      <c r="G279">
        <v>0.34</v>
      </c>
      <c r="H279">
        <v>0</v>
      </c>
      <c r="I279">
        <v>0</v>
      </c>
      <c r="J279">
        <v>0.63</v>
      </c>
      <c r="K279">
        <v>0</v>
      </c>
      <c r="L279">
        <v>0</v>
      </c>
      <c r="M279">
        <v>0.03</v>
      </c>
      <c r="N279">
        <v>0</v>
      </c>
    </row>
    <row r="280" spans="1:14">
      <c r="A280">
        <v>279</v>
      </c>
      <c r="B280" t="s">
        <v>45</v>
      </c>
      <c r="C280" t="s">
        <v>45</v>
      </c>
      <c r="D280">
        <v>0.02</v>
      </c>
      <c r="E280">
        <v>0.03</v>
      </c>
      <c r="F280">
        <v>0</v>
      </c>
      <c r="G280">
        <v>0</v>
      </c>
      <c r="H280">
        <v>0.13</v>
      </c>
      <c r="I280">
        <v>0</v>
      </c>
      <c r="J280">
        <v>0.74</v>
      </c>
      <c r="K280">
        <v>0</v>
      </c>
      <c r="L280">
        <v>0</v>
      </c>
      <c r="M280">
        <v>0.08</v>
      </c>
      <c r="N280">
        <v>0</v>
      </c>
    </row>
    <row r="281" spans="1:14">
      <c r="A281">
        <v>280</v>
      </c>
      <c r="B281" t="s">
        <v>20</v>
      </c>
      <c r="C281" t="s">
        <v>20</v>
      </c>
      <c r="D281">
        <v>0.01</v>
      </c>
      <c r="E281">
        <v>0.7</v>
      </c>
      <c r="F281">
        <v>0</v>
      </c>
      <c r="G281">
        <v>0</v>
      </c>
      <c r="H281">
        <v>0.24</v>
      </c>
      <c r="I281">
        <v>0</v>
      </c>
      <c r="J281">
        <v>0.05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77</v>
      </c>
      <c r="C282" t="s">
        <v>77</v>
      </c>
      <c r="D282">
        <v>0.99</v>
      </c>
      <c r="E282">
        <v>0</v>
      </c>
      <c r="F282">
        <v>0</v>
      </c>
      <c r="G282">
        <v>0.01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39</v>
      </c>
      <c r="C283" t="s">
        <v>39</v>
      </c>
      <c r="D283">
        <v>0</v>
      </c>
      <c r="E283">
        <v>7.0000000000000007E-2</v>
      </c>
      <c r="F283">
        <v>0</v>
      </c>
      <c r="G283">
        <v>0</v>
      </c>
      <c r="H283">
        <v>0.89</v>
      </c>
      <c r="I283">
        <v>0</v>
      </c>
      <c r="J283">
        <v>0</v>
      </c>
      <c r="K283">
        <v>0.04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39</v>
      </c>
      <c r="C284" t="s">
        <v>39</v>
      </c>
      <c r="D284">
        <v>0</v>
      </c>
      <c r="E284">
        <v>0.16</v>
      </c>
      <c r="F284">
        <v>0</v>
      </c>
      <c r="G284">
        <v>0</v>
      </c>
      <c r="H284">
        <v>0.84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20</v>
      </c>
      <c r="C285" t="s">
        <v>20</v>
      </c>
      <c r="D285">
        <v>0</v>
      </c>
      <c r="E285">
        <v>0.97</v>
      </c>
      <c r="F285">
        <v>0</v>
      </c>
      <c r="G285">
        <v>0</v>
      </c>
      <c r="H285">
        <v>0.03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20</v>
      </c>
      <c r="C286" t="s">
        <v>20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>
      <c r="A287">
        <v>286</v>
      </c>
      <c r="B287" t="s">
        <v>77</v>
      </c>
      <c r="C287" t="s">
        <v>77</v>
      </c>
      <c r="D287">
        <v>0.91</v>
      </c>
      <c r="E287">
        <v>0</v>
      </c>
      <c r="F287">
        <v>0</v>
      </c>
      <c r="G287">
        <v>0</v>
      </c>
      <c r="H287">
        <v>0.08</v>
      </c>
      <c r="I287">
        <v>0</v>
      </c>
      <c r="J287">
        <v>0.01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178</v>
      </c>
      <c r="C288" t="s">
        <v>178</v>
      </c>
      <c r="D288">
        <v>0.01</v>
      </c>
      <c r="E288">
        <v>0</v>
      </c>
      <c r="F288">
        <v>0</v>
      </c>
      <c r="G288">
        <v>0</v>
      </c>
      <c r="H288">
        <v>0.08</v>
      </c>
      <c r="I288">
        <v>0.64</v>
      </c>
      <c r="J288">
        <v>0</v>
      </c>
      <c r="K288">
        <v>0</v>
      </c>
      <c r="L288">
        <v>0</v>
      </c>
      <c r="M288">
        <v>0.27</v>
      </c>
      <c r="N288">
        <v>0</v>
      </c>
    </row>
    <row r="289" spans="1:14">
      <c r="A289">
        <v>288</v>
      </c>
      <c r="B289" t="s">
        <v>20</v>
      </c>
      <c r="C289" t="s">
        <v>20</v>
      </c>
      <c r="D289">
        <v>0</v>
      </c>
      <c r="E289">
        <v>0.97</v>
      </c>
      <c r="F289">
        <v>0</v>
      </c>
      <c r="G289">
        <v>0</v>
      </c>
      <c r="H289">
        <v>0.03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77</v>
      </c>
      <c r="C290" t="s">
        <v>77</v>
      </c>
      <c r="D290">
        <v>0.6</v>
      </c>
      <c r="E290">
        <v>0.32</v>
      </c>
      <c r="F290">
        <v>0</v>
      </c>
      <c r="G290">
        <v>0</v>
      </c>
      <c r="H290">
        <v>0.08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34</v>
      </c>
      <c r="C291" t="s">
        <v>34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1</v>
      </c>
      <c r="M291">
        <v>0</v>
      </c>
      <c r="N291">
        <v>0</v>
      </c>
    </row>
    <row r="292" spans="1:14">
      <c r="A292">
        <v>291</v>
      </c>
      <c r="B292" t="s">
        <v>20</v>
      </c>
      <c r="C292" t="s">
        <v>20</v>
      </c>
      <c r="D292">
        <v>0</v>
      </c>
      <c r="E292">
        <v>0.97</v>
      </c>
      <c r="F292">
        <v>0</v>
      </c>
      <c r="G292">
        <v>0</v>
      </c>
      <c r="H292">
        <v>0.02</v>
      </c>
      <c r="I292">
        <v>0</v>
      </c>
      <c r="J292">
        <v>0.01</v>
      </c>
      <c r="K292">
        <v>0</v>
      </c>
      <c r="L292">
        <v>0</v>
      </c>
      <c r="M292">
        <v>0</v>
      </c>
      <c r="N292">
        <v>0</v>
      </c>
    </row>
    <row r="293" spans="1:14">
      <c r="A293">
        <v>292</v>
      </c>
      <c r="B293" t="s">
        <v>72</v>
      </c>
      <c r="C293" t="s">
        <v>72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39</v>
      </c>
      <c r="C294" t="s">
        <v>39</v>
      </c>
      <c r="D294">
        <v>0.39</v>
      </c>
      <c r="E294">
        <v>0</v>
      </c>
      <c r="F294">
        <v>0.01</v>
      </c>
      <c r="G294">
        <v>0</v>
      </c>
      <c r="H294">
        <v>0.6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1:14">
      <c r="A295">
        <v>294</v>
      </c>
      <c r="B295" t="s">
        <v>20</v>
      </c>
      <c r="C295" t="s">
        <v>20</v>
      </c>
      <c r="D295">
        <v>0.11</v>
      </c>
      <c r="E295">
        <v>0.69</v>
      </c>
      <c r="F295">
        <v>0</v>
      </c>
      <c r="G295">
        <v>0</v>
      </c>
      <c r="H295">
        <v>0.04</v>
      </c>
      <c r="I295">
        <v>0</v>
      </c>
      <c r="J295">
        <v>0</v>
      </c>
      <c r="K295">
        <v>0</v>
      </c>
      <c r="L295">
        <v>0</v>
      </c>
      <c r="M295">
        <v>0.16</v>
      </c>
      <c r="N295">
        <v>0</v>
      </c>
    </row>
    <row r="296" spans="1:14">
      <c r="A296">
        <v>295</v>
      </c>
      <c r="B296" t="s">
        <v>20</v>
      </c>
      <c r="C296" t="s">
        <v>20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72</v>
      </c>
      <c r="C297" t="s">
        <v>72</v>
      </c>
      <c r="D297">
        <v>0</v>
      </c>
      <c r="E297">
        <v>0</v>
      </c>
      <c r="F297">
        <v>0</v>
      </c>
      <c r="G297">
        <v>0.82</v>
      </c>
      <c r="H297">
        <v>0</v>
      </c>
      <c r="I297">
        <v>0</v>
      </c>
      <c r="J297">
        <v>0.05</v>
      </c>
      <c r="K297">
        <v>0</v>
      </c>
      <c r="L297">
        <v>0</v>
      </c>
      <c r="M297">
        <v>0.13</v>
      </c>
      <c r="N297">
        <v>0</v>
      </c>
    </row>
    <row r="298" spans="1:14">
      <c r="A298">
        <v>297</v>
      </c>
      <c r="B298" t="s">
        <v>20</v>
      </c>
      <c r="C298" t="s">
        <v>20</v>
      </c>
      <c r="D298">
        <v>0</v>
      </c>
      <c r="E298">
        <v>0.93</v>
      </c>
      <c r="F298">
        <v>0</v>
      </c>
      <c r="G298">
        <v>0</v>
      </c>
      <c r="H298">
        <v>0.05</v>
      </c>
      <c r="I298">
        <v>0</v>
      </c>
      <c r="J298">
        <v>0.02</v>
      </c>
      <c r="K298">
        <v>0</v>
      </c>
      <c r="L298">
        <v>0</v>
      </c>
      <c r="M298">
        <v>0</v>
      </c>
      <c r="N298">
        <v>0</v>
      </c>
    </row>
    <row r="299" spans="1:14">
      <c r="A299">
        <v>298</v>
      </c>
      <c r="B299" t="s">
        <v>39</v>
      </c>
      <c r="C299" t="s">
        <v>39</v>
      </c>
      <c r="D299">
        <v>0.04</v>
      </c>
      <c r="E299">
        <v>0</v>
      </c>
      <c r="F299">
        <v>0</v>
      </c>
      <c r="G299">
        <v>0.08</v>
      </c>
      <c r="H299">
        <v>0.82</v>
      </c>
      <c r="I299">
        <v>0</v>
      </c>
      <c r="J299">
        <v>0.01</v>
      </c>
      <c r="K299">
        <v>0</v>
      </c>
      <c r="L299">
        <v>0.05</v>
      </c>
      <c r="M299">
        <v>0</v>
      </c>
      <c r="N299">
        <v>0</v>
      </c>
    </row>
    <row r="300" spans="1:14">
      <c r="A300">
        <v>299</v>
      </c>
      <c r="B300" t="s">
        <v>39</v>
      </c>
      <c r="C300" t="s">
        <v>39</v>
      </c>
      <c r="D300">
        <v>0</v>
      </c>
      <c r="E300">
        <v>0</v>
      </c>
      <c r="F300">
        <v>0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>
      <c r="A301">
        <v>300</v>
      </c>
      <c r="B301" t="s">
        <v>20</v>
      </c>
      <c r="C301" t="s">
        <v>20</v>
      </c>
      <c r="D301">
        <v>7.0000000000000007E-2</v>
      </c>
      <c r="E301">
        <v>0.64</v>
      </c>
      <c r="F301">
        <v>0</v>
      </c>
      <c r="G301">
        <v>0</v>
      </c>
      <c r="H301">
        <v>0.16</v>
      </c>
      <c r="I301">
        <v>0</v>
      </c>
      <c r="J301">
        <v>0.08</v>
      </c>
      <c r="K301">
        <v>0</v>
      </c>
      <c r="L301">
        <v>0</v>
      </c>
      <c r="M301">
        <v>0.05</v>
      </c>
      <c r="N301">
        <v>0</v>
      </c>
    </row>
    <row r="302" spans="1:14">
      <c r="A302">
        <v>301</v>
      </c>
      <c r="B302" t="s">
        <v>39</v>
      </c>
      <c r="C302" t="s">
        <v>39</v>
      </c>
      <c r="D302">
        <v>0.02</v>
      </c>
      <c r="E302">
        <v>0.02</v>
      </c>
      <c r="F302">
        <v>0.01</v>
      </c>
      <c r="G302">
        <v>0</v>
      </c>
      <c r="H302">
        <v>0.82</v>
      </c>
      <c r="I302">
        <v>0</v>
      </c>
      <c r="J302">
        <v>0.05</v>
      </c>
      <c r="K302">
        <v>0.08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20</v>
      </c>
      <c r="C303" t="s">
        <v>20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72</v>
      </c>
      <c r="C304" t="s">
        <v>72</v>
      </c>
      <c r="D304">
        <v>0.02</v>
      </c>
      <c r="E304">
        <v>0</v>
      </c>
      <c r="F304">
        <v>0</v>
      </c>
      <c r="G304">
        <v>0.89</v>
      </c>
      <c r="H304">
        <v>0</v>
      </c>
      <c r="I304">
        <v>0</v>
      </c>
      <c r="J304">
        <v>0.05</v>
      </c>
      <c r="K304">
        <v>0</v>
      </c>
      <c r="L304">
        <v>0</v>
      </c>
      <c r="M304">
        <v>0.04</v>
      </c>
      <c r="N304">
        <v>0</v>
      </c>
    </row>
    <row r="305" spans="1:14">
      <c r="A305">
        <v>304</v>
      </c>
      <c r="B305" t="s">
        <v>77</v>
      </c>
      <c r="C305" t="s">
        <v>77</v>
      </c>
      <c r="D305">
        <v>0.72</v>
      </c>
      <c r="E305">
        <v>0.02</v>
      </c>
      <c r="F305">
        <v>0</v>
      </c>
      <c r="G305">
        <v>0</v>
      </c>
      <c r="H305">
        <v>0.11</v>
      </c>
      <c r="I305">
        <v>0</v>
      </c>
      <c r="J305">
        <v>0.15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45</v>
      </c>
      <c r="C306" t="s">
        <v>45</v>
      </c>
      <c r="D306">
        <v>0.05</v>
      </c>
      <c r="E306">
        <v>0</v>
      </c>
      <c r="F306">
        <v>0.02</v>
      </c>
      <c r="G306">
        <v>0</v>
      </c>
      <c r="H306">
        <v>0.09</v>
      </c>
      <c r="I306">
        <v>0</v>
      </c>
      <c r="J306">
        <v>0.79</v>
      </c>
      <c r="K306">
        <v>0.04</v>
      </c>
      <c r="L306">
        <v>0</v>
      </c>
      <c r="M306">
        <v>0</v>
      </c>
      <c r="N306">
        <v>0.01</v>
      </c>
    </row>
    <row r="307" spans="1:14">
      <c r="A307">
        <v>306</v>
      </c>
      <c r="B307" t="s">
        <v>45</v>
      </c>
      <c r="C307" t="s">
        <v>45</v>
      </c>
      <c r="D307">
        <v>0.01</v>
      </c>
      <c r="E307">
        <v>7.0000000000000007E-2</v>
      </c>
      <c r="F307">
        <v>0</v>
      </c>
      <c r="G307">
        <v>0</v>
      </c>
      <c r="H307">
        <v>0</v>
      </c>
      <c r="I307">
        <v>0</v>
      </c>
      <c r="J307">
        <v>0.61</v>
      </c>
      <c r="K307">
        <v>0</v>
      </c>
      <c r="L307">
        <v>0</v>
      </c>
      <c r="M307">
        <v>0.31</v>
      </c>
      <c r="N307">
        <v>0</v>
      </c>
    </row>
    <row r="308" spans="1:14">
      <c r="A308">
        <v>307</v>
      </c>
      <c r="B308" t="s">
        <v>39</v>
      </c>
      <c r="C308" t="s">
        <v>39</v>
      </c>
      <c r="D308">
        <v>0</v>
      </c>
      <c r="E308">
        <v>0</v>
      </c>
      <c r="F308">
        <v>0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>
      <c r="A309">
        <v>308</v>
      </c>
      <c r="B309" t="s">
        <v>20</v>
      </c>
      <c r="C309" t="s">
        <v>20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20</v>
      </c>
      <c r="C310" t="s">
        <v>20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20</v>
      </c>
      <c r="C311" t="s">
        <v>20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39</v>
      </c>
      <c r="C312" t="s">
        <v>39</v>
      </c>
      <c r="D312">
        <v>0</v>
      </c>
      <c r="E312">
        <v>0.01</v>
      </c>
      <c r="F312">
        <v>0</v>
      </c>
      <c r="G312">
        <v>0</v>
      </c>
      <c r="H312">
        <v>0.91</v>
      </c>
      <c r="I312">
        <v>0</v>
      </c>
      <c r="J312">
        <v>0.04</v>
      </c>
      <c r="K312">
        <v>0.04</v>
      </c>
      <c r="L312">
        <v>0</v>
      </c>
      <c r="M312">
        <v>0</v>
      </c>
      <c r="N312">
        <v>0</v>
      </c>
    </row>
    <row r="313" spans="1:14">
      <c r="A313">
        <v>312</v>
      </c>
      <c r="B313" t="s">
        <v>39</v>
      </c>
      <c r="C313" t="s">
        <v>39</v>
      </c>
      <c r="D313">
        <v>0</v>
      </c>
      <c r="E313">
        <v>7.0000000000000007E-2</v>
      </c>
      <c r="F313">
        <v>0</v>
      </c>
      <c r="G313">
        <v>0</v>
      </c>
      <c r="H313">
        <v>0.84</v>
      </c>
      <c r="I313">
        <v>0.01</v>
      </c>
      <c r="J313">
        <v>0</v>
      </c>
      <c r="K313">
        <v>0</v>
      </c>
      <c r="L313">
        <v>0</v>
      </c>
      <c r="M313">
        <v>0.08</v>
      </c>
      <c r="N313">
        <v>0</v>
      </c>
    </row>
    <row r="314" spans="1:14">
      <c r="A314">
        <v>313</v>
      </c>
      <c r="B314" t="s">
        <v>20</v>
      </c>
      <c r="C314" t="s">
        <v>20</v>
      </c>
      <c r="D314">
        <v>0</v>
      </c>
      <c r="E314">
        <v>0.99</v>
      </c>
      <c r="F314">
        <v>0</v>
      </c>
      <c r="G314">
        <v>0</v>
      </c>
      <c r="H314">
        <v>0.01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20</v>
      </c>
      <c r="C315" t="s">
        <v>20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</row>
    <row r="316" spans="1:14">
      <c r="A316">
        <v>315</v>
      </c>
      <c r="B316" t="s">
        <v>61</v>
      </c>
      <c r="C316" t="s">
        <v>61</v>
      </c>
      <c r="D316">
        <v>0</v>
      </c>
      <c r="E316">
        <v>0.02</v>
      </c>
      <c r="F316">
        <v>0</v>
      </c>
      <c r="G316">
        <v>0</v>
      </c>
      <c r="H316">
        <v>0.03</v>
      </c>
      <c r="I316">
        <v>0</v>
      </c>
      <c r="J316">
        <v>0.03</v>
      </c>
      <c r="K316">
        <v>0</v>
      </c>
      <c r="L316">
        <v>0</v>
      </c>
      <c r="M316">
        <v>0.92</v>
      </c>
      <c r="N316">
        <v>0</v>
      </c>
    </row>
    <row r="317" spans="1:14">
      <c r="A317">
        <v>316</v>
      </c>
      <c r="B317" t="s">
        <v>98</v>
      </c>
      <c r="C317" t="s">
        <v>98</v>
      </c>
      <c r="D317">
        <v>0</v>
      </c>
      <c r="E317">
        <v>0</v>
      </c>
      <c r="F317">
        <v>1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>
      <c r="A318">
        <v>317</v>
      </c>
      <c r="B318" t="s">
        <v>20</v>
      </c>
      <c r="C318" t="s">
        <v>20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77</v>
      </c>
      <c r="C319" t="s">
        <v>77</v>
      </c>
      <c r="D319">
        <v>0.77</v>
      </c>
      <c r="E319">
        <v>0.04</v>
      </c>
      <c r="F319">
        <v>0</v>
      </c>
      <c r="G319">
        <v>0</v>
      </c>
      <c r="H319">
        <v>0.1</v>
      </c>
      <c r="I319">
        <v>0</v>
      </c>
      <c r="J319">
        <v>0</v>
      </c>
      <c r="K319">
        <v>0</v>
      </c>
      <c r="L319">
        <v>0</v>
      </c>
      <c r="M319">
        <v>0.09</v>
      </c>
      <c r="N319">
        <v>0</v>
      </c>
    </row>
    <row r="320" spans="1:14">
      <c r="A320">
        <v>319</v>
      </c>
      <c r="B320" t="s">
        <v>39</v>
      </c>
      <c r="C320" t="s">
        <v>39</v>
      </c>
      <c r="D320">
        <v>0</v>
      </c>
      <c r="E320">
        <v>0.01</v>
      </c>
      <c r="F320">
        <v>0</v>
      </c>
      <c r="G320">
        <v>0</v>
      </c>
      <c r="H320">
        <v>0.94</v>
      </c>
      <c r="I320">
        <v>0</v>
      </c>
      <c r="J320">
        <v>0</v>
      </c>
      <c r="K320">
        <v>0</v>
      </c>
      <c r="L320">
        <v>0</v>
      </c>
      <c r="M320">
        <v>0.05</v>
      </c>
      <c r="N320">
        <v>0</v>
      </c>
    </row>
    <row r="321" spans="1:14">
      <c r="A321">
        <v>320</v>
      </c>
      <c r="B321" t="s">
        <v>61</v>
      </c>
      <c r="C321" t="s">
        <v>61</v>
      </c>
      <c r="D321">
        <v>0.05</v>
      </c>
      <c r="E321">
        <v>0</v>
      </c>
      <c r="F321">
        <v>0</v>
      </c>
      <c r="G321">
        <v>0</v>
      </c>
      <c r="H321">
        <v>0.2</v>
      </c>
      <c r="I321">
        <v>0</v>
      </c>
      <c r="J321">
        <v>0.17</v>
      </c>
      <c r="K321">
        <v>0</v>
      </c>
      <c r="L321">
        <v>0</v>
      </c>
      <c r="M321">
        <v>0.57999999999999996</v>
      </c>
      <c r="N321">
        <v>0</v>
      </c>
    </row>
    <row r="322" spans="1:14">
      <c r="A322">
        <v>321</v>
      </c>
      <c r="B322" t="s">
        <v>20</v>
      </c>
      <c r="C322" t="s">
        <v>20</v>
      </c>
      <c r="D322">
        <v>0.02</v>
      </c>
      <c r="E322">
        <v>0.98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61</v>
      </c>
      <c r="C323" t="s">
        <v>61</v>
      </c>
      <c r="D323">
        <v>0</v>
      </c>
      <c r="E323">
        <v>0</v>
      </c>
      <c r="F323">
        <v>0</v>
      </c>
      <c r="G323">
        <v>0.25</v>
      </c>
      <c r="H323">
        <v>0</v>
      </c>
      <c r="I323">
        <v>0</v>
      </c>
      <c r="J323">
        <v>0.09</v>
      </c>
      <c r="K323">
        <v>0</v>
      </c>
      <c r="L323">
        <v>0</v>
      </c>
      <c r="M323">
        <v>0.66</v>
      </c>
      <c r="N323">
        <v>0</v>
      </c>
    </row>
    <row r="324" spans="1:14">
      <c r="A324">
        <v>323</v>
      </c>
      <c r="B324" t="s">
        <v>20</v>
      </c>
      <c r="C324" t="s">
        <v>20</v>
      </c>
      <c r="D324">
        <v>0</v>
      </c>
      <c r="E324">
        <v>0.98</v>
      </c>
      <c r="F324">
        <v>0</v>
      </c>
      <c r="G324">
        <v>0</v>
      </c>
      <c r="H324">
        <v>0</v>
      </c>
      <c r="I324">
        <v>0.02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39</v>
      </c>
      <c r="C325" t="s">
        <v>39</v>
      </c>
      <c r="D325">
        <v>0</v>
      </c>
      <c r="E325">
        <v>0.05</v>
      </c>
      <c r="F325">
        <v>0</v>
      </c>
      <c r="G325">
        <v>0</v>
      </c>
      <c r="H325">
        <v>0.94</v>
      </c>
      <c r="I325">
        <v>0</v>
      </c>
      <c r="J325">
        <v>0.01</v>
      </c>
      <c r="K325">
        <v>0</v>
      </c>
      <c r="L325">
        <v>0</v>
      </c>
      <c r="M325">
        <v>0</v>
      </c>
      <c r="N325">
        <v>0</v>
      </c>
    </row>
    <row r="326" spans="1:14">
      <c r="A326">
        <v>325</v>
      </c>
      <c r="B326" t="s">
        <v>77</v>
      </c>
      <c r="C326" t="s">
        <v>77</v>
      </c>
      <c r="D326">
        <v>0.98</v>
      </c>
      <c r="E326">
        <v>0</v>
      </c>
      <c r="F326">
        <v>0</v>
      </c>
      <c r="G326">
        <v>0</v>
      </c>
      <c r="H326">
        <v>0.01</v>
      </c>
      <c r="I326">
        <v>0</v>
      </c>
      <c r="J326">
        <v>0.01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20</v>
      </c>
      <c r="C327" t="s">
        <v>20</v>
      </c>
      <c r="D327">
        <v>0</v>
      </c>
      <c r="E327">
        <v>1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45</v>
      </c>
      <c r="C328" t="s">
        <v>45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77</v>
      </c>
      <c r="C329" t="s">
        <v>77</v>
      </c>
      <c r="D329">
        <v>0.6</v>
      </c>
      <c r="E329">
        <v>0</v>
      </c>
      <c r="F329">
        <v>0</v>
      </c>
      <c r="G329">
        <v>0</v>
      </c>
      <c r="H329">
        <v>0.37</v>
      </c>
      <c r="I329">
        <v>0</v>
      </c>
      <c r="J329">
        <v>0</v>
      </c>
      <c r="K329">
        <v>0</v>
      </c>
      <c r="L329">
        <v>0</v>
      </c>
      <c r="M329">
        <v>0.03</v>
      </c>
      <c r="N329">
        <v>0</v>
      </c>
    </row>
    <row r="330" spans="1:14">
      <c r="A330">
        <v>329</v>
      </c>
      <c r="B330" t="s">
        <v>20</v>
      </c>
      <c r="C330" t="s">
        <v>20</v>
      </c>
      <c r="D330">
        <v>0.05</v>
      </c>
      <c r="E330">
        <v>0.56999999999999995</v>
      </c>
      <c r="F330">
        <v>0</v>
      </c>
      <c r="G330">
        <v>0</v>
      </c>
      <c r="H330">
        <v>0.12</v>
      </c>
      <c r="I330">
        <v>0.01</v>
      </c>
      <c r="J330">
        <v>0.15</v>
      </c>
      <c r="K330">
        <v>0</v>
      </c>
      <c r="L330">
        <v>0</v>
      </c>
      <c r="M330">
        <v>0.1</v>
      </c>
      <c r="N330">
        <v>0</v>
      </c>
    </row>
    <row r="331" spans="1:14">
      <c r="A331">
        <v>330</v>
      </c>
      <c r="B331" t="s">
        <v>61</v>
      </c>
      <c r="C331" t="s">
        <v>61</v>
      </c>
      <c r="D331">
        <v>0.03</v>
      </c>
      <c r="E331">
        <v>0.01</v>
      </c>
      <c r="F331">
        <v>0</v>
      </c>
      <c r="G331">
        <v>0</v>
      </c>
      <c r="H331">
        <v>0.24</v>
      </c>
      <c r="I331">
        <v>0</v>
      </c>
      <c r="J331">
        <v>0</v>
      </c>
      <c r="K331">
        <v>0</v>
      </c>
      <c r="L331">
        <v>0</v>
      </c>
      <c r="M331">
        <v>0.72</v>
      </c>
      <c r="N331">
        <v>0</v>
      </c>
    </row>
    <row r="332" spans="1:14">
      <c r="A332">
        <v>331</v>
      </c>
      <c r="B332" t="s">
        <v>39</v>
      </c>
      <c r="C332" t="s">
        <v>39</v>
      </c>
      <c r="D332">
        <v>0</v>
      </c>
      <c r="E332">
        <v>0.01</v>
      </c>
      <c r="F332">
        <v>0</v>
      </c>
      <c r="G332">
        <v>0</v>
      </c>
      <c r="H332">
        <v>0.85</v>
      </c>
      <c r="I332">
        <v>0</v>
      </c>
      <c r="J332">
        <v>0</v>
      </c>
      <c r="K332">
        <v>0</v>
      </c>
      <c r="L332">
        <v>0</v>
      </c>
      <c r="M332">
        <v>0.14000000000000001</v>
      </c>
      <c r="N332">
        <v>0</v>
      </c>
    </row>
    <row r="333" spans="1:14">
      <c r="A333">
        <v>332</v>
      </c>
      <c r="B333" t="s">
        <v>61</v>
      </c>
      <c r="C333" t="s">
        <v>61</v>
      </c>
      <c r="D333">
        <v>0</v>
      </c>
      <c r="E333">
        <v>0</v>
      </c>
      <c r="F333">
        <v>0</v>
      </c>
      <c r="G333">
        <v>0</v>
      </c>
      <c r="H333">
        <v>0.06</v>
      </c>
      <c r="I333">
        <v>0</v>
      </c>
      <c r="J333">
        <v>0.2</v>
      </c>
      <c r="K333">
        <v>0</v>
      </c>
      <c r="L333">
        <v>0</v>
      </c>
      <c r="M333">
        <v>0.74</v>
      </c>
      <c r="N333">
        <v>0</v>
      </c>
    </row>
    <row r="334" spans="1:14">
      <c r="A334">
        <v>333</v>
      </c>
      <c r="B334" t="s">
        <v>39</v>
      </c>
      <c r="C334" t="s">
        <v>39</v>
      </c>
      <c r="D334">
        <v>0</v>
      </c>
      <c r="E334">
        <v>0</v>
      </c>
      <c r="F334">
        <v>0</v>
      </c>
      <c r="G334">
        <v>0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77</v>
      </c>
      <c r="C335" t="s">
        <v>77</v>
      </c>
      <c r="D335">
        <v>1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20</v>
      </c>
      <c r="C336" t="s">
        <v>20</v>
      </c>
      <c r="D336">
        <v>0</v>
      </c>
      <c r="E336">
        <v>1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39</v>
      </c>
      <c r="C337" t="s">
        <v>39</v>
      </c>
      <c r="D337">
        <v>0.02</v>
      </c>
      <c r="E337">
        <v>0</v>
      </c>
      <c r="F337">
        <v>0</v>
      </c>
      <c r="G337">
        <v>0</v>
      </c>
      <c r="H337">
        <v>0.91</v>
      </c>
      <c r="I337">
        <v>0</v>
      </c>
      <c r="J337">
        <v>0</v>
      </c>
      <c r="K337">
        <v>0</v>
      </c>
      <c r="L337">
        <v>0</v>
      </c>
      <c r="M337">
        <v>7.0000000000000007E-2</v>
      </c>
      <c r="N337">
        <v>0</v>
      </c>
    </row>
    <row r="338" spans="1:14">
      <c r="A338">
        <v>337</v>
      </c>
      <c r="B338" t="s">
        <v>77</v>
      </c>
      <c r="C338" t="s">
        <v>77</v>
      </c>
      <c r="D338">
        <v>0.8</v>
      </c>
      <c r="E338">
        <v>0.11</v>
      </c>
      <c r="F338">
        <v>0.02</v>
      </c>
      <c r="G338">
        <v>0</v>
      </c>
      <c r="H338">
        <v>7.0000000000000007E-2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>
      <c r="A339">
        <v>338</v>
      </c>
      <c r="B339" t="s">
        <v>61</v>
      </c>
      <c r="C339" t="s">
        <v>61</v>
      </c>
      <c r="D339">
        <v>0</v>
      </c>
      <c r="E339">
        <v>0</v>
      </c>
      <c r="F339">
        <v>0</v>
      </c>
      <c r="G339">
        <v>0</v>
      </c>
      <c r="H339">
        <v>0.03</v>
      </c>
      <c r="I339">
        <v>0.01</v>
      </c>
      <c r="J339">
        <v>0.05</v>
      </c>
      <c r="K339">
        <v>0</v>
      </c>
      <c r="L339">
        <v>0</v>
      </c>
      <c r="M339">
        <v>0.91</v>
      </c>
      <c r="N339">
        <v>0</v>
      </c>
    </row>
    <row r="340" spans="1:14">
      <c r="A340">
        <v>339</v>
      </c>
      <c r="B340" t="s">
        <v>72</v>
      </c>
      <c r="C340" t="s">
        <v>72</v>
      </c>
      <c r="D340">
        <v>0</v>
      </c>
      <c r="E340">
        <v>0</v>
      </c>
      <c r="F340">
        <v>0</v>
      </c>
      <c r="G340">
        <v>0.9</v>
      </c>
      <c r="H340">
        <v>0</v>
      </c>
      <c r="I340">
        <v>0</v>
      </c>
      <c r="J340">
        <v>0.09</v>
      </c>
      <c r="K340">
        <v>0</v>
      </c>
      <c r="L340">
        <v>0</v>
      </c>
      <c r="M340">
        <v>0.01</v>
      </c>
      <c r="N340">
        <v>0</v>
      </c>
    </row>
    <row r="341" spans="1:14">
      <c r="A341">
        <v>340</v>
      </c>
      <c r="B341" t="s">
        <v>61</v>
      </c>
      <c r="C341" t="s">
        <v>61</v>
      </c>
      <c r="D341">
        <v>0</v>
      </c>
      <c r="E341">
        <v>0</v>
      </c>
      <c r="F341">
        <v>0</v>
      </c>
      <c r="G341">
        <v>0.28999999999999998</v>
      </c>
      <c r="H341">
        <v>0</v>
      </c>
      <c r="I341">
        <v>0</v>
      </c>
      <c r="J341">
        <v>0.02</v>
      </c>
      <c r="K341">
        <v>0</v>
      </c>
      <c r="L341">
        <v>0</v>
      </c>
      <c r="M341">
        <v>0.69</v>
      </c>
      <c r="N341">
        <v>0</v>
      </c>
    </row>
    <row r="342" spans="1:14">
      <c r="A342">
        <v>341</v>
      </c>
      <c r="B342" t="s">
        <v>20</v>
      </c>
      <c r="C342" t="s">
        <v>20</v>
      </c>
      <c r="D342">
        <v>0</v>
      </c>
      <c r="E342">
        <v>0.98</v>
      </c>
      <c r="F342">
        <v>0</v>
      </c>
      <c r="G342">
        <v>0</v>
      </c>
      <c r="H342">
        <v>0.02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1:14">
      <c r="A343">
        <v>342</v>
      </c>
      <c r="B343" t="s">
        <v>39</v>
      </c>
      <c r="C343" t="s">
        <v>39</v>
      </c>
      <c r="D343">
        <v>0</v>
      </c>
      <c r="E343">
        <v>0.03</v>
      </c>
      <c r="F343">
        <v>0</v>
      </c>
      <c r="G343">
        <v>0</v>
      </c>
      <c r="H343">
        <v>0.7</v>
      </c>
      <c r="I343">
        <v>0</v>
      </c>
      <c r="J343">
        <v>0.19</v>
      </c>
      <c r="K343">
        <v>0</v>
      </c>
      <c r="L343">
        <v>0</v>
      </c>
      <c r="M343">
        <v>0.08</v>
      </c>
      <c r="N343">
        <v>0</v>
      </c>
    </row>
    <row r="344" spans="1:14">
      <c r="A344">
        <v>343</v>
      </c>
      <c r="B344" t="s">
        <v>39</v>
      </c>
      <c r="C344" t="s">
        <v>39</v>
      </c>
      <c r="D344">
        <v>0</v>
      </c>
      <c r="E344">
        <v>7.0000000000000007E-2</v>
      </c>
      <c r="F344">
        <v>0</v>
      </c>
      <c r="G344">
        <v>0</v>
      </c>
      <c r="H344">
        <v>0.88</v>
      </c>
      <c r="I344">
        <v>0</v>
      </c>
      <c r="J344">
        <v>0.05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39</v>
      </c>
      <c r="C345" t="s">
        <v>39</v>
      </c>
      <c r="D345">
        <v>0.06</v>
      </c>
      <c r="E345">
        <v>0</v>
      </c>
      <c r="F345">
        <v>0</v>
      </c>
      <c r="G345">
        <v>0</v>
      </c>
      <c r="H345">
        <v>0.83</v>
      </c>
      <c r="I345">
        <v>0</v>
      </c>
      <c r="J345">
        <v>0.03</v>
      </c>
      <c r="K345">
        <v>0</v>
      </c>
      <c r="L345">
        <v>0</v>
      </c>
      <c r="M345">
        <v>0.08</v>
      </c>
      <c r="N345">
        <v>0</v>
      </c>
    </row>
    <row r="346" spans="1:14">
      <c r="A346">
        <v>345</v>
      </c>
      <c r="B346" t="s">
        <v>61</v>
      </c>
      <c r="C346" t="s">
        <v>61</v>
      </c>
      <c r="D346">
        <v>0</v>
      </c>
      <c r="E346">
        <v>0</v>
      </c>
      <c r="F346">
        <v>0</v>
      </c>
      <c r="G346">
        <v>0.31</v>
      </c>
      <c r="H346">
        <v>0.01</v>
      </c>
      <c r="I346">
        <v>0</v>
      </c>
      <c r="J346">
        <v>0.06</v>
      </c>
      <c r="K346">
        <v>0</v>
      </c>
      <c r="L346">
        <v>0</v>
      </c>
      <c r="M346">
        <v>0.62</v>
      </c>
      <c r="N346">
        <v>0</v>
      </c>
    </row>
    <row r="347" spans="1:14">
      <c r="A347">
        <v>346</v>
      </c>
      <c r="B347" t="s">
        <v>77</v>
      </c>
      <c r="C347" t="s">
        <v>77</v>
      </c>
      <c r="D347">
        <v>0.7</v>
      </c>
      <c r="E347">
        <v>0</v>
      </c>
      <c r="F347">
        <v>0</v>
      </c>
      <c r="G347">
        <v>0.02</v>
      </c>
      <c r="H347">
        <v>0.01</v>
      </c>
      <c r="I347">
        <v>0</v>
      </c>
      <c r="J347">
        <v>0.13</v>
      </c>
      <c r="K347">
        <v>0</v>
      </c>
      <c r="L347">
        <v>0</v>
      </c>
      <c r="M347">
        <v>0</v>
      </c>
      <c r="N347">
        <v>0.14000000000000001</v>
      </c>
    </row>
    <row r="348" spans="1:14">
      <c r="A348">
        <v>347</v>
      </c>
      <c r="B348" t="s">
        <v>45</v>
      </c>
      <c r="C348" t="s">
        <v>45</v>
      </c>
      <c r="D348">
        <v>0.05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0.92</v>
      </c>
      <c r="K348">
        <v>0</v>
      </c>
      <c r="L348">
        <v>0</v>
      </c>
      <c r="M348">
        <v>0.03</v>
      </c>
      <c r="N348">
        <v>0</v>
      </c>
    </row>
    <row r="349" spans="1:14">
      <c r="A349">
        <v>348</v>
      </c>
      <c r="B349" t="s">
        <v>34</v>
      </c>
      <c r="C349" t="s">
        <v>34</v>
      </c>
      <c r="D349">
        <v>0.19</v>
      </c>
      <c r="E349">
        <v>0</v>
      </c>
      <c r="F349">
        <v>0</v>
      </c>
      <c r="G349">
        <v>0.05</v>
      </c>
      <c r="H349">
        <v>0</v>
      </c>
      <c r="I349">
        <v>0.01</v>
      </c>
      <c r="J349">
        <v>0.14000000000000001</v>
      </c>
      <c r="K349">
        <v>0</v>
      </c>
      <c r="L349">
        <v>0.61</v>
      </c>
      <c r="M349">
        <v>0</v>
      </c>
      <c r="N349">
        <v>0</v>
      </c>
    </row>
    <row r="350" spans="1:14">
      <c r="A350">
        <v>349</v>
      </c>
      <c r="B350" t="s">
        <v>20</v>
      </c>
      <c r="C350" t="s">
        <v>20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20</v>
      </c>
      <c r="C351" t="s">
        <v>20</v>
      </c>
      <c r="D351">
        <v>7.0000000000000007E-2</v>
      </c>
      <c r="E351">
        <v>0.86</v>
      </c>
      <c r="F351">
        <v>0</v>
      </c>
      <c r="G351">
        <v>0.01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0.06</v>
      </c>
      <c r="N351">
        <v>0</v>
      </c>
    </row>
    <row r="352" spans="1:14">
      <c r="A352">
        <v>351</v>
      </c>
      <c r="B352" t="s">
        <v>72</v>
      </c>
      <c r="C352" t="s">
        <v>72</v>
      </c>
      <c r="D352">
        <v>0</v>
      </c>
      <c r="E352">
        <v>0</v>
      </c>
      <c r="F352">
        <v>0</v>
      </c>
      <c r="G352">
        <v>0.96</v>
      </c>
      <c r="H352">
        <v>0</v>
      </c>
      <c r="I352">
        <v>0</v>
      </c>
      <c r="J352">
        <v>0.04</v>
      </c>
      <c r="K352">
        <v>0</v>
      </c>
      <c r="L352">
        <v>0</v>
      </c>
      <c r="M352">
        <v>0</v>
      </c>
      <c r="N352">
        <v>0</v>
      </c>
    </row>
    <row r="353" spans="1:14">
      <c r="A353">
        <v>352</v>
      </c>
      <c r="B353" t="s">
        <v>39</v>
      </c>
      <c r="C353" t="s">
        <v>39</v>
      </c>
      <c r="D353">
        <v>0.04</v>
      </c>
      <c r="E353">
        <v>0.03</v>
      </c>
      <c r="F353">
        <v>0</v>
      </c>
      <c r="G353">
        <v>0</v>
      </c>
      <c r="H353">
        <v>0.72</v>
      </c>
      <c r="I353">
        <v>0.01</v>
      </c>
      <c r="J353">
        <v>0.14000000000000001</v>
      </c>
      <c r="K353">
        <v>0</v>
      </c>
      <c r="L353">
        <v>0</v>
      </c>
      <c r="M353">
        <v>0.06</v>
      </c>
      <c r="N353">
        <v>0</v>
      </c>
    </row>
    <row r="354" spans="1:14">
      <c r="A354">
        <v>353</v>
      </c>
      <c r="B354" t="s">
        <v>20</v>
      </c>
      <c r="C354" t="s">
        <v>20</v>
      </c>
      <c r="D354">
        <v>0</v>
      </c>
      <c r="E354">
        <v>0.93</v>
      </c>
      <c r="F354">
        <v>0</v>
      </c>
      <c r="G354">
        <v>0</v>
      </c>
      <c r="H354">
        <v>7.0000000000000007E-2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45</v>
      </c>
      <c r="C355" t="s">
        <v>45</v>
      </c>
      <c r="D355">
        <v>0</v>
      </c>
      <c r="E355">
        <v>0.05</v>
      </c>
      <c r="F355">
        <v>0</v>
      </c>
      <c r="G355">
        <v>0</v>
      </c>
      <c r="H355">
        <v>0.11</v>
      </c>
      <c r="I355">
        <v>0.02</v>
      </c>
      <c r="J355">
        <v>0.8</v>
      </c>
      <c r="K355">
        <v>0</v>
      </c>
      <c r="L355">
        <v>0</v>
      </c>
      <c r="M355">
        <v>0.02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355"/>
  <sheetViews>
    <sheetView workbookViewId="0">
      <selection activeCell="C20" sqref="C20"/>
    </sheetView>
  </sheetViews>
  <sheetFormatPr baseColWidth="10" defaultRowHeight="16"/>
  <sheetData>
    <row r="1" spans="1:26">
      <c r="A1" t="s">
        <v>405</v>
      </c>
      <c r="B1" t="s">
        <v>10</v>
      </c>
      <c r="C1" t="s">
        <v>416</v>
      </c>
      <c r="D1" t="s">
        <v>99</v>
      </c>
      <c r="E1" t="s">
        <v>231</v>
      </c>
      <c r="F1" t="s">
        <v>78</v>
      </c>
      <c r="G1" t="s">
        <v>40</v>
      </c>
      <c r="H1" t="s">
        <v>206</v>
      </c>
      <c r="I1" t="s">
        <v>25</v>
      </c>
      <c r="J1" t="s">
        <v>408</v>
      </c>
      <c r="K1" t="s">
        <v>83</v>
      </c>
      <c r="L1" t="s">
        <v>21</v>
      </c>
      <c r="M1" t="s">
        <v>268</v>
      </c>
      <c r="N1" t="s">
        <v>62</v>
      </c>
      <c r="O1" t="s">
        <v>35</v>
      </c>
      <c r="P1" t="s">
        <v>179</v>
      </c>
      <c r="Q1" t="s">
        <v>46</v>
      </c>
      <c r="R1" t="s">
        <v>135</v>
      </c>
      <c r="S1" t="s">
        <v>297</v>
      </c>
      <c r="T1" t="s">
        <v>138</v>
      </c>
      <c r="U1" t="s">
        <v>409</v>
      </c>
      <c r="V1" t="s">
        <v>170</v>
      </c>
      <c r="W1" t="s">
        <v>73</v>
      </c>
      <c r="X1" t="s">
        <v>131</v>
      </c>
      <c r="Y1" t="s">
        <v>30</v>
      </c>
      <c r="Z1" t="s">
        <v>149</v>
      </c>
    </row>
    <row r="2" spans="1:26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>
        <v>2</v>
      </c>
      <c r="B3" t="s">
        <v>25</v>
      </c>
      <c r="C3" t="s">
        <v>25</v>
      </c>
      <c r="D3">
        <v>0</v>
      </c>
      <c r="E3">
        <v>0</v>
      </c>
      <c r="F3">
        <v>0</v>
      </c>
      <c r="G3">
        <v>0</v>
      </c>
      <c r="H3">
        <v>0</v>
      </c>
      <c r="I3">
        <v>0.98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0.02</v>
      </c>
    </row>
    <row r="4" spans="1:26">
      <c r="A4">
        <v>3</v>
      </c>
      <c r="B4" t="s">
        <v>21</v>
      </c>
      <c r="C4" t="s">
        <v>21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>
        <v>4</v>
      </c>
      <c r="B5" t="s">
        <v>30</v>
      </c>
      <c r="C5" t="s">
        <v>30</v>
      </c>
      <c r="D5">
        <v>0</v>
      </c>
      <c r="E5">
        <v>0</v>
      </c>
      <c r="F5">
        <v>0</v>
      </c>
      <c r="G5">
        <v>0</v>
      </c>
      <c r="H5">
        <v>0</v>
      </c>
      <c r="I5">
        <v>0.01</v>
      </c>
      <c r="J5">
        <v>0</v>
      </c>
      <c r="K5">
        <v>0</v>
      </c>
      <c r="L5">
        <v>0.02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0.97</v>
      </c>
      <c r="Z5">
        <v>0</v>
      </c>
    </row>
    <row r="6" spans="1:26">
      <c r="A6">
        <v>5</v>
      </c>
      <c r="B6" t="s">
        <v>21</v>
      </c>
      <c r="C6" t="s">
        <v>21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6</v>
      </c>
      <c r="B7" t="s">
        <v>35</v>
      </c>
      <c r="C7" t="s">
        <v>35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0.01</v>
      </c>
      <c r="M7">
        <v>0</v>
      </c>
      <c r="N7">
        <v>0</v>
      </c>
      <c r="O7">
        <v>0.99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7</v>
      </c>
      <c r="B8" t="s">
        <v>21</v>
      </c>
      <c r="C8" t="s">
        <v>21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0.96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0.04</v>
      </c>
      <c r="Z8">
        <v>0</v>
      </c>
    </row>
    <row r="9" spans="1:26">
      <c r="A9">
        <v>8</v>
      </c>
      <c r="B9" t="s">
        <v>40</v>
      </c>
      <c r="C9" t="s">
        <v>40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>
        <v>9</v>
      </c>
      <c r="B10" t="s">
        <v>25</v>
      </c>
      <c r="C10" t="s">
        <v>25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>
        <v>10</v>
      </c>
      <c r="B11" t="s">
        <v>46</v>
      </c>
      <c r="C11" t="s">
        <v>46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>
        <v>11</v>
      </c>
      <c r="B12" t="s">
        <v>30</v>
      </c>
      <c r="C12" t="s">
        <v>30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1</v>
      </c>
      <c r="Z12">
        <v>0</v>
      </c>
    </row>
    <row r="13" spans="1:26">
      <c r="A13">
        <v>12</v>
      </c>
      <c r="B13" t="s">
        <v>46</v>
      </c>
      <c r="C13" t="s">
        <v>46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13</v>
      </c>
      <c r="B14" t="s">
        <v>25</v>
      </c>
      <c r="C14" t="s">
        <v>25</v>
      </c>
      <c r="D14">
        <v>0</v>
      </c>
      <c r="E14">
        <v>0</v>
      </c>
      <c r="F14">
        <v>0</v>
      </c>
      <c r="G14">
        <v>0</v>
      </c>
      <c r="H14">
        <v>0</v>
      </c>
      <c r="I14">
        <v>0.97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0.03</v>
      </c>
    </row>
    <row r="15" spans="1:26">
      <c r="A15">
        <v>14</v>
      </c>
      <c r="B15" t="s">
        <v>40</v>
      </c>
      <c r="C15" t="s">
        <v>40</v>
      </c>
      <c r="D15">
        <v>0</v>
      </c>
      <c r="E15">
        <v>0</v>
      </c>
      <c r="F15">
        <v>0</v>
      </c>
      <c r="G15">
        <v>0.81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0.19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15</v>
      </c>
      <c r="B16" t="s">
        <v>21</v>
      </c>
      <c r="C16" t="s">
        <v>21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>
        <v>16</v>
      </c>
      <c r="B17" t="s">
        <v>40</v>
      </c>
      <c r="C17" t="s">
        <v>40</v>
      </c>
      <c r="D17">
        <v>0</v>
      </c>
      <c r="E17">
        <v>0</v>
      </c>
      <c r="F17">
        <v>0</v>
      </c>
      <c r="G17">
        <v>0.99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0.01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17</v>
      </c>
      <c r="B18" t="s">
        <v>25</v>
      </c>
      <c r="C18" t="s">
        <v>25</v>
      </c>
      <c r="D18">
        <v>0</v>
      </c>
      <c r="E18">
        <v>0</v>
      </c>
      <c r="F18">
        <v>0</v>
      </c>
      <c r="G18">
        <v>0</v>
      </c>
      <c r="H18">
        <v>0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18</v>
      </c>
      <c r="B19" t="s">
        <v>21</v>
      </c>
      <c r="C19" t="s">
        <v>21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19</v>
      </c>
      <c r="B20" t="s">
        <v>21</v>
      </c>
      <c r="C20" t="s">
        <v>21</v>
      </c>
      <c r="D20">
        <v>0</v>
      </c>
      <c r="E20">
        <v>0</v>
      </c>
      <c r="F20">
        <v>0</v>
      </c>
      <c r="G20">
        <v>0</v>
      </c>
      <c r="H20">
        <v>0</v>
      </c>
      <c r="I20">
        <v>0.01</v>
      </c>
      <c r="J20">
        <v>0</v>
      </c>
      <c r="K20">
        <v>0</v>
      </c>
      <c r="L20">
        <v>0.83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0.15</v>
      </c>
      <c r="Z20">
        <v>0.01</v>
      </c>
    </row>
    <row r="21" spans="1:26">
      <c r="A21">
        <v>20</v>
      </c>
      <c r="B21" t="s">
        <v>35</v>
      </c>
      <c r="C21" t="s">
        <v>35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21</v>
      </c>
      <c r="B22" t="s">
        <v>46</v>
      </c>
      <c r="C22" t="s">
        <v>46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22</v>
      </c>
      <c r="B23" t="s">
        <v>62</v>
      </c>
      <c r="C23" t="s">
        <v>62</v>
      </c>
      <c r="D23">
        <v>0</v>
      </c>
      <c r="E23">
        <v>0.18</v>
      </c>
      <c r="F23">
        <v>0</v>
      </c>
      <c r="G23">
        <v>0</v>
      </c>
      <c r="H23">
        <v>0.01</v>
      </c>
      <c r="I23">
        <v>0</v>
      </c>
      <c r="J23">
        <v>0</v>
      </c>
      <c r="K23">
        <v>0</v>
      </c>
      <c r="L23">
        <v>0</v>
      </c>
      <c r="M23">
        <v>0</v>
      </c>
      <c r="N23">
        <v>0.81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23</v>
      </c>
      <c r="B24" t="s">
        <v>25</v>
      </c>
      <c r="C24" t="s">
        <v>25</v>
      </c>
      <c r="D24">
        <v>0</v>
      </c>
      <c r="E24">
        <v>0</v>
      </c>
      <c r="F24">
        <v>0</v>
      </c>
      <c r="G24">
        <v>0</v>
      </c>
      <c r="H24">
        <v>0</v>
      </c>
      <c r="I24">
        <v>0.98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0.02</v>
      </c>
    </row>
    <row r="25" spans="1:26">
      <c r="A25">
        <v>24</v>
      </c>
      <c r="B25" t="s">
        <v>40</v>
      </c>
      <c r="C25" t="s">
        <v>40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25</v>
      </c>
      <c r="B26" t="s">
        <v>25</v>
      </c>
      <c r="C26" t="s">
        <v>25</v>
      </c>
      <c r="D26">
        <v>0</v>
      </c>
      <c r="E26">
        <v>0</v>
      </c>
      <c r="F26">
        <v>0</v>
      </c>
      <c r="G26">
        <v>0</v>
      </c>
      <c r="H26">
        <v>0</v>
      </c>
      <c r="I26">
        <v>0.87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0.13</v>
      </c>
    </row>
    <row r="27" spans="1:26">
      <c r="A27">
        <v>26</v>
      </c>
      <c r="B27" t="s">
        <v>46</v>
      </c>
      <c r="C27" t="s">
        <v>46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27</v>
      </c>
      <c r="B28" t="s">
        <v>46</v>
      </c>
      <c r="C28" t="s">
        <v>46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28</v>
      </c>
      <c r="B29" t="s">
        <v>46</v>
      </c>
      <c r="C29" t="s">
        <v>46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29</v>
      </c>
      <c r="B30" t="s">
        <v>73</v>
      </c>
      <c r="C30" t="s">
        <v>73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0.06</v>
      </c>
      <c r="U30">
        <v>0</v>
      </c>
      <c r="V30">
        <v>0</v>
      </c>
      <c r="W30">
        <v>0.94</v>
      </c>
      <c r="X30">
        <v>0</v>
      </c>
      <c r="Y30">
        <v>0</v>
      </c>
      <c r="Z30">
        <v>0</v>
      </c>
    </row>
    <row r="31" spans="1:26">
      <c r="A31">
        <v>30</v>
      </c>
      <c r="B31" t="s">
        <v>40</v>
      </c>
      <c r="C31" t="s">
        <v>40</v>
      </c>
      <c r="D31">
        <v>0</v>
      </c>
      <c r="E31">
        <v>0</v>
      </c>
      <c r="F31">
        <v>0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>
        <v>31</v>
      </c>
      <c r="B32" t="s">
        <v>78</v>
      </c>
      <c r="C32" t="s">
        <v>78</v>
      </c>
      <c r="D32">
        <v>0</v>
      </c>
      <c r="E32">
        <v>0</v>
      </c>
      <c r="F32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>
        <v>32</v>
      </c>
      <c r="B33" t="s">
        <v>35</v>
      </c>
      <c r="C33" t="s">
        <v>35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0.01</v>
      </c>
      <c r="M33">
        <v>0</v>
      </c>
      <c r="N33">
        <v>0</v>
      </c>
      <c r="O33">
        <v>0.99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33</v>
      </c>
      <c r="B34" t="s">
        <v>83</v>
      </c>
      <c r="C34" t="s">
        <v>83</v>
      </c>
      <c r="D34">
        <v>0.01</v>
      </c>
      <c r="E34">
        <v>0</v>
      </c>
      <c r="F34">
        <v>0.01</v>
      </c>
      <c r="G34">
        <v>0</v>
      </c>
      <c r="H34">
        <v>0.02</v>
      </c>
      <c r="I34">
        <v>0</v>
      </c>
      <c r="J34">
        <v>0</v>
      </c>
      <c r="K34">
        <v>0.91</v>
      </c>
      <c r="L34">
        <v>0.01</v>
      </c>
      <c r="M34">
        <v>0.03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0.01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>
        <v>34</v>
      </c>
      <c r="B35" t="s">
        <v>40</v>
      </c>
      <c r="C35" t="s">
        <v>40</v>
      </c>
      <c r="D35">
        <v>0</v>
      </c>
      <c r="E35">
        <v>0</v>
      </c>
      <c r="F35">
        <v>0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>
        <v>35</v>
      </c>
      <c r="B36" t="s">
        <v>46</v>
      </c>
      <c r="C36" t="s">
        <v>46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36</v>
      </c>
      <c r="B37" t="s">
        <v>40</v>
      </c>
      <c r="C37" t="s">
        <v>40</v>
      </c>
      <c r="D37">
        <v>0</v>
      </c>
      <c r="E37">
        <v>0</v>
      </c>
      <c r="F37">
        <v>0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37</v>
      </c>
      <c r="B38" t="s">
        <v>40</v>
      </c>
      <c r="C38" t="s">
        <v>40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>
        <v>38</v>
      </c>
      <c r="B39" t="s">
        <v>30</v>
      </c>
      <c r="C39" t="s">
        <v>30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0.39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0.61</v>
      </c>
      <c r="Z39">
        <v>0</v>
      </c>
    </row>
    <row r="40" spans="1:26">
      <c r="A40">
        <v>39</v>
      </c>
      <c r="B40" t="s">
        <v>21</v>
      </c>
      <c r="C40" t="s">
        <v>21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40</v>
      </c>
      <c r="B41" t="s">
        <v>30</v>
      </c>
      <c r="C41" t="s">
        <v>30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1</v>
      </c>
      <c r="Z41">
        <v>0</v>
      </c>
    </row>
    <row r="42" spans="1:26">
      <c r="A42">
        <v>41</v>
      </c>
      <c r="B42" t="s">
        <v>40</v>
      </c>
      <c r="C42" t="s">
        <v>40</v>
      </c>
      <c r="D42">
        <v>0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42</v>
      </c>
      <c r="B43" t="s">
        <v>21</v>
      </c>
      <c r="C43" t="s">
        <v>21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43</v>
      </c>
      <c r="B44" t="s">
        <v>99</v>
      </c>
      <c r="C44" t="s">
        <v>99</v>
      </c>
      <c r="D44">
        <v>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44</v>
      </c>
      <c r="B45" t="s">
        <v>25</v>
      </c>
      <c r="C45" t="s">
        <v>25</v>
      </c>
      <c r="D45">
        <v>0</v>
      </c>
      <c r="E45">
        <v>0</v>
      </c>
      <c r="F45">
        <v>0</v>
      </c>
      <c r="G45">
        <v>0</v>
      </c>
      <c r="H45">
        <v>0</v>
      </c>
      <c r="I45">
        <v>1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45</v>
      </c>
      <c r="B46" t="s">
        <v>40</v>
      </c>
      <c r="C46" t="s">
        <v>40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A47">
        <v>46</v>
      </c>
      <c r="B47" t="s">
        <v>99</v>
      </c>
      <c r="C47" t="s">
        <v>99</v>
      </c>
      <c r="D47">
        <v>0.99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0.01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47</v>
      </c>
      <c r="B48" t="s">
        <v>21</v>
      </c>
      <c r="C48" t="s">
        <v>21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>
      <c r="A49">
        <v>48</v>
      </c>
      <c r="B49" t="s">
        <v>73</v>
      </c>
      <c r="C49" t="s">
        <v>73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0.08</v>
      </c>
      <c r="U49">
        <v>0</v>
      </c>
      <c r="V49">
        <v>0</v>
      </c>
      <c r="W49">
        <v>0.92</v>
      </c>
      <c r="X49">
        <v>0</v>
      </c>
      <c r="Y49">
        <v>0</v>
      </c>
      <c r="Z49">
        <v>0</v>
      </c>
    </row>
    <row r="50" spans="1:26">
      <c r="A50">
        <v>49</v>
      </c>
      <c r="B50" t="s">
        <v>40</v>
      </c>
      <c r="C50" t="s">
        <v>40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50</v>
      </c>
      <c r="B51" t="s">
        <v>40</v>
      </c>
      <c r="C51" t="s">
        <v>40</v>
      </c>
      <c r="D51">
        <v>0</v>
      </c>
      <c r="E51">
        <v>0</v>
      </c>
      <c r="F51">
        <v>0</v>
      </c>
      <c r="G51">
        <v>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51</v>
      </c>
      <c r="B52" t="s">
        <v>25</v>
      </c>
      <c r="C52" t="s">
        <v>25</v>
      </c>
      <c r="D52">
        <v>0</v>
      </c>
      <c r="E52">
        <v>0</v>
      </c>
      <c r="F52">
        <v>0</v>
      </c>
      <c r="G52">
        <v>0</v>
      </c>
      <c r="H52">
        <v>0</v>
      </c>
      <c r="I52">
        <v>0.73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0.27</v>
      </c>
    </row>
    <row r="53" spans="1:26">
      <c r="A53">
        <v>52</v>
      </c>
      <c r="B53" t="s">
        <v>40</v>
      </c>
      <c r="C53" t="s">
        <v>40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53</v>
      </c>
      <c r="B54" t="s">
        <v>73</v>
      </c>
      <c r="C54" t="s">
        <v>73</v>
      </c>
      <c r="D54">
        <v>0</v>
      </c>
      <c r="E54">
        <v>0</v>
      </c>
      <c r="F54">
        <v>0</v>
      </c>
      <c r="G54">
        <v>0</v>
      </c>
      <c r="H54">
        <v>0</v>
      </c>
      <c r="I54">
        <v>0.01</v>
      </c>
      <c r="J54">
        <v>0</v>
      </c>
      <c r="K54">
        <v>0</v>
      </c>
      <c r="L54">
        <v>0</v>
      </c>
      <c r="M54">
        <v>0.01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0.03</v>
      </c>
      <c r="U54">
        <v>0</v>
      </c>
      <c r="V54">
        <v>0.01</v>
      </c>
      <c r="W54">
        <v>0.94</v>
      </c>
      <c r="X54">
        <v>0</v>
      </c>
      <c r="Y54">
        <v>0</v>
      </c>
      <c r="Z54">
        <v>0</v>
      </c>
    </row>
    <row r="55" spans="1:26">
      <c r="A55">
        <v>54</v>
      </c>
      <c r="B55" t="s">
        <v>30</v>
      </c>
      <c r="C55" t="s">
        <v>30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0.19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0.81</v>
      </c>
      <c r="Z55">
        <v>0</v>
      </c>
    </row>
    <row r="56" spans="1:26">
      <c r="A56">
        <v>55</v>
      </c>
      <c r="B56" t="s">
        <v>46</v>
      </c>
      <c r="C56" t="s">
        <v>46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1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56</v>
      </c>
      <c r="B57" t="s">
        <v>46</v>
      </c>
      <c r="C57" t="s">
        <v>46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57</v>
      </c>
      <c r="B58" t="s">
        <v>46</v>
      </c>
      <c r="C58" t="s">
        <v>46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>
      <c r="A59">
        <v>58</v>
      </c>
      <c r="B59" t="s">
        <v>40</v>
      </c>
      <c r="C59" t="s">
        <v>40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59</v>
      </c>
      <c r="B60" t="s">
        <v>25</v>
      </c>
      <c r="C60" t="s">
        <v>25</v>
      </c>
      <c r="D60">
        <v>0</v>
      </c>
      <c r="E60">
        <v>0</v>
      </c>
      <c r="F60">
        <v>0</v>
      </c>
      <c r="G60">
        <v>0</v>
      </c>
      <c r="H60">
        <v>0</v>
      </c>
      <c r="I60">
        <v>0.96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0.04</v>
      </c>
    </row>
    <row r="61" spans="1:26">
      <c r="A61">
        <v>60</v>
      </c>
      <c r="B61" t="s">
        <v>78</v>
      </c>
      <c r="C61" t="s">
        <v>78</v>
      </c>
      <c r="D61">
        <v>0</v>
      </c>
      <c r="E61">
        <v>0</v>
      </c>
      <c r="F61">
        <v>0.68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0.32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61</v>
      </c>
      <c r="B62" t="s">
        <v>30</v>
      </c>
      <c r="C62" t="s">
        <v>30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0.04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0.96</v>
      </c>
      <c r="Z62">
        <v>0</v>
      </c>
    </row>
    <row r="63" spans="1:26">
      <c r="A63">
        <v>62</v>
      </c>
      <c r="B63" t="s">
        <v>46</v>
      </c>
      <c r="C63" t="s">
        <v>46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>
      <c r="A64">
        <v>63</v>
      </c>
      <c r="B64" t="s">
        <v>78</v>
      </c>
      <c r="C64" t="s">
        <v>78</v>
      </c>
      <c r="D64">
        <v>0</v>
      </c>
      <c r="E64">
        <v>0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64</v>
      </c>
      <c r="B65" t="s">
        <v>40</v>
      </c>
      <c r="C65" t="s">
        <v>40</v>
      </c>
      <c r="D65">
        <v>0</v>
      </c>
      <c r="E65">
        <v>0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>
      <c r="A66">
        <v>65</v>
      </c>
      <c r="B66" t="s">
        <v>21</v>
      </c>
      <c r="C66" t="s">
        <v>21</v>
      </c>
      <c r="D66">
        <v>0</v>
      </c>
      <c r="E66">
        <v>0</v>
      </c>
      <c r="F66">
        <v>0</v>
      </c>
      <c r="G66">
        <v>0</v>
      </c>
      <c r="H66">
        <v>0</v>
      </c>
      <c r="I66">
        <v>0.1</v>
      </c>
      <c r="J66">
        <v>0</v>
      </c>
      <c r="K66">
        <v>0</v>
      </c>
      <c r="L66">
        <v>0.64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0.01</v>
      </c>
      <c r="U66">
        <v>0</v>
      </c>
      <c r="V66">
        <v>0</v>
      </c>
      <c r="W66">
        <v>0</v>
      </c>
      <c r="X66">
        <v>0</v>
      </c>
      <c r="Y66">
        <v>0</v>
      </c>
      <c r="Z66">
        <v>0.25</v>
      </c>
    </row>
    <row r="67" spans="1:26">
      <c r="A67">
        <v>66</v>
      </c>
      <c r="B67" t="s">
        <v>21</v>
      </c>
      <c r="C67" t="s">
        <v>21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67</v>
      </c>
      <c r="B68" t="s">
        <v>21</v>
      </c>
      <c r="C68" t="s">
        <v>21</v>
      </c>
      <c r="D68">
        <v>0</v>
      </c>
      <c r="E68">
        <v>0</v>
      </c>
      <c r="F68">
        <v>0</v>
      </c>
      <c r="G68">
        <v>0</v>
      </c>
      <c r="H68">
        <v>0</v>
      </c>
      <c r="I68">
        <v>0.02</v>
      </c>
      <c r="J68">
        <v>0</v>
      </c>
      <c r="K68">
        <v>0</v>
      </c>
      <c r="L68">
        <v>0.96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0.02</v>
      </c>
      <c r="Z68">
        <v>0</v>
      </c>
    </row>
    <row r="69" spans="1:26">
      <c r="A69">
        <v>68</v>
      </c>
      <c r="B69" t="s">
        <v>21</v>
      </c>
      <c r="C69" t="s">
        <v>21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>
        <v>69</v>
      </c>
      <c r="B70" t="s">
        <v>30</v>
      </c>
      <c r="C70" t="s">
        <v>30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7.0000000000000007E-2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0.93</v>
      </c>
      <c r="Z70">
        <v>0</v>
      </c>
    </row>
    <row r="71" spans="1:26">
      <c r="A71">
        <v>70</v>
      </c>
      <c r="B71" t="s">
        <v>62</v>
      </c>
      <c r="C71" t="s">
        <v>62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0.06</v>
      </c>
      <c r="N71">
        <v>0.91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0.01</v>
      </c>
      <c r="W71">
        <v>0</v>
      </c>
      <c r="X71">
        <v>0.02</v>
      </c>
      <c r="Y71">
        <v>0</v>
      </c>
      <c r="Z71">
        <v>0</v>
      </c>
    </row>
    <row r="72" spans="1:26">
      <c r="A72">
        <v>71</v>
      </c>
      <c r="B72" t="s">
        <v>78</v>
      </c>
      <c r="C72" t="s">
        <v>78</v>
      </c>
      <c r="D72">
        <v>0</v>
      </c>
      <c r="E72">
        <v>0</v>
      </c>
      <c r="F72">
        <v>0.98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0.02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>
        <v>72</v>
      </c>
      <c r="B73" t="s">
        <v>131</v>
      </c>
      <c r="C73" t="s">
        <v>131</v>
      </c>
      <c r="D73">
        <v>0</v>
      </c>
      <c r="E73">
        <v>0.02</v>
      </c>
      <c r="F73">
        <v>0</v>
      </c>
      <c r="G73">
        <v>0</v>
      </c>
      <c r="H73">
        <v>0.02</v>
      </c>
      <c r="I73">
        <v>0</v>
      </c>
      <c r="J73">
        <v>0</v>
      </c>
      <c r="K73">
        <v>0</v>
      </c>
      <c r="L73">
        <v>0</v>
      </c>
      <c r="M73">
        <v>0.13</v>
      </c>
      <c r="N73">
        <v>0.08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0.05</v>
      </c>
      <c r="W73">
        <v>0</v>
      </c>
      <c r="X73">
        <v>0.7</v>
      </c>
      <c r="Y73">
        <v>0</v>
      </c>
      <c r="Z73">
        <v>0</v>
      </c>
    </row>
    <row r="74" spans="1:26">
      <c r="A74">
        <v>73</v>
      </c>
      <c r="B74" t="s">
        <v>40</v>
      </c>
      <c r="C74" t="s">
        <v>40</v>
      </c>
      <c r="D74">
        <v>0</v>
      </c>
      <c r="E74">
        <v>0</v>
      </c>
      <c r="F74">
        <v>0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74</v>
      </c>
      <c r="B75" t="s">
        <v>135</v>
      </c>
      <c r="C75" t="s">
        <v>135</v>
      </c>
      <c r="D75">
        <v>0</v>
      </c>
      <c r="E75">
        <v>0</v>
      </c>
      <c r="F75">
        <v>0</v>
      </c>
      <c r="G75">
        <v>0.15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0.85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138</v>
      </c>
      <c r="C76" t="s">
        <v>138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0.7</v>
      </c>
      <c r="U76">
        <v>0</v>
      </c>
      <c r="V76">
        <v>0</v>
      </c>
      <c r="W76">
        <v>0.3</v>
      </c>
      <c r="X76">
        <v>0</v>
      </c>
      <c r="Y76">
        <v>0</v>
      </c>
      <c r="Z76">
        <v>0</v>
      </c>
    </row>
    <row r="77" spans="1:26">
      <c r="A77">
        <v>76</v>
      </c>
      <c r="B77" t="s">
        <v>21</v>
      </c>
      <c r="C77" t="s">
        <v>21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0.99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0.01</v>
      </c>
      <c r="Z77">
        <v>0</v>
      </c>
    </row>
    <row r="78" spans="1:26">
      <c r="A78">
        <v>77</v>
      </c>
      <c r="B78" t="s">
        <v>30</v>
      </c>
      <c r="C78" t="s">
        <v>30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1</v>
      </c>
      <c r="Z78">
        <v>0</v>
      </c>
    </row>
    <row r="79" spans="1:26">
      <c r="A79">
        <v>78</v>
      </c>
      <c r="B79" t="s">
        <v>25</v>
      </c>
      <c r="C79" t="s">
        <v>25</v>
      </c>
      <c r="D79">
        <v>0</v>
      </c>
      <c r="E79">
        <v>0</v>
      </c>
      <c r="F79">
        <v>0</v>
      </c>
      <c r="G79">
        <v>0</v>
      </c>
      <c r="H79">
        <v>0</v>
      </c>
      <c r="I79">
        <v>0.99</v>
      </c>
      <c r="J79">
        <v>0</v>
      </c>
      <c r="K79">
        <v>0</v>
      </c>
      <c r="L79">
        <v>0.01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>
        <v>79</v>
      </c>
      <c r="B80" t="s">
        <v>30</v>
      </c>
      <c r="C80" t="s">
        <v>30</v>
      </c>
      <c r="D80">
        <v>0</v>
      </c>
      <c r="E80">
        <v>0</v>
      </c>
      <c r="F80">
        <v>0</v>
      </c>
      <c r="G80">
        <v>0</v>
      </c>
      <c r="H80">
        <v>0</v>
      </c>
      <c r="I80">
        <v>0.01</v>
      </c>
      <c r="J80">
        <v>0</v>
      </c>
      <c r="K80">
        <v>0</v>
      </c>
      <c r="L80">
        <v>0.03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0.96</v>
      </c>
      <c r="Z80">
        <v>0</v>
      </c>
    </row>
    <row r="81" spans="1:26">
      <c r="A81">
        <v>80</v>
      </c>
      <c r="B81" t="s">
        <v>138</v>
      </c>
      <c r="C81" t="s">
        <v>138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0.99</v>
      </c>
      <c r="U81">
        <v>0</v>
      </c>
      <c r="V81">
        <v>0</v>
      </c>
      <c r="W81">
        <v>0.01</v>
      </c>
      <c r="X81">
        <v>0</v>
      </c>
      <c r="Y81">
        <v>0</v>
      </c>
      <c r="Z81">
        <v>0</v>
      </c>
    </row>
    <row r="82" spans="1:26">
      <c r="A82">
        <v>81</v>
      </c>
      <c r="B82" t="s">
        <v>46</v>
      </c>
      <c r="C82" t="s">
        <v>46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0.99</v>
      </c>
      <c r="R82">
        <v>0</v>
      </c>
      <c r="S82">
        <v>0</v>
      </c>
      <c r="T82">
        <v>0.01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82</v>
      </c>
      <c r="B83" t="s">
        <v>30</v>
      </c>
      <c r="C83" t="s">
        <v>30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1</v>
      </c>
      <c r="Z83">
        <v>0</v>
      </c>
    </row>
    <row r="84" spans="1:26">
      <c r="A84">
        <v>83</v>
      </c>
      <c r="B84" t="s">
        <v>149</v>
      </c>
      <c r="C84" t="s">
        <v>149</v>
      </c>
      <c r="D84">
        <v>0</v>
      </c>
      <c r="E84">
        <v>0</v>
      </c>
      <c r="F84">
        <v>0</v>
      </c>
      <c r="G84">
        <v>0</v>
      </c>
      <c r="H84">
        <v>0</v>
      </c>
      <c r="I84">
        <v>0.21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0.79</v>
      </c>
    </row>
    <row r="85" spans="1:26">
      <c r="A85">
        <v>84</v>
      </c>
      <c r="B85" t="s">
        <v>46</v>
      </c>
      <c r="C85" t="s">
        <v>46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85</v>
      </c>
      <c r="B86" t="s">
        <v>135</v>
      </c>
      <c r="C86" t="s">
        <v>135</v>
      </c>
      <c r="D86">
        <v>0</v>
      </c>
      <c r="E86">
        <v>0</v>
      </c>
      <c r="F86">
        <v>0</v>
      </c>
      <c r="G86">
        <v>0.39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0.61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86</v>
      </c>
      <c r="B87" t="s">
        <v>149</v>
      </c>
      <c r="C87" t="s">
        <v>149</v>
      </c>
      <c r="D87">
        <v>0</v>
      </c>
      <c r="E87">
        <v>0</v>
      </c>
      <c r="F87">
        <v>0</v>
      </c>
      <c r="G87">
        <v>0</v>
      </c>
      <c r="H87">
        <v>0</v>
      </c>
      <c r="I87">
        <v>0.4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0.6</v>
      </c>
    </row>
    <row r="88" spans="1:26">
      <c r="A88">
        <v>87</v>
      </c>
      <c r="B88" t="s">
        <v>40</v>
      </c>
      <c r="C88" t="s">
        <v>40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88</v>
      </c>
      <c r="B89" t="s">
        <v>40</v>
      </c>
      <c r="C89" t="s">
        <v>40</v>
      </c>
      <c r="D89">
        <v>0</v>
      </c>
      <c r="E89">
        <v>0</v>
      </c>
      <c r="F89">
        <v>0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89</v>
      </c>
      <c r="B90" t="s">
        <v>99</v>
      </c>
      <c r="C90" t="s">
        <v>99</v>
      </c>
      <c r="D90">
        <v>0.97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0.01</v>
      </c>
      <c r="M90">
        <v>0</v>
      </c>
      <c r="N90">
        <v>0</v>
      </c>
      <c r="O90">
        <v>0.02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90</v>
      </c>
      <c r="B91" t="s">
        <v>21</v>
      </c>
      <c r="C91" t="s">
        <v>21</v>
      </c>
      <c r="D91">
        <v>0.01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0.63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0.36</v>
      </c>
      <c r="Z91">
        <v>0</v>
      </c>
    </row>
    <row r="92" spans="1:26">
      <c r="A92">
        <v>91</v>
      </c>
      <c r="B92" t="s">
        <v>40</v>
      </c>
      <c r="C92" t="s">
        <v>40</v>
      </c>
      <c r="D92">
        <v>0</v>
      </c>
      <c r="E92">
        <v>0</v>
      </c>
      <c r="F92">
        <v>0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92</v>
      </c>
      <c r="B93" t="s">
        <v>78</v>
      </c>
      <c r="C93" t="s">
        <v>78</v>
      </c>
      <c r="D93">
        <v>0</v>
      </c>
      <c r="E93">
        <v>0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93</v>
      </c>
      <c r="B94" t="s">
        <v>35</v>
      </c>
      <c r="C94" t="s">
        <v>35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0.99</v>
      </c>
      <c r="P94">
        <v>0</v>
      </c>
      <c r="Q94">
        <v>0.01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94</v>
      </c>
      <c r="B95" t="s">
        <v>46</v>
      </c>
      <c r="C95" t="s">
        <v>46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1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95</v>
      </c>
      <c r="B96" t="s">
        <v>40</v>
      </c>
      <c r="C96" t="s">
        <v>40</v>
      </c>
      <c r="D96">
        <v>0</v>
      </c>
      <c r="E96">
        <v>0</v>
      </c>
      <c r="F96">
        <v>0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96</v>
      </c>
      <c r="B97" t="s">
        <v>46</v>
      </c>
      <c r="C97" t="s">
        <v>46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97</v>
      </c>
      <c r="B98" t="s">
        <v>30</v>
      </c>
      <c r="C98" t="s">
        <v>30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0.02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0.98</v>
      </c>
      <c r="Z98">
        <v>0</v>
      </c>
    </row>
    <row r="99" spans="1:26">
      <c r="A99">
        <v>98</v>
      </c>
      <c r="B99" t="s">
        <v>99</v>
      </c>
      <c r="C99" t="s">
        <v>99</v>
      </c>
      <c r="D99">
        <v>1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99</v>
      </c>
      <c r="B100" t="s">
        <v>40</v>
      </c>
      <c r="C100" t="s">
        <v>40</v>
      </c>
      <c r="D100">
        <v>0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>
      <c r="A101">
        <v>100</v>
      </c>
      <c r="B101" t="s">
        <v>25</v>
      </c>
      <c r="C101" t="s">
        <v>25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0.76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0.24</v>
      </c>
    </row>
    <row r="102" spans="1:26">
      <c r="A102">
        <v>101</v>
      </c>
      <c r="B102" t="s">
        <v>73</v>
      </c>
      <c r="C102" t="s">
        <v>73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0.15</v>
      </c>
      <c r="U102">
        <v>0</v>
      </c>
      <c r="V102">
        <v>0</v>
      </c>
      <c r="W102">
        <v>0.85</v>
      </c>
      <c r="X102">
        <v>0</v>
      </c>
      <c r="Y102">
        <v>0</v>
      </c>
      <c r="Z102">
        <v>0</v>
      </c>
    </row>
    <row r="103" spans="1:26">
      <c r="A103">
        <v>102</v>
      </c>
      <c r="B103" t="s">
        <v>170</v>
      </c>
      <c r="C103" t="s">
        <v>170</v>
      </c>
      <c r="D103">
        <v>0</v>
      </c>
      <c r="E103">
        <v>0.01</v>
      </c>
      <c r="F103">
        <v>0</v>
      </c>
      <c r="G103">
        <v>0</v>
      </c>
      <c r="H103">
        <v>0.01</v>
      </c>
      <c r="I103">
        <v>0</v>
      </c>
      <c r="J103">
        <v>0</v>
      </c>
      <c r="K103">
        <v>0</v>
      </c>
      <c r="L103">
        <v>0</v>
      </c>
      <c r="M103">
        <v>0.31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0.56999999999999995</v>
      </c>
      <c r="W103">
        <v>0</v>
      </c>
      <c r="X103">
        <v>0.1</v>
      </c>
      <c r="Y103">
        <v>0</v>
      </c>
      <c r="Z103">
        <v>0</v>
      </c>
    </row>
    <row r="104" spans="1:26">
      <c r="A104">
        <v>103</v>
      </c>
      <c r="B104" t="s">
        <v>40</v>
      </c>
      <c r="C104" t="s">
        <v>40</v>
      </c>
      <c r="D104">
        <v>0</v>
      </c>
      <c r="E104">
        <v>0</v>
      </c>
      <c r="F104">
        <v>0</v>
      </c>
      <c r="G104">
        <v>0.89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0.11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>
      <c r="A105">
        <v>104</v>
      </c>
      <c r="B105" t="s">
        <v>40</v>
      </c>
      <c r="C105" t="s">
        <v>40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105</v>
      </c>
      <c r="B106" t="s">
        <v>46</v>
      </c>
      <c r="C106" t="s">
        <v>46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106</v>
      </c>
      <c r="B107" t="s">
        <v>21</v>
      </c>
      <c r="C107" t="s">
        <v>21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107</v>
      </c>
      <c r="B108" t="s">
        <v>40</v>
      </c>
      <c r="C108" t="s">
        <v>40</v>
      </c>
      <c r="D108">
        <v>0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108</v>
      </c>
      <c r="B109" t="s">
        <v>179</v>
      </c>
      <c r="C109" t="s">
        <v>179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>
      <c r="A110">
        <v>109</v>
      </c>
      <c r="B110" t="s">
        <v>40</v>
      </c>
      <c r="C110" t="s">
        <v>40</v>
      </c>
      <c r="D110">
        <v>0</v>
      </c>
      <c r="E110">
        <v>0</v>
      </c>
      <c r="F110">
        <v>0</v>
      </c>
      <c r="G110">
        <v>0.95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0.05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110</v>
      </c>
      <c r="B111" t="s">
        <v>40</v>
      </c>
      <c r="C111" t="s">
        <v>40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>
      <c r="A112">
        <v>111</v>
      </c>
      <c r="B112" t="s">
        <v>46</v>
      </c>
      <c r="C112" t="s">
        <v>46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112</v>
      </c>
      <c r="B113" t="s">
        <v>73</v>
      </c>
      <c r="C113" t="s">
        <v>73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0.27</v>
      </c>
      <c r="U113">
        <v>0</v>
      </c>
      <c r="V113">
        <v>0</v>
      </c>
      <c r="W113">
        <v>0.73</v>
      </c>
      <c r="X113">
        <v>0</v>
      </c>
      <c r="Y113">
        <v>0</v>
      </c>
      <c r="Z113">
        <v>0</v>
      </c>
    </row>
    <row r="114" spans="1:26">
      <c r="A114">
        <v>113</v>
      </c>
      <c r="B114" t="s">
        <v>73</v>
      </c>
      <c r="C114" t="s">
        <v>73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0.17</v>
      </c>
      <c r="U114">
        <v>0</v>
      </c>
      <c r="V114">
        <v>0</v>
      </c>
      <c r="W114">
        <v>0.83</v>
      </c>
      <c r="X114">
        <v>0</v>
      </c>
      <c r="Y114">
        <v>0</v>
      </c>
      <c r="Z114">
        <v>0</v>
      </c>
    </row>
    <row r="115" spans="1:26">
      <c r="A115">
        <v>114</v>
      </c>
      <c r="B115" t="s">
        <v>40</v>
      </c>
      <c r="C115" t="s">
        <v>40</v>
      </c>
      <c r="D115">
        <v>0</v>
      </c>
      <c r="E115">
        <v>0</v>
      </c>
      <c r="F115">
        <v>0</v>
      </c>
      <c r="G115">
        <v>0.99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0.01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21</v>
      </c>
      <c r="C116" t="s">
        <v>21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0.97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0.03</v>
      </c>
      <c r="Z116">
        <v>0</v>
      </c>
    </row>
    <row r="117" spans="1:26">
      <c r="A117">
        <v>116</v>
      </c>
      <c r="B117" t="s">
        <v>46</v>
      </c>
      <c r="C117" t="s">
        <v>46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117</v>
      </c>
      <c r="B118" t="s">
        <v>21</v>
      </c>
      <c r="C118" t="s">
        <v>21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>
      <c r="A119">
        <v>118</v>
      </c>
      <c r="B119" t="s">
        <v>30</v>
      </c>
      <c r="C119" t="s">
        <v>30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0.02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0.98</v>
      </c>
      <c r="Z119">
        <v>0</v>
      </c>
    </row>
    <row r="120" spans="1:26">
      <c r="A120">
        <v>119</v>
      </c>
      <c r="B120" t="s">
        <v>21</v>
      </c>
      <c r="C120" t="s">
        <v>21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0.04</v>
      </c>
      <c r="J120">
        <v>0</v>
      </c>
      <c r="K120">
        <v>0</v>
      </c>
      <c r="L120">
        <v>0.88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0.04</v>
      </c>
      <c r="Z120">
        <v>0.04</v>
      </c>
    </row>
    <row r="121" spans="1:26">
      <c r="A121">
        <v>120</v>
      </c>
      <c r="B121" t="s">
        <v>99</v>
      </c>
      <c r="C121" t="s">
        <v>99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121</v>
      </c>
      <c r="B122" t="s">
        <v>99</v>
      </c>
      <c r="C122" t="s">
        <v>99</v>
      </c>
      <c r="D122">
        <v>1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>
      <c r="A123">
        <v>122</v>
      </c>
      <c r="B123" t="s">
        <v>30</v>
      </c>
      <c r="C123" t="s">
        <v>30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0.12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0.88</v>
      </c>
      <c r="Z123">
        <v>0</v>
      </c>
    </row>
    <row r="124" spans="1:26">
      <c r="A124">
        <v>123</v>
      </c>
      <c r="B124" t="s">
        <v>35</v>
      </c>
      <c r="C124" t="s">
        <v>35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>
      <c r="A125">
        <v>124</v>
      </c>
      <c r="B125" t="s">
        <v>40</v>
      </c>
      <c r="C125" t="s">
        <v>40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125</v>
      </c>
      <c r="B126" t="s">
        <v>21</v>
      </c>
      <c r="C126" t="s">
        <v>21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>
      <c r="A127">
        <v>126</v>
      </c>
      <c r="B127" t="s">
        <v>25</v>
      </c>
      <c r="C127" t="s">
        <v>25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0.99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0.01</v>
      </c>
    </row>
    <row r="128" spans="1:26">
      <c r="A128">
        <v>127</v>
      </c>
      <c r="B128" t="s">
        <v>135</v>
      </c>
      <c r="C128" t="s">
        <v>135</v>
      </c>
      <c r="D128">
        <v>0</v>
      </c>
      <c r="E128">
        <v>0</v>
      </c>
      <c r="F128">
        <v>0</v>
      </c>
      <c r="G128">
        <v>0.33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0.67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>
      <c r="A129">
        <v>128</v>
      </c>
      <c r="B129" t="s">
        <v>73</v>
      </c>
      <c r="C129" t="s">
        <v>73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0.05</v>
      </c>
      <c r="U129">
        <v>0</v>
      </c>
      <c r="V129">
        <v>0</v>
      </c>
      <c r="W129">
        <v>0.95</v>
      </c>
      <c r="X129">
        <v>0</v>
      </c>
      <c r="Y129">
        <v>0</v>
      </c>
      <c r="Z129">
        <v>0</v>
      </c>
    </row>
    <row r="130" spans="1:26">
      <c r="A130">
        <v>129</v>
      </c>
      <c r="B130" t="s">
        <v>21</v>
      </c>
      <c r="C130" t="s">
        <v>21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1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130</v>
      </c>
      <c r="B131" t="s">
        <v>35</v>
      </c>
      <c r="C131" t="s">
        <v>35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131</v>
      </c>
      <c r="B132" t="s">
        <v>30</v>
      </c>
      <c r="C132" t="s">
        <v>30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1</v>
      </c>
      <c r="Z132">
        <v>0</v>
      </c>
    </row>
    <row r="133" spans="1:26">
      <c r="A133">
        <v>132</v>
      </c>
      <c r="B133" t="s">
        <v>40</v>
      </c>
      <c r="C133" t="s">
        <v>40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133</v>
      </c>
      <c r="B134" t="s">
        <v>206</v>
      </c>
      <c r="C134" t="s">
        <v>206</v>
      </c>
      <c r="D134">
        <v>0</v>
      </c>
      <c r="E134">
        <v>0</v>
      </c>
      <c r="F134">
        <v>0</v>
      </c>
      <c r="G134">
        <v>0</v>
      </c>
      <c r="H134">
        <v>0.9</v>
      </c>
      <c r="I134">
        <v>0</v>
      </c>
      <c r="J134">
        <v>0</v>
      </c>
      <c r="K134">
        <v>0</v>
      </c>
      <c r="L134">
        <v>0</v>
      </c>
      <c r="M134">
        <v>0.09</v>
      </c>
      <c r="N134">
        <v>0.01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>
      <c r="A135">
        <v>134</v>
      </c>
      <c r="B135" t="s">
        <v>179</v>
      </c>
      <c r="C135" t="s">
        <v>179</v>
      </c>
      <c r="D135">
        <v>0.01</v>
      </c>
      <c r="E135">
        <v>0.01</v>
      </c>
      <c r="F135">
        <v>0</v>
      </c>
      <c r="G135">
        <v>0</v>
      </c>
      <c r="H135">
        <v>0.02</v>
      </c>
      <c r="I135">
        <v>0</v>
      </c>
      <c r="J135">
        <v>0</v>
      </c>
      <c r="K135">
        <v>0.01</v>
      </c>
      <c r="L135">
        <v>0</v>
      </c>
      <c r="M135">
        <v>0</v>
      </c>
      <c r="N135">
        <v>0.01</v>
      </c>
      <c r="O135">
        <v>0</v>
      </c>
      <c r="P135">
        <v>0.94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135</v>
      </c>
      <c r="B136" t="s">
        <v>30</v>
      </c>
      <c r="C136" t="s">
        <v>30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0.34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0.66</v>
      </c>
      <c r="Z136">
        <v>0</v>
      </c>
    </row>
    <row r="137" spans="1:26">
      <c r="A137">
        <v>136</v>
      </c>
      <c r="B137" t="s">
        <v>40</v>
      </c>
      <c r="C137" t="s">
        <v>40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137</v>
      </c>
      <c r="B138" t="s">
        <v>99</v>
      </c>
      <c r="C138" t="s">
        <v>99</v>
      </c>
      <c r="D138">
        <v>0.98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0.01</v>
      </c>
      <c r="W138">
        <v>0</v>
      </c>
      <c r="X138">
        <v>0.01</v>
      </c>
      <c r="Y138">
        <v>0</v>
      </c>
      <c r="Z138">
        <v>0</v>
      </c>
    </row>
    <row r="139" spans="1:26">
      <c r="A139">
        <v>138</v>
      </c>
      <c r="B139" t="s">
        <v>138</v>
      </c>
      <c r="C139" t="s">
        <v>138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0.98</v>
      </c>
      <c r="U139">
        <v>0</v>
      </c>
      <c r="V139">
        <v>0</v>
      </c>
      <c r="W139">
        <v>0.02</v>
      </c>
      <c r="X139">
        <v>0</v>
      </c>
      <c r="Y139">
        <v>0</v>
      </c>
      <c r="Z139">
        <v>0</v>
      </c>
    </row>
    <row r="140" spans="1:26">
      <c r="A140">
        <v>139</v>
      </c>
      <c r="B140" t="s">
        <v>30</v>
      </c>
      <c r="C140" t="s">
        <v>30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</v>
      </c>
      <c r="Z140">
        <v>0</v>
      </c>
    </row>
    <row r="141" spans="1:26">
      <c r="A141">
        <v>140</v>
      </c>
      <c r="B141" t="s">
        <v>30</v>
      </c>
      <c r="C141" t="s">
        <v>30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0.01</v>
      </c>
      <c r="J141">
        <v>0</v>
      </c>
      <c r="K141">
        <v>0</v>
      </c>
      <c r="L141">
        <v>0.02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0.97</v>
      </c>
      <c r="Z141">
        <v>0</v>
      </c>
    </row>
    <row r="142" spans="1:26">
      <c r="A142">
        <v>141</v>
      </c>
      <c r="B142" t="s">
        <v>46</v>
      </c>
      <c r="C142" t="s">
        <v>46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1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>
      <c r="A143">
        <v>142</v>
      </c>
      <c r="B143" t="s">
        <v>25</v>
      </c>
      <c r="C143" t="s">
        <v>25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0.96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0.04</v>
      </c>
    </row>
    <row r="144" spans="1:26">
      <c r="A144">
        <v>143</v>
      </c>
      <c r="B144" t="s">
        <v>138</v>
      </c>
      <c r="C144" t="s">
        <v>138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144</v>
      </c>
      <c r="B145" t="s">
        <v>40</v>
      </c>
      <c r="C145" t="s">
        <v>40</v>
      </c>
      <c r="D145">
        <v>0</v>
      </c>
      <c r="E145">
        <v>0</v>
      </c>
      <c r="F145">
        <v>0</v>
      </c>
      <c r="G145">
        <v>0.95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0.05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145</v>
      </c>
      <c r="B146" t="s">
        <v>30</v>
      </c>
      <c r="C146" t="s">
        <v>30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0.02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0.98</v>
      </c>
      <c r="Z146">
        <v>0</v>
      </c>
    </row>
    <row r="147" spans="1:26">
      <c r="A147">
        <v>146</v>
      </c>
      <c r="B147" t="s">
        <v>99</v>
      </c>
      <c r="C147" t="s">
        <v>99</v>
      </c>
      <c r="D147">
        <v>0.97</v>
      </c>
      <c r="E147">
        <v>0</v>
      </c>
      <c r="F147">
        <v>0.01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0.02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>
      <c r="A148">
        <v>147</v>
      </c>
      <c r="B148" t="s">
        <v>78</v>
      </c>
      <c r="C148" t="s">
        <v>78</v>
      </c>
      <c r="D148">
        <v>0</v>
      </c>
      <c r="E148">
        <v>0</v>
      </c>
      <c r="F148">
        <v>0.99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0.01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148</v>
      </c>
      <c r="B149" t="s">
        <v>30</v>
      </c>
      <c r="C149" t="s">
        <v>30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0.04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0.96</v>
      </c>
      <c r="Z149">
        <v>0</v>
      </c>
    </row>
    <row r="150" spans="1:26">
      <c r="A150">
        <v>149</v>
      </c>
      <c r="B150" t="s">
        <v>21</v>
      </c>
      <c r="C150" t="s">
        <v>21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0.97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0.03</v>
      </c>
      <c r="Z150">
        <v>0</v>
      </c>
    </row>
    <row r="151" spans="1:26">
      <c r="A151">
        <v>150</v>
      </c>
      <c r="B151" t="s">
        <v>149</v>
      </c>
      <c r="C151" t="s">
        <v>149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0.41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0.59</v>
      </c>
    </row>
    <row r="152" spans="1:26">
      <c r="A152">
        <v>151</v>
      </c>
      <c r="B152" t="s">
        <v>21</v>
      </c>
      <c r="C152" t="s">
        <v>21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1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>
      <c r="A153">
        <v>152</v>
      </c>
      <c r="B153" t="s">
        <v>179</v>
      </c>
      <c r="C153" t="s">
        <v>179</v>
      </c>
      <c r="D153">
        <v>0</v>
      </c>
      <c r="E153">
        <v>0</v>
      </c>
      <c r="F153">
        <v>0.02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0.01</v>
      </c>
      <c r="O153">
        <v>0</v>
      </c>
      <c r="P153">
        <v>0.96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0.01</v>
      </c>
      <c r="W153">
        <v>0</v>
      </c>
      <c r="X153">
        <v>0</v>
      </c>
      <c r="Y153">
        <v>0</v>
      </c>
      <c r="Z153">
        <v>0</v>
      </c>
    </row>
    <row r="154" spans="1:26">
      <c r="A154">
        <v>153</v>
      </c>
      <c r="B154" t="s">
        <v>21</v>
      </c>
      <c r="C154" t="s">
        <v>21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154</v>
      </c>
      <c r="B155" t="s">
        <v>25</v>
      </c>
      <c r="C155" t="s">
        <v>25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1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>
      <c r="A156">
        <v>155</v>
      </c>
      <c r="B156" t="s">
        <v>25</v>
      </c>
      <c r="C156" t="s">
        <v>25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0.94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0.06</v>
      </c>
    </row>
    <row r="157" spans="1:26">
      <c r="A157">
        <v>156</v>
      </c>
      <c r="B157" t="s">
        <v>231</v>
      </c>
      <c r="C157" t="s">
        <v>231</v>
      </c>
      <c r="D157">
        <v>0.02</v>
      </c>
      <c r="E157">
        <v>0.73</v>
      </c>
      <c r="F157">
        <v>0.01</v>
      </c>
      <c r="G157">
        <v>0.01</v>
      </c>
      <c r="H157">
        <v>0.05</v>
      </c>
      <c r="I157">
        <v>0</v>
      </c>
      <c r="J157">
        <v>0</v>
      </c>
      <c r="K157">
        <v>0.01</v>
      </c>
      <c r="L157">
        <v>0</v>
      </c>
      <c r="M157">
        <v>0.03</v>
      </c>
      <c r="N157">
        <v>0.03</v>
      </c>
      <c r="O157">
        <v>0.01</v>
      </c>
      <c r="P157">
        <v>0.01</v>
      </c>
      <c r="Q157">
        <v>0</v>
      </c>
      <c r="R157">
        <v>0</v>
      </c>
      <c r="S157">
        <v>0</v>
      </c>
      <c r="T157">
        <v>0.01</v>
      </c>
      <c r="U157">
        <v>0</v>
      </c>
      <c r="V157">
        <v>0</v>
      </c>
      <c r="W157">
        <v>0</v>
      </c>
      <c r="X157">
        <v>0.08</v>
      </c>
      <c r="Y157">
        <v>0</v>
      </c>
      <c r="Z157">
        <v>0</v>
      </c>
    </row>
    <row r="158" spans="1:26">
      <c r="A158">
        <v>157</v>
      </c>
      <c r="B158" t="s">
        <v>46</v>
      </c>
      <c r="C158" t="s">
        <v>46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158</v>
      </c>
      <c r="B159" t="s">
        <v>46</v>
      </c>
      <c r="C159" t="s">
        <v>46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0.01</v>
      </c>
      <c r="Q159">
        <v>0.99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>
      <c r="A160">
        <v>159</v>
      </c>
      <c r="B160" t="s">
        <v>21</v>
      </c>
      <c r="C160" t="s">
        <v>21</v>
      </c>
      <c r="D160">
        <v>0</v>
      </c>
      <c r="E160">
        <v>0</v>
      </c>
      <c r="F160">
        <v>0.02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0.98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>
      <c r="A161">
        <v>160</v>
      </c>
      <c r="B161" t="s">
        <v>46</v>
      </c>
      <c r="C161" t="s">
        <v>46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1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161</v>
      </c>
      <c r="B162" t="s">
        <v>21</v>
      </c>
      <c r="C162" t="s">
        <v>21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162</v>
      </c>
      <c r="B163" t="s">
        <v>73</v>
      </c>
      <c r="C163" t="s">
        <v>73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0.19</v>
      </c>
      <c r="U163">
        <v>0</v>
      </c>
      <c r="V163">
        <v>0</v>
      </c>
      <c r="W163">
        <v>0.81</v>
      </c>
      <c r="X163">
        <v>0</v>
      </c>
      <c r="Y163">
        <v>0</v>
      </c>
      <c r="Z163">
        <v>0</v>
      </c>
    </row>
    <row r="164" spans="1:26">
      <c r="A164">
        <v>163</v>
      </c>
      <c r="B164" t="s">
        <v>21</v>
      </c>
      <c r="C164" t="s">
        <v>21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0.74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0.26</v>
      </c>
      <c r="Z164">
        <v>0</v>
      </c>
    </row>
    <row r="165" spans="1:26">
      <c r="A165">
        <v>164</v>
      </c>
      <c r="B165" t="s">
        <v>21</v>
      </c>
      <c r="C165" t="s">
        <v>21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>
      <c r="A166">
        <v>165</v>
      </c>
      <c r="B166" t="s">
        <v>30</v>
      </c>
      <c r="C166" t="s">
        <v>30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0.02</v>
      </c>
      <c r="J166">
        <v>0</v>
      </c>
      <c r="K166">
        <v>0</v>
      </c>
      <c r="L166">
        <v>0.28000000000000003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0.7</v>
      </c>
      <c r="Z166">
        <v>0</v>
      </c>
    </row>
    <row r="167" spans="1:26">
      <c r="A167">
        <v>166</v>
      </c>
      <c r="B167" t="s">
        <v>40</v>
      </c>
      <c r="C167" t="s">
        <v>40</v>
      </c>
      <c r="D167">
        <v>0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>
      <c r="A168">
        <v>167</v>
      </c>
      <c r="B168" t="s">
        <v>35</v>
      </c>
      <c r="C168" t="s">
        <v>35</v>
      </c>
      <c r="D168">
        <v>0</v>
      </c>
      <c r="E168">
        <v>0.01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0.01</v>
      </c>
      <c r="L168">
        <v>0</v>
      </c>
      <c r="M168">
        <v>0</v>
      </c>
      <c r="N168">
        <v>0</v>
      </c>
      <c r="O168">
        <v>0.97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0.01</v>
      </c>
    </row>
    <row r="169" spans="1:26">
      <c r="A169">
        <v>168</v>
      </c>
      <c r="B169" t="s">
        <v>170</v>
      </c>
      <c r="C169" t="s">
        <v>170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0.01</v>
      </c>
      <c r="N169">
        <v>0.06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0.71</v>
      </c>
      <c r="W169">
        <v>0</v>
      </c>
      <c r="X169">
        <v>0.22</v>
      </c>
      <c r="Y169">
        <v>0</v>
      </c>
      <c r="Z169">
        <v>0</v>
      </c>
    </row>
    <row r="170" spans="1:26">
      <c r="A170">
        <v>169</v>
      </c>
      <c r="B170" t="s">
        <v>179</v>
      </c>
      <c r="C170" t="s">
        <v>179</v>
      </c>
      <c r="D170">
        <v>0</v>
      </c>
      <c r="E170">
        <v>0</v>
      </c>
      <c r="F170">
        <v>0</v>
      </c>
      <c r="G170">
        <v>0</v>
      </c>
      <c r="H170">
        <v>0.01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0.99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170</v>
      </c>
      <c r="B171" t="s">
        <v>30</v>
      </c>
      <c r="C171" t="s">
        <v>30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1</v>
      </c>
      <c r="Z171">
        <v>0</v>
      </c>
    </row>
    <row r="172" spans="1:26">
      <c r="A172">
        <v>171</v>
      </c>
      <c r="B172" t="s">
        <v>138</v>
      </c>
      <c r="C172" t="s">
        <v>138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0.87</v>
      </c>
      <c r="U172">
        <v>0</v>
      </c>
      <c r="V172">
        <v>0</v>
      </c>
      <c r="W172">
        <v>0.13</v>
      </c>
      <c r="X172">
        <v>0</v>
      </c>
      <c r="Y172">
        <v>0</v>
      </c>
      <c r="Z172">
        <v>0</v>
      </c>
    </row>
    <row r="173" spans="1:26">
      <c r="A173">
        <v>172</v>
      </c>
      <c r="B173" t="s">
        <v>46</v>
      </c>
      <c r="C173" t="s">
        <v>46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1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173</v>
      </c>
      <c r="B174" t="s">
        <v>30</v>
      </c>
      <c r="C174" t="s">
        <v>30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0.02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0.98</v>
      </c>
      <c r="Z174">
        <v>0</v>
      </c>
    </row>
    <row r="175" spans="1:26">
      <c r="A175">
        <v>174</v>
      </c>
      <c r="B175" t="s">
        <v>135</v>
      </c>
      <c r="C175" t="s">
        <v>135</v>
      </c>
      <c r="D175">
        <v>0</v>
      </c>
      <c r="E175">
        <v>0</v>
      </c>
      <c r="F175">
        <v>0</v>
      </c>
      <c r="G175">
        <v>0.16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0.84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175</v>
      </c>
      <c r="B176" t="s">
        <v>206</v>
      </c>
      <c r="C176" t="s">
        <v>206</v>
      </c>
      <c r="D176">
        <v>0</v>
      </c>
      <c r="E176">
        <v>0.22</v>
      </c>
      <c r="F176">
        <v>0</v>
      </c>
      <c r="G176">
        <v>0</v>
      </c>
      <c r="H176">
        <v>0.62</v>
      </c>
      <c r="I176">
        <v>0</v>
      </c>
      <c r="J176">
        <v>0</v>
      </c>
      <c r="K176">
        <v>0</v>
      </c>
      <c r="L176">
        <v>0</v>
      </c>
      <c r="M176">
        <v>0.14000000000000001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0.02</v>
      </c>
      <c r="W176">
        <v>0</v>
      </c>
      <c r="X176">
        <v>0</v>
      </c>
      <c r="Y176">
        <v>0</v>
      </c>
      <c r="Z176">
        <v>0</v>
      </c>
    </row>
    <row r="177" spans="1:26">
      <c r="A177">
        <v>176</v>
      </c>
      <c r="B177" t="s">
        <v>78</v>
      </c>
      <c r="C177" t="s">
        <v>78</v>
      </c>
      <c r="D177">
        <v>0</v>
      </c>
      <c r="E177">
        <v>0</v>
      </c>
      <c r="F177">
        <v>0.79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0.21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>
      <c r="A178">
        <v>177</v>
      </c>
      <c r="B178" t="s">
        <v>73</v>
      </c>
      <c r="C178" t="s">
        <v>73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0.1</v>
      </c>
      <c r="U178">
        <v>0</v>
      </c>
      <c r="V178">
        <v>0</v>
      </c>
      <c r="W178">
        <v>0.9</v>
      </c>
      <c r="X178">
        <v>0</v>
      </c>
      <c r="Y178">
        <v>0</v>
      </c>
      <c r="Z178">
        <v>0</v>
      </c>
    </row>
    <row r="179" spans="1:26">
      <c r="A179">
        <v>178</v>
      </c>
      <c r="B179" t="s">
        <v>30</v>
      </c>
      <c r="C179" t="s">
        <v>30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1</v>
      </c>
      <c r="Z179">
        <v>0</v>
      </c>
    </row>
    <row r="180" spans="1:26">
      <c r="A180">
        <v>179</v>
      </c>
      <c r="B180" t="s">
        <v>30</v>
      </c>
      <c r="C180" t="s">
        <v>30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1</v>
      </c>
      <c r="Z180">
        <v>0</v>
      </c>
    </row>
    <row r="181" spans="1:26">
      <c r="A181">
        <v>180</v>
      </c>
      <c r="B181" t="s">
        <v>73</v>
      </c>
      <c r="C181" t="s">
        <v>73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0.09</v>
      </c>
      <c r="U181">
        <v>0</v>
      </c>
      <c r="V181">
        <v>0</v>
      </c>
      <c r="W181">
        <v>0.91</v>
      </c>
      <c r="X181">
        <v>0</v>
      </c>
      <c r="Y181">
        <v>0</v>
      </c>
      <c r="Z181">
        <v>0</v>
      </c>
    </row>
    <row r="182" spans="1:26">
      <c r="A182">
        <v>181</v>
      </c>
      <c r="B182" t="s">
        <v>25</v>
      </c>
      <c r="C182" t="s">
        <v>25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0.74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0.26</v>
      </c>
    </row>
    <row r="183" spans="1:26">
      <c r="A183">
        <v>182</v>
      </c>
      <c r="B183" t="s">
        <v>73</v>
      </c>
      <c r="C183" t="s">
        <v>73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0.2</v>
      </c>
      <c r="U183">
        <v>0</v>
      </c>
      <c r="V183">
        <v>0</v>
      </c>
      <c r="W183">
        <v>0.8</v>
      </c>
      <c r="X183">
        <v>0</v>
      </c>
      <c r="Y183">
        <v>0</v>
      </c>
      <c r="Z183">
        <v>0</v>
      </c>
    </row>
    <row r="184" spans="1:26">
      <c r="A184">
        <v>183</v>
      </c>
      <c r="B184" t="s">
        <v>21</v>
      </c>
      <c r="C184" t="s">
        <v>21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184</v>
      </c>
      <c r="B185" t="s">
        <v>40</v>
      </c>
      <c r="C185" t="s">
        <v>40</v>
      </c>
      <c r="D185">
        <v>0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185</v>
      </c>
      <c r="B186" t="s">
        <v>40</v>
      </c>
      <c r="C186" t="s">
        <v>40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>
      <c r="A187">
        <v>186</v>
      </c>
      <c r="B187" t="s">
        <v>46</v>
      </c>
      <c r="C187" t="s">
        <v>46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>
      <c r="A188">
        <v>187</v>
      </c>
      <c r="B188" t="s">
        <v>21</v>
      </c>
      <c r="C188" t="s">
        <v>21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1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188</v>
      </c>
      <c r="B189" t="s">
        <v>40</v>
      </c>
      <c r="C189" t="s">
        <v>40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25</v>
      </c>
      <c r="C190" t="s">
        <v>25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0.92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0.08</v>
      </c>
    </row>
    <row r="191" spans="1:26">
      <c r="A191">
        <v>190</v>
      </c>
      <c r="B191" t="s">
        <v>78</v>
      </c>
      <c r="C191" t="s">
        <v>78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>
      <c r="A192">
        <v>191</v>
      </c>
      <c r="B192" t="s">
        <v>78</v>
      </c>
      <c r="C192" t="s">
        <v>78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192</v>
      </c>
      <c r="B193" t="s">
        <v>40</v>
      </c>
      <c r="C193" t="s">
        <v>40</v>
      </c>
      <c r="D193">
        <v>0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193</v>
      </c>
      <c r="B194" t="s">
        <v>21</v>
      </c>
      <c r="C194" t="s">
        <v>21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1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194</v>
      </c>
      <c r="B195" t="s">
        <v>99</v>
      </c>
      <c r="C195" t="s">
        <v>99</v>
      </c>
      <c r="D195">
        <v>0.99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0.01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>
      <c r="A196">
        <v>195</v>
      </c>
      <c r="B196" t="s">
        <v>268</v>
      </c>
      <c r="C196" t="s">
        <v>268</v>
      </c>
      <c r="D196">
        <v>0</v>
      </c>
      <c r="E196">
        <v>0</v>
      </c>
      <c r="F196">
        <v>0</v>
      </c>
      <c r="G196">
        <v>0</v>
      </c>
      <c r="H196">
        <v>0.02</v>
      </c>
      <c r="I196">
        <v>0</v>
      </c>
      <c r="J196">
        <v>0</v>
      </c>
      <c r="K196">
        <v>0</v>
      </c>
      <c r="L196">
        <v>0</v>
      </c>
      <c r="M196">
        <v>0.55000000000000004</v>
      </c>
      <c r="N196">
        <v>0.38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0.05</v>
      </c>
      <c r="W196">
        <v>0</v>
      </c>
      <c r="X196">
        <v>0</v>
      </c>
      <c r="Y196">
        <v>0</v>
      </c>
      <c r="Z196">
        <v>0</v>
      </c>
    </row>
    <row r="197" spans="1:26">
      <c r="A197">
        <v>196</v>
      </c>
      <c r="B197" t="s">
        <v>40</v>
      </c>
      <c r="C197" t="s">
        <v>40</v>
      </c>
      <c r="D197">
        <v>0</v>
      </c>
      <c r="E197">
        <v>0</v>
      </c>
      <c r="F197">
        <v>0</v>
      </c>
      <c r="G197">
        <v>0.97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0.03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>
      <c r="A198">
        <v>197</v>
      </c>
      <c r="B198" t="s">
        <v>46</v>
      </c>
      <c r="C198" t="s">
        <v>46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>
      <c r="A199">
        <v>198</v>
      </c>
      <c r="B199" t="s">
        <v>46</v>
      </c>
      <c r="C199" t="s">
        <v>46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1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>
      <c r="A200">
        <v>199</v>
      </c>
      <c r="B200" t="s">
        <v>73</v>
      </c>
      <c r="C200" t="s">
        <v>73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0.11</v>
      </c>
      <c r="U200">
        <v>0</v>
      </c>
      <c r="V200">
        <v>0</v>
      </c>
      <c r="W200">
        <v>0.89</v>
      </c>
      <c r="X200">
        <v>0</v>
      </c>
      <c r="Y200">
        <v>0</v>
      </c>
      <c r="Z200">
        <v>0</v>
      </c>
    </row>
    <row r="201" spans="1:26">
      <c r="A201">
        <v>200</v>
      </c>
      <c r="B201" t="s">
        <v>40</v>
      </c>
      <c r="C201" t="s">
        <v>40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40</v>
      </c>
      <c r="C202" t="s">
        <v>40</v>
      </c>
      <c r="D202">
        <v>0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>
      <c r="A203">
        <v>202</v>
      </c>
      <c r="B203" t="s">
        <v>78</v>
      </c>
      <c r="C203" t="s">
        <v>78</v>
      </c>
      <c r="D203">
        <v>0</v>
      </c>
      <c r="E203">
        <v>0</v>
      </c>
      <c r="F203">
        <v>0.93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7.0000000000000007E-2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>
      <c r="A204">
        <v>203</v>
      </c>
      <c r="B204" t="s">
        <v>21</v>
      </c>
      <c r="C204" t="s">
        <v>21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0.13</v>
      </c>
      <c r="J204">
        <v>0</v>
      </c>
      <c r="K204">
        <v>0</v>
      </c>
      <c r="L204">
        <v>0.87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>
      <c r="A205">
        <v>204</v>
      </c>
      <c r="B205" t="s">
        <v>62</v>
      </c>
      <c r="C205" t="s">
        <v>62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0.03</v>
      </c>
      <c r="N205">
        <v>0.97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>
      <c r="A206">
        <v>205</v>
      </c>
      <c r="B206" t="s">
        <v>40</v>
      </c>
      <c r="C206" t="s">
        <v>40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>
      <c r="A207">
        <v>206</v>
      </c>
      <c r="B207" t="s">
        <v>21</v>
      </c>
      <c r="C207" t="s">
        <v>21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>
      <c r="A208">
        <v>207</v>
      </c>
      <c r="B208" t="s">
        <v>30</v>
      </c>
      <c r="C208" t="s">
        <v>30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1</v>
      </c>
      <c r="Z208">
        <v>0</v>
      </c>
    </row>
    <row r="209" spans="1:26">
      <c r="A209">
        <v>208</v>
      </c>
      <c r="B209" t="s">
        <v>268</v>
      </c>
      <c r="C209" t="s">
        <v>268</v>
      </c>
      <c r="D209">
        <v>0</v>
      </c>
      <c r="E209">
        <v>0</v>
      </c>
      <c r="F209">
        <v>0</v>
      </c>
      <c r="G209">
        <v>0</v>
      </c>
      <c r="H209">
        <v>0.32</v>
      </c>
      <c r="I209">
        <v>0</v>
      </c>
      <c r="J209">
        <v>0</v>
      </c>
      <c r="K209">
        <v>0</v>
      </c>
      <c r="L209">
        <v>0</v>
      </c>
      <c r="M209">
        <v>0.54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0.14000000000000001</v>
      </c>
      <c r="W209">
        <v>0</v>
      </c>
      <c r="X209">
        <v>0</v>
      </c>
      <c r="Y209">
        <v>0</v>
      </c>
      <c r="Z209">
        <v>0</v>
      </c>
    </row>
    <row r="210" spans="1:26">
      <c r="A210">
        <v>209</v>
      </c>
      <c r="B210" t="s">
        <v>25</v>
      </c>
      <c r="C210" t="s">
        <v>25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>
      <c r="A211">
        <v>210</v>
      </c>
      <c r="B211" t="s">
        <v>21</v>
      </c>
      <c r="C211" t="s">
        <v>21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211</v>
      </c>
      <c r="B212" t="s">
        <v>25</v>
      </c>
      <c r="C212" t="s">
        <v>25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0.95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0.05</v>
      </c>
    </row>
    <row r="213" spans="1:26">
      <c r="A213">
        <v>212</v>
      </c>
      <c r="B213" t="s">
        <v>25</v>
      </c>
      <c r="C213" t="s">
        <v>25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1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>
      <c r="A214">
        <v>213</v>
      </c>
      <c r="B214" t="s">
        <v>73</v>
      </c>
      <c r="C214" t="s">
        <v>73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0.05</v>
      </c>
      <c r="U214">
        <v>0</v>
      </c>
      <c r="V214">
        <v>0</v>
      </c>
      <c r="W214">
        <v>0.95</v>
      </c>
      <c r="X214">
        <v>0</v>
      </c>
      <c r="Y214">
        <v>0</v>
      </c>
      <c r="Z214">
        <v>0</v>
      </c>
    </row>
    <row r="215" spans="1:26">
      <c r="A215">
        <v>214</v>
      </c>
      <c r="B215" t="s">
        <v>21</v>
      </c>
      <c r="C215" t="s">
        <v>21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>
      <c r="A216">
        <v>215</v>
      </c>
      <c r="B216" t="s">
        <v>21</v>
      </c>
      <c r="C216" t="s">
        <v>21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1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>
      <c r="A217">
        <v>216</v>
      </c>
      <c r="B217" t="s">
        <v>25</v>
      </c>
      <c r="C217" t="s">
        <v>25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0.94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0.06</v>
      </c>
    </row>
    <row r="218" spans="1:26">
      <c r="A218">
        <v>217</v>
      </c>
      <c r="B218" t="s">
        <v>40</v>
      </c>
      <c r="C218" t="s">
        <v>40</v>
      </c>
      <c r="D218">
        <v>0</v>
      </c>
      <c r="E218">
        <v>0</v>
      </c>
      <c r="F218">
        <v>0</v>
      </c>
      <c r="G218">
        <v>0.97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0.03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>
      <c r="A219">
        <v>218</v>
      </c>
      <c r="B219" t="s">
        <v>40</v>
      </c>
      <c r="C219" t="s">
        <v>40</v>
      </c>
      <c r="D219">
        <v>0</v>
      </c>
      <c r="E219">
        <v>0</v>
      </c>
      <c r="F219">
        <v>0</v>
      </c>
      <c r="G219">
        <v>0.97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0.03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>
      <c r="A220">
        <v>219</v>
      </c>
      <c r="B220" t="s">
        <v>149</v>
      </c>
      <c r="C220" t="s">
        <v>149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0.11</v>
      </c>
      <c r="J220">
        <v>0</v>
      </c>
      <c r="K220">
        <v>0</v>
      </c>
      <c r="L220">
        <v>0.04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0.85</v>
      </c>
    </row>
    <row r="221" spans="1:26">
      <c r="A221">
        <v>220</v>
      </c>
      <c r="B221" t="s">
        <v>46</v>
      </c>
      <c r="C221" t="s">
        <v>46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>
      <c r="A222">
        <v>221</v>
      </c>
      <c r="B222" t="s">
        <v>46</v>
      </c>
      <c r="C222" t="s">
        <v>46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>
      <c r="A223">
        <v>222</v>
      </c>
      <c r="B223" t="s">
        <v>40</v>
      </c>
      <c r="C223" t="s">
        <v>40</v>
      </c>
      <c r="D223">
        <v>0</v>
      </c>
      <c r="E223">
        <v>0</v>
      </c>
      <c r="F223">
        <v>0</v>
      </c>
      <c r="G223">
        <v>0.96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0.04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>
      <c r="A224">
        <v>223</v>
      </c>
      <c r="B224" t="s">
        <v>78</v>
      </c>
      <c r="C224" t="s">
        <v>78</v>
      </c>
      <c r="D224">
        <v>0</v>
      </c>
      <c r="E224">
        <v>0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>
      <c r="A225">
        <v>224</v>
      </c>
      <c r="B225" t="s">
        <v>46</v>
      </c>
      <c r="C225" t="s">
        <v>46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>
      <c r="A226">
        <v>225</v>
      </c>
      <c r="B226" t="s">
        <v>21</v>
      </c>
      <c r="C226" t="s">
        <v>21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1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>
      <c r="A227">
        <v>226</v>
      </c>
      <c r="B227" t="s">
        <v>297</v>
      </c>
      <c r="C227" t="s">
        <v>297</v>
      </c>
      <c r="D227">
        <v>0</v>
      </c>
      <c r="E227">
        <v>0</v>
      </c>
      <c r="F227">
        <v>0.04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0.96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>
      <c r="A228">
        <v>227</v>
      </c>
      <c r="B228" t="s">
        <v>73</v>
      </c>
      <c r="C228" t="s">
        <v>73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0.08</v>
      </c>
      <c r="U228">
        <v>0</v>
      </c>
      <c r="V228">
        <v>0</v>
      </c>
      <c r="W228">
        <v>0.92</v>
      </c>
      <c r="X228">
        <v>0</v>
      </c>
      <c r="Y228">
        <v>0</v>
      </c>
      <c r="Z228">
        <v>0</v>
      </c>
    </row>
    <row r="229" spans="1:26">
      <c r="A229">
        <v>228</v>
      </c>
      <c r="B229" t="s">
        <v>40</v>
      </c>
      <c r="C229" t="s">
        <v>40</v>
      </c>
      <c r="D229">
        <v>0</v>
      </c>
      <c r="E229">
        <v>0</v>
      </c>
      <c r="F229">
        <v>0</v>
      </c>
      <c r="G229">
        <v>1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>
      <c r="A230">
        <v>229</v>
      </c>
      <c r="B230" t="s">
        <v>206</v>
      </c>
      <c r="C230" t="s">
        <v>206</v>
      </c>
      <c r="D230">
        <v>0</v>
      </c>
      <c r="E230">
        <v>0.02</v>
      </c>
      <c r="F230">
        <v>0</v>
      </c>
      <c r="G230">
        <v>0</v>
      </c>
      <c r="H230">
        <v>0.84</v>
      </c>
      <c r="I230">
        <v>0</v>
      </c>
      <c r="J230">
        <v>0</v>
      </c>
      <c r="K230">
        <v>0</v>
      </c>
      <c r="L230">
        <v>0</v>
      </c>
      <c r="M230">
        <v>0.09</v>
      </c>
      <c r="N230">
        <v>0.02</v>
      </c>
      <c r="O230">
        <v>0</v>
      </c>
      <c r="P230">
        <v>0.01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0.02</v>
      </c>
      <c r="W230">
        <v>0</v>
      </c>
      <c r="X230">
        <v>0</v>
      </c>
      <c r="Y230">
        <v>0</v>
      </c>
      <c r="Z230">
        <v>0</v>
      </c>
    </row>
    <row r="231" spans="1:26">
      <c r="A231">
        <v>230</v>
      </c>
      <c r="B231" t="s">
        <v>40</v>
      </c>
      <c r="C231" t="s">
        <v>40</v>
      </c>
      <c r="D231">
        <v>0</v>
      </c>
      <c r="E231">
        <v>0</v>
      </c>
      <c r="F231">
        <v>0</v>
      </c>
      <c r="G231">
        <v>0.75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0.25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179</v>
      </c>
      <c r="C232" t="s">
        <v>179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0.99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0.01</v>
      </c>
      <c r="W232">
        <v>0</v>
      </c>
      <c r="X232">
        <v>0</v>
      </c>
      <c r="Y232">
        <v>0</v>
      </c>
      <c r="Z232">
        <v>0</v>
      </c>
    </row>
    <row r="233" spans="1:26">
      <c r="A233">
        <v>232</v>
      </c>
      <c r="B233" t="s">
        <v>40</v>
      </c>
      <c r="C233" t="s">
        <v>40</v>
      </c>
      <c r="D233">
        <v>0</v>
      </c>
      <c r="E233">
        <v>0</v>
      </c>
      <c r="F233">
        <v>0</v>
      </c>
      <c r="G233">
        <v>0.98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0.02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>
      <c r="A234">
        <v>233</v>
      </c>
      <c r="B234" t="s">
        <v>40</v>
      </c>
      <c r="C234" t="s">
        <v>40</v>
      </c>
      <c r="D234">
        <v>0</v>
      </c>
      <c r="E234">
        <v>0</v>
      </c>
      <c r="F234">
        <v>0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>
      <c r="A235">
        <v>234</v>
      </c>
      <c r="B235" t="s">
        <v>30</v>
      </c>
      <c r="C235" t="s">
        <v>30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1</v>
      </c>
      <c r="Z235">
        <v>0</v>
      </c>
    </row>
    <row r="236" spans="1:26">
      <c r="A236">
        <v>235</v>
      </c>
      <c r="B236" t="s">
        <v>46</v>
      </c>
      <c r="C236" t="s">
        <v>46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1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>
      <c r="A237">
        <v>236</v>
      </c>
      <c r="B237" t="s">
        <v>21</v>
      </c>
      <c r="C237" t="s">
        <v>21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>
      <c r="A238">
        <v>237</v>
      </c>
      <c r="B238" t="s">
        <v>268</v>
      </c>
      <c r="C238" t="s">
        <v>268</v>
      </c>
      <c r="D238">
        <v>0</v>
      </c>
      <c r="E238">
        <v>0.01</v>
      </c>
      <c r="F238">
        <v>0</v>
      </c>
      <c r="G238">
        <v>0</v>
      </c>
      <c r="H238">
        <v>0.01</v>
      </c>
      <c r="I238">
        <v>0</v>
      </c>
      <c r="J238">
        <v>0</v>
      </c>
      <c r="K238">
        <v>0</v>
      </c>
      <c r="L238">
        <v>0</v>
      </c>
      <c r="M238">
        <v>0.9</v>
      </c>
      <c r="N238">
        <v>7.0000000000000007E-2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0.01</v>
      </c>
      <c r="Y238">
        <v>0</v>
      </c>
      <c r="Z238">
        <v>0</v>
      </c>
    </row>
    <row r="239" spans="1:26">
      <c r="A239">
        <v>238</v>
      </c>
      <c r="B239" t="s">
        <v>30</v>
      </c>
      <c r="C239" t="s">
        <v>30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Z239">
        <v>0</v>
      </c>
    </row>
    <row r="240" spans="1:26">
      <c r="A240">
        <v>239</v>
      </c>
      <c r="B240" t="s">
        <v>21</v>
      </c>
      <c r="C240" t="s">
        <v>21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1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>
      <c r="A241">
        <v>240</v>
      </c>
      <c r="B241" t="s">
        <v>21</v>
      </c>
      <c r="C241" t="s">
        <v>21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>
      <c r="A242">
        <v>241</v>
      </c>
      <c r="B242" t="s">
        <v>30</v>
      </c>
      <c r="C242" t="s">
        <v>30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0.01</v>
      </c>
      <c r="J242">
        <v>0</v>
      </c>
      <c r="K242">
        <v>0</v>
      </c>
      <c r="L242">
        <v>0.21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0.77</v>
      </c>
      <c r="Z242">
        <v>0.01</v>
      </c>
    </row>
    <row r="243" spans="1:26">
      <c r="A243">
        <v>242</v>
      </c>
      <c r="B243" t="s">
        <v>46</v>
      </c>
      <c r="C243" t="s">
        <v>46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1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>
      <c r="A244">
        <v>243</v>
      </c>
      <c r="B244" t="s">
        <v>40</v>
      </c>
      <c r="C244" t="s">
        <v>40</v>
      </c>
      <c r="D244">
        <v>0</v>
      </c>
      <c r="E244">
        <v>0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>
      <c r="A245">
        <v>244</v>
      </c>
      <c r="B245" t="s">
        <v>30</v>
      </c>
      <c r="C245" t="s">
        <v>30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1</v>
      </c>
      <c r="Z245">
        <v>0</v>
      </c>
    </row>
    <row r="246" spans="1:26">
      <c r="A246">
        <v>245</v>
      </c>
      <c r="B246" t="s">
        <v>206</v>
      </c>
      <c r="C246" t="s">
        <v>206</v>
      </c>
      <c r="D246">
        <v>0</v>
      </c>
      <c r="E246">
        <v>0.12</v>
      </c>
      <c r="F246">
        <v>0</v>
      </c>
      <c r="G246">
        <v>0</v>
      </c>
      <c r="H246">
        <v>0.52</v>
      </c>
      <c r="I246">
        <v>0</v>
      </c>
      <c r="J246">
        <v>0</v>
      </c>
      <c r="K246">
        <v>0</v>
      </c>
      <c r="L246">
        <v>0</v>
      </c>
      <c r="M246">
        <v>0.19</v>
      </c>
      <c r="N246">
        <v>0.09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0.08</v>
      </c>
      <c r="W246">
        <v>0</v>
      </c>
      <c r="X246">
        <v>0</v>
      </c>
      <c r="Y246">
        <v>0</v>
      </c>
      <c r="Z246">
        <v>0</v>
      </c>
    </row>
    <row r="247" spans="1:26">
      <c r="A247">
        <v>246</v>
      </c>
      <c r="B247" t="s">
        <v>46</v>
      </c>
      <c r="C247" t="s">
        <v>46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1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>
      <c r="A248">
        <v>247</v>
      </c>
      <c r="B248" t="s">
        <v>62</v>
      </c>
      <c r="C248" t="s">
        <v>62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0.19</v>
      </c>
      <c r="N248">
        <v>0.74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0.04</v>
      </c>
      <c r="W248">
        <v>0</v>
      </c>
      <c r="X248">
        <v>0.03</v>
      </c>
      <c r="Y248">
        <v>0</v>
      </c>
      <c r="Z248">
        <v>0</v>
      </c>
    </row>
    <row r="249" spans="1:26">
      <c r="A249">
        <v>248</v>
      </c>
      <c r="B249" t="s">
        <v>46</v>
      </c>
      <c r="C249" t="s">
        <v>46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249</v>
      </c>
      <c r="B250" t="s">
        <v>21</v>
      </c>
      <c r="C250" t="s">
        <v>21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1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>
      <c r="A251">
        <v>250</v>
      </c>
      <c r="B251" t="s">
        <v>21</v>
      </c>
      <c r="C251" t="s">
        <v>21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1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>
      <c r="A252">
        <v>251</v>
      </c>
      <c r="B252" t="s">
        <v>135</v>
      </c>
      <c r="C252" t="s">
        <v>135</v>
      </c>
      <c r="D252">
        <v>0</v>
      </c>
      <c r="E252">
        <v>0</v>
      </c>
      <c r="F252">
        <v>0</v>
      </c>
      <c r="G252">
        <v>0.18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0.82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252</v>
      </c>
      <c r="B253" t="s">
        <v>21</v>
      </c>
      <c r="C253" t="s">
        <v>21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0.91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0.09</v>
      </c>
      <c r="Z253">
        <v>0</v>
      </c>
    </row>
    <row r="254" spans="1:26">
      <c r="A254">
        <v>253</v>
      </c>
      <c r="B254" t="s">
        <v>40</v>
      </c>
      <c r="C254" t="s">
        <v>40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>
      <c r="A255">
        <v>254</v>
      </c>
      <c r="B255" t="s">
        <v>40</v>
      </c>
      <c r="C255" t="s">
        <v>40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255</v>
      </c>
      <c r="B256" t="s">
        <v>25</v>
      </c>
      <c r="C256" t="s">
        <v>25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1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256</v>
      </c>
      <c r="B257" t="s">
        <v>35</v>
      </c>
      <c r="C257" t="s">
        <v>35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0.01</v>
      </c>
      <c r="M257">
        <v>0</v>
      </c>
      <c r="N257">
        <v>0</v>
      </c>
      <c r="O257">
        <v>0.99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>
      <c r="A258">
        <v>257</v>
      </c>
      <c r="B258" t="s">
        <v>21</v>
      </c>
      <c r="C258" t="s">
        <v>21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1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>
      <c r="A259">
        <v>258</v>
      </c>
      <c r="B259" t="s">
        <v>21</v>
      </c>
      <c r="C259" t="s">
        <v>21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1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>
      <c r="A260">
        <v>259</v>
      </c>
      <c r="B260" t="s">
        <v>35</v>
      </c>
      <c r="C260" t="s">
        <v>35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0.01</v>
      </c>
      <c r="O260">
        <v>0.99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>
      <c r="A261">
        <v>260</v>
      </c>
      <c r="B261" t="s">
        <v>30</v>
      </c>
      <c r="C261" t="s">
        <v>30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0.04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0.96</v>
      </c>
      <c r="Z261">
        <v>0</v>
      </c>
    </row>
    <row r="262" spans="1:26">
      <c r="A262">
        <v>261</v>
      </c>
      <c r="B262" t="s">
        <v>21</v>
      </c>
      <c r="C262" t="s">
        <v>21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0.82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0.18</v>
      </c>
      <c r="Z262">
        <v>0</v>
      </c>
    </row>
    <row r="263" spans="1:26">
      <c r="A263">
        <v>262</v>
      </c>
      <c r="B263" t="s">
        <v>73</v>
      </c>
      <c r="C263" t="s">
        <v>73</v>
      </c>
      <c r="D263">
        <v>0</v>
      </c>
      <c r="E263">
        <v>0</v>
      </c>
      <c r="F263">
        <v>0</v>
      </c>
      <c r="G263">
        <v>0</v>
      </c>
      <c r="H263">
        <v>0.01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0.01</v>
      </c>
      <c r="Q263">
        <v>0</v>
      </c>
      <c r="R263">
        <v>0</v>
      </c>
      <c r="S263">
        <v>0</v>
      </c>
      <c r="T263">
        <v>0.1</v>
      </c>
      <c r="U263">
        <v>0</v>
      </c>
      <c r="V263">
        <v>0</v>
      </c>
      <c r="W263">
        <v>0.88</v>
      </c>
      <c r="X263">
        <v>0</v>
      </c>
      <c r="Y263">
        <v>0</v>
      </c>
      <c r="Z263">
        <v>0</v>
      </c>
    </row>
    <row r="264" spans="1:26">
      <c r="A264">
        <v>263</v>
      </c>
      <c r="B264" t="s">
        <v>25</v>
      </c>
      <c r="C264" t="s">
        <v>25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1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>
      <c r="A265">
        <v>264</v>
      </c>
      <c r="B265" t="s">
        <v>40</v>
      </c>
      <c r="C265" t="s">
        <v>40</v>
      </c>
      <c r="D265">
        <v>0</v>
      </c>
      <c r="E265">
        <v>0</v>
      </c>
      <c r="F265">
        <v>0</v>
      </c>
      <c r="G265">
        <v>0.75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0.25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>
      <c r="A266">
        <v>265</v>
      </c>
      <c r="B266" t="s">
        <v>46</v>
      </c>
      <c r="C266" t="s">
        <v>46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>
      <c r="A267">
        <v>266</v>
      </c>
      <c r="B267" t="s">
        <v>30</v>
      </c>
      <c r="C267" t="s">
        <v>30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0.08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0.92</v>
      </c>
      <c r="Z267">
        <v>0</v>
      </c>
    </row>
    <row r="268" spans="1:26">
      <c r="A268">
        <v>267</v>
      </c>
      <c r="B268" t="s">
        <v>40</v>
      </c>
      <c r="C268" t="s">
        <v>40</v>
      </c>
      <c r="D268">
        <v>0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>
      <c r="A269">
        <v>268</v>
      </c>
      <c r="B269" t="s">
        <v>78</v>
      </c>
      <c r="C269" t="s">
        <v>78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>
      <c r="A270">
        <v>269</v>
      </c>
      <c r="B270" t="s">
        <v>46</v>
      </c>
      <c r="C270" t="s">
        <v>46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>
      <c r="A271">
        <v>270</v>
      </c>
      <c r="B271" t="s">
        <v>40</v>
      </c>
      <c r="C271" t="s">
        <v>40</v>
      </c>
      <c r="D271">
        <v>0</v>
      </c>
      <c r="E271">
        <v>0</v>
      </c>
      <c r="F271">
        <v>0</v>
      </c>
      <c r="G271">
        <v>0.96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0.04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>
      <c r="A272">
        <v>271</v>
      </c>
      <c r="B272" t="s">
        <v>138</v>
      </c>
      <c r="C272" t="s">
        <v>138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0.74</v>
      </c>
      <c r="U272">
        <v>0</v>
      </c>
      <c r="V272">
        <v>0</v>
      </c>
      <c r="W272">
        <v>0.26</v>
      </c>
      <c r="X272">
        <v>0</v>
      </c>
      <c r="Y272">
        <v>0</v>
      </c>
      <c r="Z272">
        <v>0</v>
      </c>
    </row>
    <row r="273" spans="1:26">
      <c r="A273">
        <v>272</v>
      </c>
      <c r="B273" t="s">
        <v>268</v>
      </c>
      <c r="C273" t="s">
        <v>268</v>
      </c>
      <c r="D273">
        <v>0.01</v>
      </c>
      <c r="E273">
        <v>0.02</v>
      </c>
      <c r="F273">
        <v>0</v>
      </c>
      <c r="G273">
        <v>0</v>
      </c>
      <c r="H273">
        <v>0.21</v>
      </c>
      <c r="I273">
        <v>0</v>
      </c>
      <c r="J273">
        <v>0</v>
      </c>
      <c r="K273">
        <v>0.01</v>
      </c>
      <c r="L273">
        <v>0</v>
      </c>
      <c r="M273">
        <v>0.41</v>
      </c>
      <c r="N273">
        <v>7.0000000000000007E-2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0.01</v>
      </c>
      <c r="V273">
        <v>0.1</v>
      </c>
      <c r="W273">
        <v>0.01</v>
      </c>
      <c r="X273">
        <v>0.15</v>
      </c>
      <c r="Y273">
        <v>0</v>
      </c>
      <c r="Z273">
        <v>0</v>
      </c>
    </row>
    <row r="274" spans="1:26">
      <c r="A274">
        <v>273</v>
      </c>
      <c r="B274" t="s">
        <v>135</v>
      </c>
      <c r="C274" t="s">
        <v>135</v>
      </c>
      <c r="D274">
        <v>0</v>
      </c>
      <c r="E274">
        <v>0</v>
      </c>
      <c r="F274">
        <v>0</v>
      </c>
      <c r="G274">
        <v>0.02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0.98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274</v>
      </c>
      <c r="B275" t="s">
        <v>21</v>
      </c>
      <c r="C275" t="s">
        <v>21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0.94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0.06</v>
      </c>
      <c r="Z275">
        <v>0</v>
      </c>
    </row>
    <row r="276" spans="1:26">
      <c r="A276">
        <v>275</v>
      </c>
      <c r="B276" t="s">
        <v>138</v>
      </c>
      <c r="C276" t="s">
        <v>138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0.79</v>
      </c>
      <c r="U276">
        <v>0</v>
      </c>
      <c r="V276">
        <v>0</v>
      </c>
      <c r="W276">
        <v>0.21</v>
      </c>
      <c r="X276">
        <v>0</v>
      </c>
      <c r="Y276">
        <v>0</v>
      </c>
      <c r="Z276">
        <v>0</v>
      </c>
    </row>
    <row r="277" spans="1:26">
      <c r="A277">
        <v>276</v>
      </c>
      <c r="B277" t="s">
        <v>25</v>
      </c>
      <c r="C277" t="s">
        <v>25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>
      <c r="A278">
        <v>277</v>
      </c>
      <c r="B278" t="s">
        <v>83</v>
      </c>
      <c r="C278" t="s">
        <v>83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>
      <c r="A279">
        <v>278</v>
      </c>
      <c r="B279" t="s">
        <v>46</v>
      </c>
      <c r="C279" t="s">
        <v>46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>
      <c r="A280">
        <v>279</v>
      </c>
      <c r="B280" t="s">
        <v>46</v>
      </c>
      <c r="C280" t="s">
        <v>46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1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>
      <c r="A281">
        <v>280</v>
      </c>
      <c r="B281" t="s">
        <v>21</v>
      </c>
      <c r="C281" t="s">
        <v>21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0.06</v>
      </c>
      <c r="J281">
        <v>0</v>
      </c>
      <c r="K281">
        <v>0</v>
      </c>
      <c r="L281">
        <v>0.94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78</v>
      </c>
      <c r="C282" t="s">
        <v>78</v>
      </c>
      <c r="D282">
        <v>0</v>
      </c>
      <c r="E282">
        <v>0</v>
      </c>
      <c r="F282">
        <v>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282</v>
      </c>
      <c r="B283" t="s">
        <v>40</v>
      </c>
      <c r="C283" t="s">
        <v>40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283</v>
      </c>
      <c r="B284" t="s">
        <v>135</v>
      </c>
      <c r="C284" t="s">
        <v>135</v>
      </c>
      <c r="D284">
        <v>0</v>
      </c>
      <c r="E284">
        <v>0</v>
      </c>
      <c r="F284">
        <v>0</v>
      </c>
      <c r="G284">
        <v>0.27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0.73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>
      <c r="A285">
        <v>284</v>
      </c>
      <c r="B285" t="s">
        <v>21</v>
      </c>
      <c r="C285" t="s">
        <v>21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0.97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0.01</v>
      </c>
      <c r="Z285">
        <v>0.02</v>
      </c>
    </row>
    <row r="286" spans="1:26">
      <c r="A286">
        <v>285</v>
      </c>
      <c r="B286" t="s">
        <v>21</v>
      </c>
      <c r="C286" t="s">
        <v>21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0.01</v>
      </c>
      <c r="J286">
        <v>0</v>
      </c>
      <c r="K286">
        <v>0</v>
      </c>
      <c r="L286">
        <v>0.71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0.28000000000000003</v>
      </c>
      <c r="Z286">
        <v>0</v>
      </c>
    </row>
    <row r="287" spans="1:26">
      <c r="A287">
        <v>286</v>
      </c>
      <c r="B287" t="s">
        <v>78</v>
      </c>
      <c r="C287" t="s">
        <v>78</v>
      </c>
      <c r="D287">
        <v>0</v>
      </c>
      <c r="E287">
        <v>0</v>
      </c>
      <c r="F287">
        <v>1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>
      <c r="A288">
        <v>287</v>
      </c>
      <c r="B288" t="s">
        <v>179</v>
      </c>
      <c r="C288" t="s">
        <v>179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0.02</v>
      </c>
      <c r="N288">
        <v>0</v>
      </c>
      <c r="O288">
        <v>0</v>
      </c>
      <c r="P288">
        <v>0.96</v>
      </c>
      <c r="Q288">
        <v>0</v>
      </c>
      <c r="R288">
        <v>0</v>
      </c>
      <c r="S288">
        <v>0.01</v>
      </c>
      <c r="T288">
        <v>0</v>
      </c>
      <c r="U288">
        <v>0</v>
      </c>
      <c r="V288">
        <v>0.01</v>
      </c>
      <c r="W288">
        <v>0</v>
      </c>
      <c r="X288">
        <v>0</v>
      </c>
      <c r="Y288">
        <v>0</v>
      </c>
      <c r="Z288">
        <v>0</v>
      </c>
    </row>
    <row r="289" spans="1:26">
      <c r="A289">
        <v>288</v>
      </c>
      <c r="B289" t="s">
        <v>25</v>
      </c>
      <c r="C289" t="s">
        <v>25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0.93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7.0000000000000007E-2</v>
      </c>
    </row>
    <row r="290" spans="1:26">
      <c r="A290">
        <v>289</v>
      </c>
      <c r="B290" t="s">
        <v>78</v>
      </c>
      <c r="C290" t="s">
        <v>78</v>
      </c>
      <c r="D290">
        <v>0</v>
      </c>
      <c r="E290">
        <v>0</v>
      </c>
      <c r="F290">
        <v>0.97</v>
      </c>
      <c r="G290">
        <v>0</v>
      </c>
      <c r="H290">
        <v>0</v>
      </c>
      <c r="I290">
        <v>0.01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0.02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>
      <c r="A291">
        <v>290</v>
      </c>
      <c r="B291" t="s">
        <v>35</v>
      </c>
      <c r="C291" t="s">
        <v>35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>
      <c r="A292">
        <v>291</v>
      </c>
      <c r="B292" t="s">
        <v>25</v>
      </c>
      <c r="C292" t="s">
        <v>25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1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>
      <c r="A293">
        <v>292</v>
      </c>
      <c r="B293" t="s">
        <v>73</v>
      </c>
      <c r="C293" t="s">
        <v>73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0.04</v>
      </c>
      <c r="U293">
        <v>0</v>
      </c>
      <c r="V293">
        <v>0</v>
      </c>
      <c r="W293">
        <v>0.96</v>
      </c>
      <c r="X293">
        <v>0</v>
      </c>
      <c r="Y293">
        <v>0</v>
      </c>
      <c r="Z293">
        <v>0</v>
      </c>
    </row>
    <row r="294" spans="1:26">
      <c r="A294">
        <v>293</v>
      </c>
      <c r="B294" t="s">
        <v>40</v>
      </c>
      <c r="C294" t="s">
        <v>40</v>
      </c>
      <c r="D294">
        <v>0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294</v>
      </c>
      <c r="B295" t="s">
        <v>25</v>
      </c>
      <c r="C295" t="s">
        <v>25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1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>
      <c r="A296">
        <v>295</v>
      </c>
      <c r="B296" t="s">
        <v>30</v>
      </c>
      <c r="C296" t="s">
        <v>30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1</v>
      </c>
      <c r="Z296">
        <v>0</v>
      </c>
    </row>
    <row r="297" spans="1:26">
      <c r="A297">
        <v>296</v>
      </c>
      <c r="B297" t="s">
        <v>138</v>
      </c>
      <c r="C297" t="s">
        <v>138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0.99</v>
      </c>
      <c r="U297">
        <v>0</v>
      </c>
      <c r="V297">
        <v>0</v>
      </c>
      <c r="W297">
        <v>0.01</v>
      </c>
      <c r="X297">
        <v>0</v>
      </c>
      <c r="Y297">
        <v>0</v>
      </c>
      <c r="Z297">
        <v>0</v>
      </c>
    </row>
    <row r="298" spans="1:26">
      <c r="A298">
        <v>297</v>
      </c>
      <c r="B298" t="s">
        <v>21</v>
      </c>
      <c r="C298" t="s">
        <v>21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1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298</v>
      </c>
      <c r="B299" t="s">
        <v>40</v>
      </c>
      <c r="C299" t="s">
        <v>40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40</v>
      </c>
      <c r="C300" t="s">
        <v>40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300</v>
      </c>
      <c r="B301" t="s">
        <v>21</v>
      </c>
      <c r="C301" t="s">
        <v>21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0.02</v>
      </c>
      <c r="J301">
        <v>0</v>
      </c>
      <c r="K301">
        <v>0</v>
      </c>
      <c r="L301">
        <v>0.97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0.01</v>
      </c>
      <c r="W301">
        <v>0</v>
      </c>
      <c r="X301">
        <v>0</v>
      </c>
      <c r="Y301">
        <v>0</v>
      </c>
      <c r="Z301">
        <v>0</v>
      </c>
    </row>
    <row r="302" spans="1:26">
      <c r="A302">
        <v>301</v>
      </c>
      <c r="B302" t="s">
        <v>40</v>
      </c>
      <c r="C302" t="s">
        <v>40</v>
      </c>
      <c r="D302">
        <v>0</v>
      </c>
      <c r="E302">
        <v>0</v>
      </c>
      <c r="F302">
        <v>0</v>
      </c>
      <c r="G302">
        <v>0.85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0.15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302</v>
      </c>
      <c r="B303" t="s">
        <v>30</v>
      </c>
      <c r="C303" t="s">
        <v>30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1</v>
      </c>
      <c r="Z303">
        <v>0</v>
      </c>
    </row>
    <row r="304" spans="1:26">
      <c r="A304">
        <v>303</v>
      </c>
      <c r="B304" t="s">
        <v>73</v>
      </c>
      <c r="C304" t="s">
        <v>73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7.0000000000000007E-2</v>
      </c>
      <c r="U304">
        <v>0</v>
      </c>
      <c r="V304">
        <v>0</v>
      </c>
      <c r="W304">
        <v>0.93</v>
      </c>
      <c r="X304">
        <v>0</v>
      </c>
      <c r="Y304">
        <v>0</v>
      </c>
      <c r="Z304">
        <v>0</v>
      </c>
    </row>
    <row r="305" spans="1:26">
      <c r="A305">
        <v>304</v>
      </c>
      <c r="B305" t="s">
        <v>78</v>
      </c>
      <c r="C305" t="s">
        <v>78</v>
      </c>
      <c r="D305">
        <v>0</v>
      </c>
      <c r="E305">
        <v>0</v>
      </c>
      <c r="F305">
        <v>0.93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0.01</v>
      </c>
      <c r="U305">
        <v>0.06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>
      <c r="A306">
        <v>305</v>
      </c>
      <c r="B306" t="s">
        <v>46</v>
      </c>
      <c r="C306" t="s">
        <v>46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0.99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0.01</v>
      </c>
      <c r="Y306">
        <v>0</v>
      </c>
      <c r="Z306">
        <v>0</v>
      </c>
    </row>
    <row r="307" spans="1:26">
      <c r="A307">
        <v>306</v>
      </c>
      <c r="B307" t="s">
        <v>46</v>
      </c>
      <c r="C307" t="s">
        <v>46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>
      <c r="A308">
        <v>307</v>
      </c>
      <c r="B308" t="s">
        <v>135</v>
      </c>
      <c r="C308" t="s">
        <v>135</v>
      </c>
      <c r="D308">
        <v>0</v>
      </c>
      <c r="E308">
        <v>0</v>
      </c>
      <c r="F308">
        <v>0</v>
      </c>
      <c r="G308">
        <v>0.33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0.67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21</v>
      </c>
      <c r="C309" t="s">
        <v>21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>
      <c r="A310">
        <v>309</v>
      </c>
      <c r="B310" t="s">
        <v>21</v>
      </c>
      <c r="C310" t="s">
        <v>21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0.82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0.18</v>
      </c>
      <c r="Z310">
        <v>0</v>
      </c>
    </row>
    <row r="311" spans="1:26">
      <c r="A311">
        <v>310</v>
      </c>
      <c r="B311" t="s">
        <v>21</v>
      </c>
      <c r="C311" t="s">
        <v>21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1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>
      <c r="A312">
        <v>311</v>
      </c>
      <c r="B312" t="s">
        <v>40</v>
      </c>
      <c r="C312" t="s">
        <v>40</v>
      </c>
      <c r="D312">
        <v>0</v>
      </c>
      <c r="E312">
        <v>0</v>
      </c>
      <c r="F312">
        <v>0</v>
      </c>
      <c r="G312">
        <v>0.99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0.01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>
      <c r="A313">
        <v>312</v>
      </c>
      <c r="B313" t="s">
        <v>40</v>
      </c>
      <c r="C313" t="s">
        <v>40</v>
      </c>
      <c r="D313">
        <v>0</v>
      </c>
      <c r="E313">
        <v>0</v>
      </c>
      <c r="F313">
        <v>0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>
      <c r="A314">
        <v>313</v>
      </c>
      <c r="B314" t="s">
        <v>21</v>
      </c>
      <c r="C314" t="s">
        <v>21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1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>
      <c r="A315">
        <v>314</v>
      </c>
      <c r="B315" t="s">
        <v>30</v>
      </c>
      <c r="C315" t="s">
        <v>30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0.2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0.8</v>
      </c>
      <c r="Z315">
        <v>0</v>
      </c>
    </row>
    <row r="316" spans="1:26">
      <c r="A316">
        <v>315</v>
      </c>
      <c r="B316" t="s">
        <v>268</v>
      </c>
      <c r="C316" t="s">
        <v>268</v>
      </c>
      <c r="D316">
        <v>0</v>
      </c>
      <c r="E316">
        <v>0.02</v>
      </c>
      <c r="F316">
        <v>0</v>
      </c>
      <c r="G316">
        <v>0</v>
      </c>
      <c r="H316">
        <v>0.05</v>
      </c>
      <c r="I316">
        <v>0</v>
      </c>
      <c r="J316">
        <v>0</v>
      </c>
      <c r="K316">
        <v>0</v>
      </c>
      <c r="L316">
        <v>0</v>
      </c>
      <c r="M316">
        <v>0.85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0.08</v>
      </c>
      <c r="W316">
        <v>0</v>
      </c>
      <c r="X316">
        <v>0</v>
      </c>
      <c r="Y316">
        <v>0</v>
      </c>
      <c r="Z316">
        <v>0</v>
      </c>
    </row>
    <row r="317" spans="1:26">
      <c r="A317">
        <v>316</v>
      </c>
      <c r="B317" t="s">
        <v>99</v>
      </c>
      <c r="C317" t="s">
        <v>99</v>
      </c>
      <c r="D317">
        <v>0.99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0.01</v>
      </c>
      <c r="Y317">
        <v>0</v>
      </c>
      <c r="Z317">
        <v>0</v>
      </c>
    </row>
    <row r="318" spans="1:26">
      <c r="A318">
        <v>317</v>
      </c>
      <c r="B318" t="s">
        <v>21</v>
      </c>
      <c r="C318" t="s">
        <v>21</v>
      </c>
      <c r="D318">
        <v>0</v>
      </c>
      <c r="E318">
        <v>0</v>
      </c>
      <c r="F318">
        <v>0.01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0.73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0.26</v>
      </c>
      <c r="Z318">
        <v>0</v>
      </c>
    </row>
    <row r="319" spans="1:26">
      <c r="A319">
        <v>318</v>
      </c>
      <c r="B319" t="s">
        <v>78</v>
      </c>
      <c r="C319" t="s">
        <v>78</v>
      </c>
      <c r="D319">
        <v>0</v>
      </c>
      <c r="E319">
        <v>0</v>
      </c>
      <c r="F319">
        <v>0.92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0.08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319</v>
      </c>
      <c r="B320" t="s">
        <v>40</v>
      </c>
      <c r="C320" t="s">
        <v>40</v>
      </c>
      <c r="D320">
        <v>0</v>
      </c>
      <c r="E320">
        <v>0</v>
      </c>
      <c r="F320">
        <v>0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>
      <c r="A321">
        <v>320</v>
      </c>
      <c r="B321" t="s">
        <v>170</v>
      </c>
      <c r="C321" t="s">
        <v>170</v>
      </c>
      <c r="D321">
        <v>0</v>
      </c>
      <c r="E321">
        <v>0</v>
      </c>
      <c r="F321">
        <v>0</v>
      </c>
      <c r="G321">
        <v>0</v>
      </c>
      <c r="H321">
        <v>0.01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0.01</v>
      </c>
      <c r="U321">
        <v>0</v>
      </c>
      <c r="V321">
        <v>0.98</v>
      </c>
      <c r="W321">
        <v>0</v>
      </c>
      <c r="X321">
        <v>0</v>
      </c>
      <c r="Y321">
        <v>0</v>
      </c>
      <c r="Z321">
        <v>0</v>
      </c>
    </row>
    <row r="322" spans="1:26">
      <c r="A322">
        <v>321</v>
      </c>
      <c r="B322" t="s">
        <v>21</v>
      </c>
      <c r="C322" t="s">
        <v>21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0.1</v>
      </c>
      <c r="J322">
        <v>0</v>
      </c>
      <c r="K322">
        <v>0</v>
      </c>
      <c r="L322">
        <v>0.9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>
      <c r="A323">
        <v>322</v>
      </c>
      <c r="B323" t="s">
        <v>206</v>
      </c>
      <c r="C323" t="s">
        <v>206</v>
      </c>
      <c r="D323">
        <v>0</v>
      </c>
      <c r="E323">
        <v>0.01</v>
      </c>
      <c r="F323">
        <v>0</v>
      </c>
      <c r="G323">
        <v>0</v>
      </c>
      <c r="H323">
        <v>0.95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0.01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0.03</v>
      </c>
      <c r="Y323">
        <v>0</v>
      </c>
      <c r="Z323">
        <v>0</v>
      </c>
    </row>
    <row r="324" spans="1:26">
      <c r="A324">
        <v>323</v>
      </c>
      <c r="B324" t="s">
        <v>25</v>
      </c>
      <c r="C324" t="s">
        <v>25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0.99</v>
      </c>
      <c r="J324">
        <v>0.01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>
      <c r="A325">
        <v>324</v>
      </c>
      <c r="B325" t="s">
        <v>40</v>
      </c>
      <c r="C325" t="s">
        <v>40</v>
      </c>
      <c r="D325">
        <v>0</v>
      </c>
      <c r="E325">
        <v>0</v>
      </c>
      <c r="F325">
        <v>0</v>
      </c>
      <c r="G325">
        <v>0.94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0.06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325</v>
      </c>
      <c r="B326" t="s">
        <v>78</v>
      </c>
      <c r="C326" t="s">
        <v>78</v>
      </c>
      <c r="D326">
        <v>0</v>
      </c>
      <c r="E326">
        <v>0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>
      <c r="A327">
        <v>326</v>
      </c>
      <c r="B327" t="s">
        <v>30</v>
      </c>
      <c r="C327" t="s">
        <v>30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1</v>
      </c>
      <c r="Z327">
        <v>0</v>
      </c>
    </row>
    <row r="328" spans="1:26">
      <c r="A328">
        <v>327</v>
      </c>
      <c r="B328" t="s">
        <v>46</v>
      </c>
      <c r="C328" t="s">
        <v>46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>
      <c r="A329">
        <v>328</v>
      </c>
      <c r="B329" t="s">
        <v>297</v>
      </c>
      <c r="C329" t="s">
        <v>297</v>
      </c>
      <c r="D329">
        <v>0</v>
      </c>
      <c r="E329">
        <v>0</v>
      </c>
      <c r="F329">
        <v>0.13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0.87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329</v>
      </c>
      <c r="B330" t="s">
        <v>25</v>
      </c>
      <c r="C330" t="s">
        <v>25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0.93</v>
      </c>
      <c r="J330">
        <v>0</v>
      </c>
      <c r="K330">
        <v>0</v>
      </c>
      <c r="L330">
        <v>0.05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0.02</v>
      </c>
    </row>
    <row r="331" spans="1:26">
      <c r="A331">
        <v>330</v>
      </c>
      <c r="B331" t="s">
        <v>62</v>
      </c>
      <c r="C331" t="s">
        <v>62</v>
      </c>
      <c r="D331">
        <v>0</v>
      </c>
      <c r="E331">
        <v>0.02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0.03</v>
      </c>
      <c r="N331">
        <v>0.95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</row>
    <row r="332" spans="1:26">
      <c r="A332">
        <v>331</v>
      </c>
      <c r="B332" t="s">
        <v>40</v>
      </c>
      <c r="C332" t="s">
        <v>40</v>
      </c>
      <c r="D332">
        <v>0</v>
      </c>
      <c r="E332">
        <v>0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1:26">
      <c r="A333">
        <v>332</v>
      </c>
      <c r="B333" t="s">
        <v>131</v>
      </c>
      <c r="C333" t="s">
        <v>131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0.14000000000000001</v>
      </c>
      <c r="N333">
        <v>0.03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0.06</v>
      </c>
      <c r="W333">
        <v>0</v>
      </c>
      <c r="X333">
        <v>0.77</v>
      </c>
      <c r="Y333">
        <v>0</v>
      </c>
      <c r="Z333">
        <v>0</v>
      </c>
    </row>
    <row r="334" spans="1:26">
      <c r="A334">
        <v>333</v>
      </c>
      <c r="B334" t="s">
        <v>40</v>
      </c>
      <c r="C334" t="s">
        <v>40</v>
      </c>
      <c r="D334">
        <v>0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>
      <c r="A335">
        <v>334</v>
      </c>
      <c r="B335" t="s">
        <v>78</v>
      </c>
      <c r="C335" t="s">
        <v>78</v>
      </c>
      <c r="D335">
        <v>0</v>
      </c>
      <c r="E335">
        <v>0</v>
      </c>
      <c r="F335">
        <v>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>
      <c r="A336">
        <v>335</v>
      </c>
      <c r="B336" t="s">
        <v>149</v>
      </c>
      <c r="C336" t="s">
        <v>149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0.3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0.7</v>
      </c>
    </row>
    <row r="337" spans="1:26">
      <c r="A337">
        <v>336</v>
      </c>
      <c r="B337" t="s">
        <v>40</v>
      </c>
      <c r="C337" t="s">
        <v>40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337</v>
      </c>
      <c r="B338" t="s">
        <v>78</v>
      </c>
      <c r="C338" t="s">
        <v>78</v>
      </c>
      <c r="D338">
        <v>0</v>
      </c>
      <c r="E338">
        <v>0</v>
      </c>
      <c r="F338">
        <v>0.97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0.03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>
      <c r="A339">
        <v>338</v>
      </c>
      <c r="B339" t="s">
        <v>62</v>
      </c>
      <c r="C339" t="s">
        <v>62</v>
      </c>
      <c r="D339">
        <v>0</v>
      </c>
      <c r="E339">
        <v>0.01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0.09</v>
      </c>
      <c r="N339">
        <v>0.9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339</v>
      </c>
      <c r="B340" t="s">
        <v>73</v>
      </c>
      <c r="C340" t="s">
        <v>73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0.04</v>
      </c>
      <c r="U340">
        <v>0</v>
      </c>
      <c r="V340">
        <v>0</v>
      </c>
      <c r="W340">
        <v>0.96</v>
      </c>
      <c r="X340">
        <v>0</v>
      </c>
      <c r="Y340">
        <v>0</v>
      </c>
      <c r="Z340">
        <v>0</v>
      </c>
    </row>
    <row r="341" spans="1:26">
      <c r="A341">
        <v>340</v>
      </c>
      <c r="B341" t="s">
        <v>206</v>
      </c>
      <c r="C341" t="s">
        <v>206</v>
      </c>
      <c r="D341">
        <v>0</v>
      </c>
      <c r="E341">
        <v>0.01</v>
      </c>
      <c r="F341">
        <v>0</v>
      </c>
      <c r="G341">
        <v>0</v>
      </c>
      <c r="H341">
        <v>0.97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0.01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0.01</v>
      </c>
      <c r="Y341">
        <v>0</v>
      </c>
      <c r="Z341">
        <v>0</v>
      </c>
    </row>
    <row r="342" spans="1:26">
      <c r="A342">
        <v>341</v>
      </c>
      <c r="B342" t="s">
        <v>21</v>
      </c>
      <c r="C342" t="s">
        <v>21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>
      <c r="A343">
        <v>342</v>
      </c>
      <c r="B343" t="s">
        <v>40</v>
      </c>
      <c r="C343" t="s">
        <v>40</v>
      </c>
      <c r="D343">
        <v>0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>
      <c r="A344">
        <v>343</v>
      </c>
      <c r="B344" t="s">
        <v>40</v>
      </c>
      <c r="C344" t="s">
        <v>40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>
      <c r="A345">
        <v>344</v>
      </c>
      <c r="B345" t="s">
        <v>40</v>
      </c>
      <c r="C345" t="s">
        <v>40</v>
      </c>
      <c r="D345">
        <v>0</v>
      </c>
      <c r="E345">
        <v>0</v>
      </c>
      <c r="F345">
        <v>0</v>
      </c>
      <c r="G345">
        <v>0.99</v>
      </c>
      <c r="H345">
        <v>0</v>
      </c>
      <c r="I345">
        <v>0</v>
      </c>
      <c r="J345">
        <v>0</v>
      </c>
      <c r="K345">
        <v>0.01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345</v>
      </c>
      <c r="B346" t="s">
        <v>206</v>
      </c>
      <c r="C346" t="s">
        <v>206</v>
      </c>
      <c r="D346">
        <v>0</v>
      </c>
      <c r="E346">
        <v>0</v>
      </c>
      <c r="F346">
        <v>0</v>
      </c>
      <c r="G346">
        <v>0</v>
      </c>
      <c r="H346">
        <v>0.98</v>
      </c>
      <c r="I346">
        <v>0</v>
      </c>
      <c r="J346">
        <v>0</v>
      </c>
      <c r="K346">
        <v>0.01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0.01</v>
      </c>
      <c r="W346">
        <v>0</v>
      </c>
      <c r="X346">
        <v>0</v>
      </c>
      <c r="Y346">
        <v>0</v>
      </c>
      <c r="Z346">
        <v>0</v>
      </c>
    </row>
    <row r="347" spans="1:26">
      <c r="A347">
        <v>346</v>
      </c>
      <c r="B347" t="s">
        <v>78</v>
      </c>
      <c r="C347" t="s">
        <v>78</v>
      </c>
      <c r="D347">
        <v>0</v>
      </c>
      <c r="E347">
        <v>0</v>
      </c>
      <c r="F347">
        <v>0.99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0.01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>
      <c r="A348">
        <v>347</v>
      </c>
      <c r="B348" t="s">
        <v>46</v>
      </c>
      <c r="C348" t="s">
        <v>46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1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>
      <c r="A349">
        <v>348</v>
      </c>
      <c r="B349" t="s">
        <v>35</v>
      </c>
      <c r="C349" t="s">
        <v>35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0.01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0.89</v>
      </c>
      <c r="P349">
        <v>0.06</v>
      </c>
      <c r="Q349">
        <v>0</v>
      </c>
      <c r="R349">
        <v>0</v>
      </c>
      <c r="S349">
        <v>0</v>
      </c>
      <c r="T349">
        <v>0.02</v>
      </c>
      <c r="U349">
        <v>0</v>
      </c>
      <c r="V349">
        <v>0</v>
      </c>
      <c r="W349">
        <v>0</v>
      </c>
      <c r="X349">
        <v>0.02</v>
      </c>
      <c r="Y349">
        <v>0</v>
      </c>
      <c r="Z349">
        <v>0</v>
      </c>
    </row>
    <row r="350" spans="1:26">
      <c r="A350">
        <v>349</v>
      </c>
      <c r="B350" t="s">
        <v>21</v>
      </c>
      <c r="C350" t="s">
        <v>21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>
      <c r="A351">
        <v>350</v>
      </c>
      <c r="B351" t="s">
        <v>25</v>
      </c>
      <c r="C351" t="s">
        <v>25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0.95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0.05</v>
      </c>
    </row>
    <row r="352" spans="1:26">
      <c r="A352">
        <v>351</v>
      </c>
      <c r="B352" t="s">
        <v>138</v>
      </c>
      <c r="C352" t="s">
        <v>138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0.83</v>
      </c>
      <c r="U352">
        <v>0</v>
      </c>
      <c r="V352">
        <v>0</v>
      </c>
      <c r="W352">
        <v>0.17</v>
      </c>
      <c r="X352">
        <v>0</v>
      </c>
      <c r="Y352">
        <v>0</v>
      </c>
      <c r="Z352">
        <v>0</v>
      </c>
    </row>
    <row r="353" spans="1:26">
      <c r="A353">
        <v>352</v>
      </c>
      <c r="B353" t="s">
        <v>40</v>
      </c>
      <c r="C353" t="s">
        <v>40</v>
      </c>
      <c r="D353">
        <v>0</v>
      </c>
      <c r="E353">
        <v>0</v>
      </c>
      <c r="F353">
        <v>0</v>
      </c>
      <c r="G353">
        <v>1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>
      <c r="A354">
        <v>353</v>
      </c>
      <c r="B354" t="s">
        <v>21</v>
      </c>
      <c r="C354" t="s">
        <v>21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1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>
      <c r="A355">
        <v>354</v>
      </c>
      <c r="B355" t="s">
        <v>46</v>
      </c>
      <c r="C355" t="s">
        <v>46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workbookViewId="0">
      <selection activeCell="G12" sqref="G12"/>
    </sheetView>
  </sheetViews>
  <sheetFormatPr baseColWidth="10" defaultRowHeight="16"/>
  <sheetData>
    <row r="1" spans="1:52">
      <c r="A1" s="2" t="s">
        <v>405</v>
      </c>
      <c r="B1" s="2" t="s">
        <v>13</v>
      </c>
      <c r="C1" s="2" t="s">
        <v>417</v>
      </c>
      <c r="D1" s="2" t="s">
        <v>163</v>
      </c>
      <c r="E1" s="2" t="s">
        <v>100</v>
      </c>
      <c r="F1" s="2" t="s">
        <v>209</v>
      </c>
      <c r="G1" s="2" t="s">
        <v>41</v>
      </c>
      <c r="H1" s="2" t="s">
        <v>221</v>
      </c>
      <c r="I1" s="2" t="s">
        <v>298</v>
      </c>
      <c r="J1" s="2" t="s">
        <v>275</v>
      </c>
      <c r="K1" s="2" t="s">
        <v>117</v>
      </c>
      <c r="L1" s="2" t="s">
        <v>410</v>
      </c>
      <c r="M1" s="2" t="s">
        <v>411</v>
      </c>
      <c r="N1" s="2" t="s">
        <v>129</v>
      </c>
      <c r="O1" s="2" t="s">
        <v>47</v>
      </c>
      <c r="P1" s="2" t="s">
        <v>68</v>
      </c>
      <c r="Q1" s="2" t="s">
        <v>31</v>
      </c>
      <c r="R1" s="2" t="s">
        <v>339</v>
      </c>
      <c r="S1" s="2" t="s">
        <v>136</v>
      </c>
      <c r="T1" s="2" t="s">
        <v>79</v>
      </c>
      <c r="U1" s="2" t="s">
        <v>43</v>
      </c>
      <c r="V1" s="2" t="s">
        <v>412</v>
      </c>
      <c r="W1" s="2" t="s">
        <v>26</v>
      </c>
      <c r="X1" s="2" t="s">
        <v>225</v>
      </c>
      <c r="Y1" s="2" t="s">
        <v>22</v>
      </c>
      <c r="Z1" s="2" t="s">
        <v>28</v>
      </c>
      <c r="AA1" s="2" t="s">
        <v>56</v>
      </c>
      <c r="AB1" s="2" t="s">
        <v>91</v>
      </c>
      <c r="AC1" s="2" t="s">
        <v>200</v>
      </c>
      <c r="AD1" s="2" t="s">
        <v>150</v>
      </c>
      <c r="AE1" s="2" t="s">
        <v>232</v>
      </c>
      <c r="AF1" s="2" t="s">
        <v>63</v>
      </c>
      <c r="AG1" s="2" t="s">
        <v>278</v>
      </c>
      <c r="AH1" s="2" t="s">
        <v>261</v>
      </c>
      <c r="AI1" s="2" t="s">
        <v>84</v>
      </c>
      <c r="AJ1" s="2" t="s">
        <v>36</v>
      </c>
      <c r="AK1" s="2" t="s">
        <v>191</v>
      </c>
      <c r="AL1" s="2" t="s">
        <v>152</v>
      </c>
      <c r="AM1" s="2" t="s">
        <v>145</v>
      </c>
      <c r="AN1" s="2" t="s">
        <v>139</v>
      </c>
      <c r="AO1" s="2" t="s">
        <v>214</v>
      </c>
      <c r="AP1" s="2" t="s">
        <v>269</v>
      </c>
      <c r="AQ1" s="2" t="s">
        <v>376</v>
      </c>
      <c r="AR1" s="2" t="s">
        <v>171</v>
      </c>
      <c r="AS1" s="2" t="s">
        <v>110</v>
      </c>
      <c r="AT1" s="2" t="s">
        <v>168</v>
      </c>
      <c r="AU1" s="2" t="s">
        <v>74</v>
      </c>
      <c r="AV1" s="2" t="s">
        <v>207</v>
      </c>
      <c r="AW1" s="2" t="s">
        <v>180</v>
      </c>
      <c r="AX1" s="2" t="s">
        <v>132</v>
      </c>
      <c r="AY1" s="2" t="s">
        <v>88</v>
      </c>
      <c r="AZ1" s="2" t="s">
        <v>413</v>
      </c>
    </row>
    <row r="2" spans="1:52">
      <c r="A2" s="2">
        <v>1</v>
      </c>
      <c r="B2" s="2" t="s">
        <v>22</v>
      </c>
      <c r="C2" s="2" t="s">
        <v>22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0.98099999999999998</v>
      </c>
      <c r="Z2" s="2">
        <v>1.7000000000000001E-2</v>
      </c>
      <c r="AA2" s="2">
        <v>2E-3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</row>
    <row r="3" spans="1:52">
      <c r="A3" s="2">
        <v>2</v>
      </c>
      <c r="B3" s="2" t="s">
        <v>26</v>
      </c>
      <c r="C3" s="2" t="s">
        <v>26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8.0000000000000002E-3</v>
      </c>
      <c r="V3" s="2">
        <v>1E-3</v>
      </c>
      <c r="W3" s="2">
        <v>0.98299999999999998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8.0000000000000002E-3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</row>
    <row r="4" spans="1:52">
      <c r="A4" s="2">
        <v>3</v>
      </c>
      <c r="B4" s="2" t="s">
        <v>28</v>
      </c>
      <c r="C4" s="2" t="s">
        <v>28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1E-3</v>
      </c>
      <c r="Y4" s="2">
        <v>1E-3</v>
      </c>
      <c r="Z4" s="2">
        <v>0.998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</row>
    <row r="5" spans="1:52">
      <c r="A5" s="2">
        <v>4</v>
      </c>
      <c r="B5" s="2" t="s">
        <v>31</v>
      </c>
      <c r="C5" s="2" t="s">
        <v>31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0.97399999999999998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1.9E-2</v>
      </c>
      <c r="AC5" s="2">
        <v>0</v>
      </c>
      <c r="AD5" s="2">
        <v>0</v>
      </c>
      <c r="AE5" s="2">
        <v>1E-3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6.0000000000000001E-3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</row>
    <row r="6" spans="1:52">
      <c r="A6" s="2">
        <v>5</v>
      </c>
      <c r="B6" s="2" t="s">
        <v>22</v>
      </c>
      <c r="C6" s="2" t="s">
        <v>22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1.0999999999999999E-2</v>
      </c>
      <c r="Y6" s="2">
        <v>0.60199999999999998</v>
      </c>
      <c r="Z6" s="2">
        <v>0.36199999999999999</v>
      </c>
      <c r="AA6" s="2">
        <v>2.5000000000000001E-2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</row>
    <row r="7" spans="1:52">
      <c r="A7" s="2">
        <v>6</v>
      </c>
      <c r="B7" s="2" t="s">
        <v>36</v>
      </c>
      <c r="C7" s="2" t="s">
        <v>36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1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</row>
    <row r="8" spans="1:52">
      <c r="A8" s="2">
        <v>7</v>
      </c>
      <c r="B8" s="2" t="s">
        <v>22</v>
      </c>
      <c r="C8" s="2" t="s">
        <v>22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0.95399999999999996</v>
      </c>
      <c r="Z8" s="2">
        <v>4.5999999999999999E-2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</row>
    <row r="9" spans="1:52">
      <c r="A9" s="2">
        <v>8</v>
      </c>
      <c r="B9" s="2" t="s">
        <v>41</v>
      </c>
      <c r="C9" s="2" t="s">
        <v>41</v>
      </c>
      <c r="D9" s="2">
        <v>0</v>
      </c>
      <c r="E9" s="2">
        <v>0</v>
      </c>
      <c r="F9" s="2">
        <v>0</v>
      </c>
      <c r="G9" s="2">
        <v>1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</row>
    <row r="10" spans="1:52">
      <c r="A10" s="2">
        <v>9</v>
      </c>
      <c r="B10" s="2" t="s">
        <v>43</v>
      </c>
      <c r="C10" s="2" t="s">
        <v>43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0.97</v>
      </c>
      <c r="V10" s="2">
        <v>0</v>
      </c>
      <c r="W10" s="2">
        <v>0.03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</row>
    <row r="11" spans="1:52">
      <c r="A11" s="2">
        <v>10</v>
      </c>
      <c r="B11" s="2" t="s">
        <v>47</v>
      </c>
      <c r="C11" s="2" t="s">
        <v>47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1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</row>
    <row r="12" spans="1:52">
      <c r="A12" s="2">
        <v>11</v>
      </c>
      <c r="B12" s="2" t="s">
        <v>31</v>
      </c>
      <c r="C12" s="2" t="s">
        <v>31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0.98399999999999999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4.0000000000000001E-3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1.2E-2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</row>
    <row r="13" spans="1:52">
      <c r="A13" s="2">
        <v>12</v>
      </c>
      <c r="B13" s="2" t="s">
        <v>47</v>
      </c>
      <c r="C13" s="2" t="s">
        <v>47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1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</row>
    <row r="14" spans="1:52">
      <c r="A14" s="2">
        <v>13</v>
      </c>
      <c r="B14" s="2" t="s">
        <v>26</v>
      </c>
      <c r="C14" s="2" t="s">
        <v>26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0.126</v>
      </c>
      <c r="V14" s="2">
        <v>1.4999999999999999E-2</v>
      </c>
      <c r="W14" s="2">
        <v>0.85299999999999998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6.0000000000000001E-3</v>
      </c>
      <c r="AI14" s="2">
        <v>0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2">
        <v>0</v>
      </c>
      <c r="AZ14" s="2">
        <v>0</v>
      </c>
    </row>
    <row r="15" spans="1:52">
      <c r="A15" s="2">
        <v>14</v>
      </c>
      <c r="B15" s="2" t="s">
        <v>41</v>
      </c>
      <c r="C15" s="2" t="s">
        <v>41</v>
      </c>
      <c r="D15" s="2">
        <v>0</v>
      </c>
      <c r="E15" s="2">
        <v>0</v>
      </c>
      <c r="F15" s="2">
        <v>0</v>
      </c>
      <c r="G15" s="2">
        <v>1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</row>
    <row r="16" spans="1:52">
      <c r="A16" s="2">
        <v>15</v>
      </c>
      <c r="B16" s="2" t="s">
        <v>28</v>
      </c>
      <c r="C16" s="2" t="s">
        <v>28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4.3999999999999997E-2</v>
      </c>
      <c r="Y16" s="2">
        <v>0.11799999999999999</v>
      </c>
      <c r="Z16" s="2">
        <v>0.82599999999999996</v>
      </c>
      <c r="AA16" s="2">
        <v>1.2E-2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</row>
    <row r="17" spans="1:52">
      <c r="A17" s="2">
        <v>16</v>
      </c>
      <c r="B17" s="2" t="s">
        <v>41</v>
      </c>
      <c r="C17" s="2" t="s">
        <v>41</v>
      </c>
      <c r="D17" s="2">
        <v>0</v>
      </c>
      <c r="E17" s="2">
        <v>0</v>
      </c>
      <c r="F17" s="2">
        <v>0</v>
      </c>
      <c r="G17" s="2">
        <v>1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</row>
    <row r="18" spans="1:52">
      <c r="A18" s="2">
        <v>17</v>
      </c>
      <c r="B18" s="2" t="s">
        <v>26</v>
      </c>
      <c r="C18" s="2" t="s">
        <v>26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0.99199999999999999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8.0000000000000002E-3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0</v>
      </c>
    </row>
    <row r="19" spans="1:52">
      <c r="A19" s="2">
        <v>18</v>
      </c>
      <c r="B19" s="2" t="s">
        <v>56</v>
      </c>
      <c r="C19" s="2" t="s">
        <v>56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5.0000000000000001E-3</v>
      </c>
      <c r="Z19" s="2">
        <v>2.1999999999999999E-2</v>
      </c>
      <c r="AA19" s="2">
        <v>0.97299999999999998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</row>
    <row r="20" spans="1:52">
      <c r="A20" s="2">
        <v>19</v>
      </c>
      <c r="B20" s="2" t="s">
        <v>28</v>
      </c>
      <c r="C20" s="2" t="s">
        <v>28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1E-3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4.0000000000000001E-3</v>
      </c>
      <c r="Y20" s="2">
        <v>0.20399999999999999</v>
      </c>
      <c r="Z20" s="2">
        <v>0.79100000000000004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</row>
    <row r="21" spans="1:52">
      <c r="A21" s="2">
        <v>20</v>
      </c>
      <c r="B21" s="2" t="s">
        <v>36</v>
      </c>
      <c r="C21" s="2" t="s">
        <v>36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1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</row>
    <row r="22" spans="1:52">
      <c r="A22" s="2">
        <v>21</v>
      </c>
      <c r="B22" s="2" t="s">
        <v>47</v>
      </c>
      <c r="C22" s="2" t="s">
        <v>47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1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</row>
    <row r="23" spans="1:52">
      <c r="A23" s="2">
        <v>22</v>
      </c>
      <c r="B23" s="2" t="s">
        <v>63</v>
      </c>
      <c r="C23" s="2" t="s">
        <v>63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2E-3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0</v>
      </c>
      <c r="AE23" s="2">
        <v>0</v>
      </c>
      <c r="AF23" s="2">
        <v>0.79700000000000004</v>
      </c>
      <c r="AG23" s="2">
        <v>5.1999999999999998E-2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0.14899999999999999</v>
      </c>
    </row>
    <row r="24" spans="1:52">
      <c r="A24" s="2">
        <v>23</v>
      </c>
      <c r="B24" s="2" t="s">
        <v>43</v>
      </c>
      <c r="C24" s="2" t="s">
        <v>43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0.90200000000000002</v>
      </c>
      <c r="V24" s="2">
        <v>0</v>
      </c>
      <c r="W24" s="2">
        <v>9.8000000000000004E-2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</row>
    <row r="25" spans="1:52">
      <c r="A25" s="2">
        <v>24</v>
      </c>
      <c r="B25" s="2" t="s">
        <v>41</v>
      </c>
      <c r="C25" s="2" t="s">
        <v>41</v>
      </c>
      <c r="D25" s="2">
        <v>0</v>
      </c>
      <c r="E25" s="2">
        <v>0</v>
      </c>
      <c r="F25" s="2">
        <v>0</v>
      </c>
      <c r="G25" s="2">
        <v>1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</row>
    <row r="26" spans="1:52">
      <c r="A26" s="2">
        <v>25</v>
      </c>
      <c r="B26" s="2" t="s">
        <v>43</v>
      </c>
      <c r="C26" s="2" t="s">
        <v>43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0.996</v>
      </c>
      <c r="V26" s="2">
        <v>1E-3</v>
      </c>
      <c r="W26" s="2">
        <v>3.0000000000000001E-3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</row>
    <row r="27" spans="1:52">
      <c r="A27" s="2">
        <v>26</v>
      </c>
      <c r="B27" s="2" t="s">
        <v>68</v>
      </c>
      <c r="C27" s="2" t="s">
        <v>68</v>
      </c>
      <c r="D27" s="2">
        <v>6.0000000000000001E-3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0.442</v>
      </c>
      <c r="P27" s="2">
        <v>0.55200000000000005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</row>
    <row r="28" spans="1:52">
      <c r="A28" s="2">
        <v>27</v>
      </c>
      <c r="B28" s="2" t="s">
        <v>47</v>
      </c>
      <c r="C28" s="2" t="s">
        <v>47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1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0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</row>
    <row r="29" spans="1:52">
      <c r="A29" s="2">
        <v>28</v>
      </c>
      <c r="B29" s="2" t="s">
        <v>47</v>
      </c>
      <c r="C29" s="2" t="s">
        <v>47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1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</row>
    <row r="30" spans="1:52">
      <c r="A30" s="2">
        <v>29</v>
      </c>
      <c r="B30" s="2" t="s">
        <v>74</v>
      </c>
      <c r="C30" s="2" t="s">
        <v>74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4.0000000000000001E-3</v>
      </c>
      <c r="AT30" s="2">
        <v>0</v>
      </c>
      <c r="AU30" s="2">
        <v>0.996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</row>
    <row r="31" spans="1:52">
      <c r="A31" s="2">
        <v>30</v>
      </c>
      <c r="B31" s="2" t="s">
        <v>41</v>
      </c>
      <c r="C31" s="2" t="s">
        <v>41</v>
      </c>
      <c r="D31" s="2">
        <v>0</v>
      </c>
      <c r="E31" s="2">
        <v>0</v>
      </c>
      <c r="F31" s="2">
        <v>0</v>
      </c>
      <c r="G31" s="2">
        <v>1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</row>
    <row r="32" spans="1:52">
      <c r="A32" s="2">
        <v>31</v>
      </c>
      <c r="B32" s="2" t="s">
        <v>79</v>
      </c>
      <c r="C32" s="2" t="s">
        <v>79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1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</row>
    <row r="33" spans="1:52">
      <c r="A33" s="2">
        <v>32</v>
      </c>
      <c r="B33" s="2" t="s">
        <v>36</v>
      </c>
      <c r="C33" s="2" t="s">
        <v>36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1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</row>
    <row r="34" spans="1:52">
      <c r="A34" s="2">
        <v>33</v>
      </c>
      <c r="B34" s="2" t="s">
        <v>84</v>
      </c>
      <c r="C34" s="2" t="s">
        <v>84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2E-3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2E-3</v>
      </c>
      <c r="AF34" s="2">
        <v>1E-3</v>
      </c>
      <c r="AG34" s="2">
        <v>0</v>
      </c>
      <c r="AH34" s="2">
        <v>0</v>
      </c>
      <c r="AI34" s="2">
        <v>0.99099999999999999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3.0000000000000001E-3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1E-3</v>
      </c>
    </row>
    <row r="35" spans="1:52">
      <c r="A35" s="2">
        <v>34</v>
      </c>
      <c r="B35" s="2" t="s">
        <v>41</v>
      </c>
      <c r="C35" s="2" t="s">
        <v>41</v>
      </c>
      <c r="D35" s="2">
        <v>0</v>
      </c>
      <c r="E35" s="2">
        <v>0</v>
      </c>
      <c r="F35" s="2">
        <v>0</v>
      </c>
      <c r="G35" s="2">
        <v>1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</row>
    <row r="36" spans="1:52">
      <c r="A36" s="2">
        <v>35</v>
      </c>
      <c r="B36" s="2" t="s">
        <v>47</v>
      </c>
      <c r="C36" s="2" t="s">
        <v>47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1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</row>
    <row r="37" spans="1:52">
      <c r="A37" s="2">
        <v>36</v>
      </c>
      <c r="B37" s="2" t="s">
        <v>88</v>
      </c>
      <c r="C37" s="2" t="s">
        <v>88</v>
      </c>
      <c r="D37" s="2">
        <v>0</v>
      </c>
      <c r="E37" s="2">
        <v>0</v>
      </c>
      <c r="F37" s="2">
        <v>0</v>
      </c>
      <c r="G37" s="2">
        <v>0.41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0.59</v>
      </c>
      <c r="AZ37" s="2">
        <v>0</v>
      </c>
    </row>
    <row r="38" spans="1:52">
      <c r="A38" s="2">
        <v>37</v>
      </c>
      <c r="B38" s="2" t="s">
        <v>41</v>
      </c>
      <c r="C38" s="2" t="s">
        <v>41</v>
      </c>
      <c r="D38" s="2">
        <v>0</v>
      </c>
      <c r="E38" s="2">
        <v>0</v>
      </c>
      <c r="F38" s="2">
        <v>0</v>
      </c>
      <c r="G38" s="2">
        <v>0.94599999999999995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5.3999999999999999E-2</v>
      </c>
      <c r="AZ38" s="2">
        <v>0</v>
      </c>
    </row>
    <row r="39" spans="1:52">
      <c r="A39" s="2">
        <v>38</v>
      </c>
      <c r="B39" s="2" t="s">
        <v>91</v>
      </c>
      <c r="C39" s="2" t="s">
        <v>91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2E-3</v>
      </c>
      <c r="Z39" s="2">
        <v>0</v>
      </c>
      <c r="AA39" s="2">
        <v>0</v>
      </c>
      <c r="AB39" s="2">
        <v>0.95299999999999996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4.4999999999999998E-2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</row>
    <row r="40" spans="1:52">
      <c r="A40" s="2">
        <v>39</v>
      </c>
      <c r="B40" s="2" t="s">
        <v>28</v>
      </c>
      <c r="C40" s="2" t="s">
        <v>28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9.4E-2</v>
      </c>
      <c r="Z40" s="2">
        <v>0.68100000000000005</v>
      </c>
      <c r="AA40" s="2">
        <v>0.22500000000000001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</row>
    <row r="41" spans="1:52">
      <c r="A41" s="2">
        <v>40</v>
      </c>
      <c r="B41" s="2" t="s">
        <v>91</v>
      </c>
      <c r="C41" s="2" t="s">
        <v>91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0.85299999999999998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0.14699999999999999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</row>
    <row r="42" spans="1:52">
      <c r="A42" s="2">
        <v>41</v>
      </c>
      <c r="B42" s="2" t="s">
        <v>41</v>
      </c>
      <c r="C42" s="2" t="s">
        <v>41</v>
      </c>
      <c r="D42" s="2">
        <v>0</v>
      </c>
      <c r="E42" s="2">
        <v>0</v>
      </c>
      <c r="F42" s="2">
        <v>0</v>
      </c>
      <c r="G42" s="2">
        <v>1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</row>
    <row r="43" spans="1:52">
      <c r="A43" s="2">
        <v>42</v>
      </c>
      <c r="B43" s="2" t="s">
        <v>28</v>
      </c>
      <c r="C43" s="2" t="s">
        <v>28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8.0000000000000002E-3</v>
      </c>
      <c r="Y43" s="2">
        <v>9.9000000000000005E-2</v>
      </c>
      <c r="Z43" s="2">
        <v>0.89300000000000002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</row>
    <row r="44" spans="1:52">
      <c r="A44" s="2">
        <v>43</v>
      </c>
      <c r="B44" s="2" t="s">
        <v>100</v>
      </c>
      <c r="C44" s="2" t="s">
        <v>100</v>
      </c>
      <c r="D44" s="2">
        <v>0</v>
      </c>
      <c r="E44" s="2">
        <v>0.999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1E-3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</row>
    <row r="45" spans="1:52">
      <c r="A45" s="2">
        <v>44</v>
      </c>
      <c r="B45" s="2" t="s">
        <v>26</v>
      </c>
      <c r="C45" s="2" t="s">
        <v>26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0.995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5.0000000000000001E-3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</row>
    <row r="46" spans="1:52">
      <c r="A46" s="2">
        <v>45</v>
      </c>
      <c r="B46" s="2" t="s">
        <v>41</v>
      </c>
      <c r="C46" s="2" t="s">
        <v>41</v>
      </c>
      <c r="D46" s="2">
        <v>0</v>
      </c>
      <c r="E46" s="2">
        <v>0</v>
      </c>
      <c r="F46" s="2">
        <v>0</v>
      </c>
      <c r="G46" s="2">
        <v>0.996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</v>
      </c>
      <c r="AS46" s="2">
        <v>0</v>
      </c>
      <c r="AT46" s="2">
        <v>0</v>
      </c>
      <c r="AU46" s="2">
        <v>0</v>
      </c>
      <c r="AV46" s="2">
        <v>0</v>
      </c>
      <c r="AW46" s="2">
        <v>0</v>
      </c>
      <c r="AX46" s="2">
        <v>0</v>
      </c>
      <c r="AY46" s="2">
        <v>4.0000000000000001E-3</v>
      </c>
      <c r="AZ46" s="2">
        <v>0</v>
      </c>
    </row>
    <row r="47" spans="1:52">
      <c r="A47" s="2">
        <v>46</v>
      </c>
      <c r="B47" s="2" t="s">
        <v>100</v>
      </c>
      <c r="C47" s="2" t="s">
        <v>100</v>
      </c>
      <c r="D47" s="2">
        <v>0</v>
      </c>
      <c r="E47" s="2">
        <v>0.98499999999999999</v>
      </c>
      <c r="F47" s="2">
        <v>0</v>
      </c>
      <c r="G47" s="2">
        <v>0</v>
      </c>
      <c r="H47" s="2">
        <v>0</v>
      </c>
      <c r="I47" s="2">
        <v>1E-3</v>
      </c>
      <c r="J47" s="2">
        <v>0</v>
      </c>
      <c r="K47" s="2">
        <v>0</v>
      </c>
      <c r="L47" s="2">
        <v>2E-3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1E-3</v>
      </c>
      <c r="AE47" s="2">
        <v>1E-3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7.0000000000000001E-3</v>
      </c>
      <c r="AQ47" s="2">
        <v>0</v>
      </c>
      <c r="AR47" s="2">
        <v>1E-3</v>
      </c>
      <c r="AS47" s="2">
        <v>0</v>
      </c>
      <c r="AT47" s="2">
        <v>0</v>
      </c>
      <c r="AU47" s="2">
        <v>0</v>
      </c>
      <c r="AV47" s="2">
        <v>0</v>
      </c>
      <c r="AW47" s="2">
        <v>1E-3</v>
      </c>
      <c r="AX47" s="2">
        <v>1E-3</v>
      </c>
      <c r="AY47" s="2">
        <v>0</v>
      </c>
      <c r="AZ47" s="2">
        <v>0</v>
      </c>
    </row>
    <row r="48" spans="1:52">
      <c r="A48" s="2">
        <v>47</v>
      </c>
      <c r="B48" s="2" t="s">
        <v>22</v>
      </c>
      <c r="C48" s="2" t="s">
        <v>22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0.997</v>
      </c>
      <c r="Z48" s="2">
        <v>3.0000000000000001E-3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</row>
    <row r="49" spans="1:52">
      <c r="A49" s="2">
        <v>48</v>
      </c>
      <c r="B49" s="2" t="s">
        <v>74</v>
      </c>
      <c r="C49" s="2" t="s">
        <v>74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2E-3</v>
      </c>
      <c r="AT49" s="2">
        <v>4.0000000000000001E-3</v>
      </c>
      <c r="AU49" s="2">
        <v>0.99399999999999999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</row>
    <row r="50" spans="1:52">
      <c r="A50" s="2">
        <v>49</v>
      </c>
      <c r="B50" s="2" t="s">
        <v>41</v>
      </c>
      <c r="C50" s="2" t="s">
        <v>41</v>
      </c>
      <c r="D50" s="2">
        <v>0</v>
      </c>
      <c r="E50" s="2">
        <v>0</v>
      </c>
      <c r="F50" s="2">
        <v>0</v>
      </c>
      <c r="G50" s="2">
        <v>1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</row>
    <row r="51" spans="1:52">
      <c r="A51" s="2">
        <v>50</v>
      </c>
      <c r="B51" s="2" t="s">
        <v>41</v>
      </c>
      <c r="C51" s="2" t="s">
        <v>41</v>
      </c>
      <c r="D51" s="2">
        <v>0</v>
      </c>
      <c r="E51" s="2">
        <v>0</v>
      </c>
      <c r="F51" s="2">
        <v>0</v>
      </c>
      <c r="G51" s="2">
        <v>1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0</v>
      </c>
    </row>
    <row r="52" spans="1:52">
      <c r="A52" s="2">
        <v>51</v>
      </c>
      <c r="B52" s="2" t="s">
        <v>26</v>
      </c>
      <c r="C52" s="2" t="s">
        <v>26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0.16200000000000001</v>
      </c>
      <c r="V52" s="2">
        <v>0</v>
      </c>
      <c r="W52" s="2">
        <v>0.83799999999999997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2">
        <v>0</v>
      </c>
      <c r="AZ52" s="2">
        <v>0</v>
      </c>
    </row>
    <row r="53" spans="1:52">
      <c r="A53" s="2">
        <v>52</v>
      </c>
      <c r="B53" s="2" t="s">
        <v>41</v>
      </c>
      <c r="C53" s="2" t="s">
        <v>41</v>
      </c>
      <c r="D53" s="2">
        <v>0</v>
      </c>
      <c r="E53" s="2">
        <v>0</v>
      </c>
      <c r="F53" s="2">
        <v>0</v>
      </c>
      <c r="G53" s="2">
        <v>1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</row>
    <row r="54" spans="1:52">
      <c r="A54" s="2">
        <v>53</v>
      </c>
      <c r="B54" s="2" t="s">
        <v>110</v>
      </c>
      <c r="C54" s="2" t="s">
        <v>110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1E-3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1E-3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>
        <v>1E-3</v>
      </c>
      <c r="AR54" s="2">
        <v>0</v>
      </c>
      <c r="AS54" s="2">
        <v>0.96599999999999997</v>
      </c>
      <c r="AT54" s="2">
        <v>0</v>
      </c>
      <c r="AU54" s="2">
        <v>3.1E-2</v>
      </c>
      <c r="AV54" s="2">
        <v>0</v>
      </c>
      <c r="AW54" s="2">
        <v>0</v>
      </c>
      <c r="AX54" s="2">
        <v>0</v>
      </c>
      <c r="AY54" s="2">
        <v>0</v>
      </c>
      <c r="AZ54" s="2">
        <v>0</v>
      </c>
    </row>
    <row r="55" spans="1:52">
      <c r="A55" s="2">
        <v>54</v>
      </c>
      <c r="B55" s="2" t="s">
        <v>91</v>
      </c>
      <c r="C55" s="2" t="s">
        <v>91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0.95099999999999996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4.9000000000000002E-2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  <c r="AT55" s="2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</row>
    <row r="56" spans="1:52">
      <c r="A56" s="2">
        <v>55</v>
      </c>
      <c r="B56" s="2" t="s">
        <v>47</v>
      </c>
      <c r="C56" s="2" t="s">
        <v>47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1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0</v>
      </c>
      <c r="AT56" s="2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</row>
    <row r="57" spans="1:52">
      <c r="A57" s="2">
        <v>56</v>
      </c>
      <c r="B57" s="2" t="s">
        <v>47</v>
      </c>
      <c r="C57" s="2" t="s">
        <v>47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1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</row>
    <row r="58" spans="1:52">
      <c r="A58" s="2">
        <v>57</v>
      </c>
      <c r="B58" s="2" t="s">
        <v>47</v>
      </c>
      <c r="C58" s="2" t="s">
        <v>47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1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0</v>
      </c>
      <c r="AS58" s="2">
        <v>0</v>
      </c>
      <c r="AT58" s="2">
        <v>0</v>
      </c>
      <c r="AU58" s="2">
        <v>0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</row>
    <row r="59" spans="1:52">
      <c r="A59" s="2">
        <v>58</v>
      </c>
      <c r="B59" s="2" t="s">
        <v>41</v>
      </c>
      <c r="C59" s="2" t="s">
        <v>41</v>
      </c>
      <c r="D59" s="2">
        <v>0</v>
      </c>
      <c r="E59" s="2">
        <v>0</v>
      </c>
      <c r="F59" s="2">
        <v>0</v>
      </c>
      <c r="G59" s="2">
        <v>1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0</v>
      </c>
      <c r="AR59" s="2">
        <v>0</v>
      </c>
      <c r="AS59" s="2">
        <v>0</v>
      </c>
      <c r="AT59" s="2">
        <v>0</v>
      </c>
      <c r="AU59" s="2">
        <v>0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</row>
    <row r="60" spans="1:52">
      <c r="A60" s="2">
        <v>59</v>
      </c>
      <c r="B60" s="2" t="s">
        <v>26</v>
      </c>
      <c r="C60" s="2" t="s">
        <v>26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4.7E-2</v>
      </c>
      <c r="V60" s="2">
        <v>1E-3</v>
      </c>
      <c r="W60" s="2">
        <v>0.90300000000000002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4.9000000000000002E-2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2">
        <v>0</v>
      </c>
      <c r="AQ60" s="2">
        <v>0</v>
      </c>
      <c r="AR60" s="2">
        <v>0</v>
      </c>
      <c r="AS60" s="2">
        <v>0</v>
      </c>
      <c r="AT60" s="2">
        <v>0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0</v>
      </c>
    </row>
    <row r="61" spans="1:52">
      <c r="A61" s="2">
        <v>60</v>
      </c>
      <c r="B61" s="2" t="s">
        <v>117</v>
      </c>
      <c r="C61" s="2" t="s">
        <v>117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1E-3</v>
      </c>
      <c r="J61" s="2">
        <v>0.02</v>
      </c>
      <c r="K61" s="2">
        <v>0.97899999999999998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0</v>
      </c>
      <c r="AR61" s="2">
        <v>0</v>
      </c>
      <c r="AS61" s="2">
        <v>0</v>
      </c>
      <c r="AT61" s="2">
        <v>0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</row>
    <row r="62" spans="1:52">
      <c r="A62" s="2">
        <v>61</v>
      </c>
      <c r="B62" s="2" t="s">
        <v>91</v>
      </c>
      <c r="C62" s="2" t="s">
        <v>91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0.97599999999999998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2.4E-2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  <c r="AQ62" s="2">
        <v>0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</row>
    <row r="63" spans="1:52">
      <c r="A63" s="2">
        <v>62</v>
      </c>
      <c r="B63" s="2" t="s">
        <v>47</v>
      </c>
      <c r="C63" s="2" t="s">
        <v>47</v>
      </c>
      <c r="D63" s="2">
        <v>2.5000000000000001E-2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0.97099999999999997</v>
      </c>
      <c r="P63" s="2">
        <v>4.0000000000000001E-3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</row>
    <row r="64" spans="1:52">
      <c r="A64" s="2">
        <v>63</v>
      </c>
      <c r="B64" s="2" t="s">
        <v>79</v>
      </c>
      <c r="C64" s="2" t="s">
        <v>79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1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</row>
    <row r="65" spans="1:52">
      <c r="A65" s="2">
        <v>64</v>
      </c>
      <c r="B65" s="2" t="s">
        <v>41</v>
      </c>
      <c r="C65" s="2" t="s">
        <v>41</v>
      </c>
      <c r="D65" s="2">
        <v>0</v>
      </c>
      <c r="E65" s="2">
        <v>0</v>
      </c>
      <c r="F65" s="2">
        <v>0</v>
      </c>
      <c r="G65" s="2">
        <v>0.999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1E-3</v>
      </c>
      <c r="AZ65" s="2">
        <v>0</v>
      </c>
    </row>
    <row r="66" spans="1:52">
      <c r="A66" s="2">
        <v>65</v>
      </c>
      <c r="B66" s="2" t="s">
        <v>28</v>
      </c>
      <c r="C66" s="2" t="s">
        <v>28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1E-3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0.122</v>
      </c>
      <c r="Z66" s="2">
        <v>0.877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0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</row>
    <row r="67" spans="1:52">
      <c r="A67" s="2">
        <v>66</v>
      </c>
      <c r="B67" s="2" t="s">
        <v>56</v>
      </c>
      <c r="C67" s="2" t="s">
        <v>56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1.7000000000000001E-2</v>
      </c>
      <c r="Y67" s="2">
        <v>0.115</v>
      </c>
      <c r="Z67" s="2">
        <v>6.8000000000000005E-2</v>
      </c>
      <c r="AA67" s="2">
        <v>0.8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</row>
    <row r="68" spans="1:52">
      <c r="A68" s="2">
        <v>67</v>
      </c>
      <c r="B68" s="2" t="s">
        <v>22</v>
      </c>
      <c r="C68" s="2" t="s">
        <v>22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0.91</v>
      </c>
      <c r="Z68" s="2">
        <v>0.09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</row>
    <row r="69" spans="1:52">
      <c r="A69" s="2">
        <v>68</v>
      </c>
      <c r="B69" s="2" t="s">
        <v>22</v>
      </c>
      <c r="C69" s="2" t="s">
        <v>22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0.80700000000000005</v>
      </c>
      <c r="Z69" s="2">
        <v>2.1000000000000001E-2</v>
      </c>
      <c r="AA69" s="2">
        <v>0.17199999999999999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  <c r="AQ69" s="2">
        <v>0</v>
      </c>
      <c r="AR69" s="2">
        <v>0</v>
      </c>
      <c r="AS69" s="2">
        <v>0</v>
      </c>
      <c r="AT69" s="2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</row>
    <row r="70" spans="1:52">
      <c r="A70" s="2">
        <v>69</v>
      </c>
      <c r="B70" s="2" t="s">
        <v>91</v>
      </c>
      <c r="C70" s="2" t="s">
        <v>91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0.84799999999999998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0.152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0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</row>
    <row r="71" spans="1:52">
      <c r="A71" s="2">
        <v>70</v>
      </c>
      <c r="B71" s="2" t="s">
        <v>63</v>
      </c>
      <c r="C71" s="2" t="s">
        <v>63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0.72499999999999998</v>
      </c>
      <c r="AG71" s="2">
        <v>8.7999999999999995E-2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1E-3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1E-3</v>
      </c>
      <c r="AY71" s="2">
        <v>0</v>
      </c>
      <c r="AZ71" s="2">
        <v>0.185</v>
      </c>
    </row>
    <row r="72" spans="1:52">
      <c r="A72" s="2">
        <v>71</v>
      </c>
      <c r="B72" s="2" t="s">
        <v>129</v>
      </c>
      <c r="C72" s="2" t="s">
        <v>129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2E-3</v>
      </c>
      <c r="K72" s="2">
        <v>0</v>
      </c>
      <c r="L72" s="2">
        <v>0</v>
      </c>
      <c r="M72" s="2">
        <v>0</v>
      </c>
      <c r="N72" s="2">
        <v>0.998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</row>
    <row r="73" spans="1:52">
      <c r="A73" s="2">
        <v>72</v>
      </c>
      <c r="B73" s="2" t="s">
        <v>132</v>
      </c>
      <c r="C73" s="2" t="s">
        <v>132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1E-3</v>
      </c>
      <c r="AF73" s="2">
        <v>0</v>
      </c>
      <c r="AG73" s="2">
        <v>3.0000000000000001E-3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AU73" s="2">
        <v>0</v>
      </c>
      <c r="AV73" s="2">
        <v>0</v>
      </c>
      <c r="AW73" s="2">
        <v>0</v>
      </c>
      <c r="AX73" s="2">
        <v>0.996</v>
      </c>
      <c r="AY73" s="2">
        <v>0</v>
      </c>
      <c r="AZ73" s="2">
        <v>0</v>
      </c>
    </row>
    <row r="74" spans="1:52">
      <c r="A74" s="2">
        <v>73</v>
      </c>
      <c r="B74" s="2" t="s">
        <v>41</v>
      </c>
      <c r="C74" s="2" t="s">
        <v>41</v>
      </c>
      <c r="D74" s="2">
        <v>0</v>
      </c>
      <c r="E74" s="2">
        <v>0</v>
      </c>
      <c r="F74" s="2">
        <v>0</v>
      </c>
      <c r="G74" s="2">
        <v>1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</row>
    <row r="75" spans="1:52">
      <c r="A75" s="2">
        <v>74</v>
      </c>
      <c r="B75" s="2" t="s">
        <v>136</v>
      </c>
      <c r="C75" s="2" t="s">
        <v>136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0.997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3.0000000000000001E-3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</row>
    <row r="76" spans="1:52">
      <c r="A76" s="2">
        <v>75</v>
      </c>
      <c r="B76" s="2" t="s">
        <v>139</v>
      </c>
      <c r="C76" s="2" t="s">
        <v>139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1E-3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0.96499999999999997</v>
      </c>
      <c r="AO76" s="2">
        <v>3.4000000000000002E-2</v>
      </c>
      <c r="AP76" s="2">
        <v>0</v>
      </c>
      <c r="AQ76" s="2">
        <v>0</v>
      </c>
      <c r="AR76" s="2">
        <v>0</v>
      </c>
      <c r="AS76" s="2">
        <v>0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</row>
    <row r="77" spans="1:52">
      <c r="A77" s="2">
        <v>76</v>
      </c>
      <c r="B77" s="2" t="s">
        <v>22</v>
      </c>
      <c r="C77" s="2" t="s">
        <v>22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0.88100000000000001</v>
      </c>
      <c r="Z77" s="2">
        <v>0.11899999999999999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0</v>
      </c>
    </row>
    <row r="78" spans="1:52">
      <c r="A78" s="2">
        <v>77</v>
      </c>
      <c r="B78" s="2" t="s">
        <v>31</v>
      </c>
      <c r="C78" s="2" t="s">
        <v>31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1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</row>
    <row r="79" spans="1:52">
      <c r="A79" s="2">
        <v>78</v>
      </c>
      <c r="B79" s="2" t="s">
        <v>26</v>
      </c>
      <c r="C79" s="2" t="s">
        <v>26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1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0</v>
      </c>
    </row>
    <row r="80" spans="1:52">
      <c r="A80" s="2">
        <v>79</v>
      </c>
      <c r="B80" s="2" t="s">
        <v>91</v>
      </c>
      <c r="C80" s="2" t="s">
        <v>91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0.91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0.09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</row>
    <row r="81" spans="1:52">
      <c r="A81" s="2">
        <v>80</v>
      </c>
      <c r="B81" s="2" t="s">
        <v>145</v>
      </c>
      <c r="C81" s="2" t="s">
        <v>145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0.17599999999999999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0.69099999999999995</v>
      </c>
      <c r="AN81" s="2">
        <v>3.4000000000000002E-2</v>
      </c>
      <c r="AO81" s="2">
        <v>9.9000000000000005E-2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</row>
    <row r="82" spans="1:52">
      <c r="A82" s="2">
        <v>81</v>
      </c>
      <c r="B82" s="2" t="s">
        <v>47</v>
      </c>
      <c r="C82" s="2" t="s">
        <v>47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1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</row>
    <row r="83" spans="1:52">
      <c r="A83" s="2">
        <v>82</v>
      </c>
      <c r="B83" s="2" t="s">
        <v>91</v>
      </c>
      <c r="C83" s="2" t="s">
        <v>91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0.75800000000000001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0.24199999999999999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</row>
    <row r="84" spans="1:52">
      <c r="A84" s="2">
        <v>83</v>
      </c>
      <c r="B84" s="2" t="s">
        <v>150</v>
      </c>
      <c r="C84" s="2" t="s">
        <v>150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2E-3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0.97399999999999998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2.4E-2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</row>
    <row r="85" spans="1:52">
      <c r="A85" s="2">
        <v>84</v>
      </c>
      <c r="B85" s="2" t="s">
        <v>47</v>
      </c>
      <c r="C85" s="2" t="s">
        <v>47</v>
      </c>
      <c r="D85" s="2">
        <v>1.0999999999999999E-2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0.98899999999999999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  <c r="AQ85" s="2">
        <v>0</v>
      </c>
      <c r="AR85" s="2">
        <v>0</v>
      </c>
      <c r="AS85" s="2">
        <v>0</v>
      </c>
      <c r="AT85" s="2">
        <v>0</v>
      </c>
      <c r="AU85" s="2">
        <v>0</v>
      </c>
      <c r="AV85" s="2">
        <v>0</v>
      </c>
      <c r="AW85" s="2">
        <v>0</v>
      </c>
      <c r="AX85" s="2">
        <v>0</v>
      </c>
      <c r="AY85" s="2">
        <v>0</v>
      </c>
      <c r="AZ85" s="2">
        <v>0</v>
      </c>
    </row>
    <row r="86" spans="1:52">
      <c r="A86" s="2">
        <v>85</v>
      </c>
      <c r="B86" s="2" t="s">
        <v>136</v>
      </c>
      <c r="C86" s="2" t="s">
        <v>136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0.94699999999999995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5.2999999999999999E-2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</row>
    <row r="87" spans="1:52">
      <c r="A87" s="2">
        <v>86</v>
      </c>
      <c r="B87" s="2" t="s">
        <v>152</v>
      </c>
      <c r="C87" s="2" t="s">
        <v>152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6.2E-2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1E-3</v>
      </c>
      <c r="Z87" s="2">
        <v>0</v>
      </c>
      <c r="AA87" s="2">
        <v>0</v>
      </c>
      <c r="AB87" s="2">
        <v>0</v>
      </c>
      <c r="AC87" s="2">
        <v>0</v>
      </c>
      <c r="AD87" s="2">
        <v>0.29099999999999998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0.64600000000000002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</row>
    <row r="88" spans="1:52">
      <c r="A88" s="2">
        <v>87</v>
      </c>
      <c r="B88" s="2" t="s">
        <v>41</v>
      </c>
      <c r="C88" s="2" t="s">
        <v>41</v>
      </c>
      <c r="D88" s="2">
        <v>0</v>
      </c>
      <c r="E88" s="2">
        <v>0</v>
      </c>
      <c r="F88" s="2">
        <v>0</v>
      </c>
      <c r="G88" s="2">
        <v>1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</row>
    <row r="89" spans="1:52">
      <c r="A89" s="2">
        <v>88</v>
      </c>
      <c r="B89" s="2" t="s">
        <v>41</v>
      </c>
      <c r="C89" s="2" t="s">
        <v>41</v>
      </c>
      <c r="D89" s="2">
        <v>0</v>
      </c>
      <c r="E89" s="2">
        <v>0</v>
      </c>
      <c r="F89" s="2">
        <v>0</v>
      </c>
      <c r="G89" s="2">
        <v>1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0</v>
      </c>
    </row>
    <row r="90" spans="1:52">
      <c r="A90" s="2">
        <v>89</v>
      </c>
      <c r="B90" s="2" t="s">
        <v>100</v>
      </c>
      <c r="C90" s="2" t="s">
        <v>100</v>
      </c>
      <c r="D90" s="2">
        <v>0</v>
      </c>
      <c r="E90" s="2">
        <v>0.97</v>
      </c>
      <c r="F90" s="2">
        <v>0</v>
      </c>
      <c r="G90" s="2">
        <v>0</v>
      </c>
      <c r="H90" s="2">
        <v>1E-3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1E-3</v>
      </c>
      <c r="R90" s="2">
        <v>0</v>
      </c>
      <c r="S90" s="2">
        <v>2E-3</v>
      </c>
      <c r="T90" s="2">
        <v>0</v>
      </c>
      <c r="U90" s="2">
        <v>0</v>
      </c>
      <c r="V90" s="2">
        <v>1E-3</v>
      </c>
      <c r="W90" s="2">
        <v>0</v>
      </c>
      <c r="X90" s="2">
        <v>0</v>
      </c>
      <c r="Y90" s="2">
        <v>0</v>
      </c>
      <c r="Z90" s="2">
        <v>0</v>
      </c>
      <c r="AA90" s="2">
        <v>2E-3</v>
      </c>
      <c r="AB90" s="2">
        <v>6.0000000000000001E-3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2E-3</v>
      </c>
      <c r="AK90" s="2">
        <v>1E-3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1.4E-2</v>
      </c>
      <c r="AX90" s="2">
        <v>0</v>
      </c>
      <c r="AY90" s="2">
        <v>0</v>
      </c>
      <c r="AZ90" s="2">
        <v>0</v>
      </c>
    </row>
    <row r="91" spans="1:52">
      <c r="A91" s="2">
        <v>90</v>
      </c>
      <c r="B91" s="2" t="s">
        <v>22</v>
      </c>
      <c r="C91" s="2" t="s">
        <v>22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0.98899999999999999</v>
      </c>
      <c r="Z91" s="2">
        <v>0</v>
      </c>
      <c r="AA91" s="2">
        <v>1.0999999999999999E-2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</row>
    <row r="92" spans="1:52">
      <c r="A92" s="2">
        <v>91</v>
      </c>
      <c r="B92" s="2" t="s">
        <v>41</v>
      </c>
      <c r="C92" s="2" t="s">
        <v>41</v>
      </c>
      <c r="D92" s="2">
        <v>0</v>
      </c>
      <c r="E92" s="2">
        <v>0</v>
      </c>
      <c r="F92" s="2">
        <v>0</v>
      </c>
      <c r="G92" s="2">
        <v>1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</row>
    <row r="93" spans="1:52">
      <c r="A93" s="2">
        <v>92</v>
      </c>
      <c r="B93" s="2" t="s">
        <v>129</v>
      </c>
      <c r="C93" s="2" t="s">
        <v>129</v>
      </c>
      <c r="D93" s="2">
        <v>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1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</row>
    <row r="94" spans="1:52">
      <c r="A94" s="2">
        <v>93</v>
      </c>
      <c r="B94" s="2" t="s">
        <v>36</v>
      </c>
      <c r="C94" s="2" t="s">
        <v>36</v>
      </c>
      <c r="D94" s="2">
        <v>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1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2">
        <v>0</v>
      </c>
      <c r="AQ94" s="2">
        <v>0</v>
      </c>
      <c r="AR94" s="2">
        <v>0</v>
      </c>
      <c r="AS94" s="2">
        <v>0</v>
      </c>
      <c r="AT94" s="2">
        <v>0</v>
      </c>
      <c r="AU94" s="2">
        <v>0</v>
      </c>
      <c r="AV94" s="2">
        <v>0</v>
      </c>
      <c r="AW94" s="2">
        <v>0</v>
      </c>
      <c r="AX94" s="2">
        <v>0</v>
      </c>
      <c r="AY94" s="2">
        <v>0</v>
      </c>
      <c r="AZ94" s="2">
        <v>0</v>
      </c>
    </row>
    <row r="95" spans="1:52">
      <c r="A95" s="2">
        <v>94</v>
      </c>
      <c r="B95" s="2" t="s">
        <v>47</v>
      </c>
      <c r="C95" s="2" t="s">
        <v>47</v>
      </c>
      <c r="D95" s="2">
        <v>3.4000000000000002E-2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0.94</v>
      </c>
      <c r="P95" s="2">
        <v>2.5999999999999999E-2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0</v>
      </c>
      <c r="AP95" s="2">
        <v>0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0</v>
      </c>
    </row>
    <row r="96" spans="1:52">
      <c r="A96" s="2">
        <v>95</v>
      </c>
      <c r="B96" s="2" t="s">
        <v>41</v>
      </c>
      <c r="C96" s="2" t="s">
        <v>41</v>
      </c>
      <c r="D96" s="2">
        <v>0</v>
      </c>
      <c r="E96" s="2">
        <v>0</v>
      </c>
      <c r="F96" s="2">
        <v>0</v>
      </c>
      <c r="G96" s="2">
        <v>1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</row>
    <row r="97" spans="1:52">
      <c r="A97" s="2">
        <v>96</v>
      </c>
      <c r="B97" s="2" t="s">
        <v>163</v>
      </c>
      <c r="C97" s="2" t="s">
        <v>163</v>
      </c>
      <c r="D97" s="2">
        <v>0.64200000000000002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0.20200000000000001</v>
      </c>
      <c r="P97" s="2">
        <v>0.156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</row>
    <row r="98" spans="1:52">
      <c r="A98" s="2">
        <v>97</v>
      </c>
      <c r="B98" s="2" t="s">
        <v>91</v>
      </c>
      <c r="C98" s="2" t="s">
        <v>91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0.88700000000000001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0.113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0</v>
      </c>
      <c r="AX98" s="2">
        <v>0</v>
      </c>
      <c r="AY98" s="2">
        <v>0</v>
      </c>
      <c r="AZ98" s="2">
        <v>0</v>
      </c>
    </row>
    <row r="99" spans="1:52">
      <c r="A99" s="2">
        <v>98</v>
      </c>
      <c r="B99" s="2" t="s">
        <v>100</v>
      </c>
      <c r="C99" s="2" t="s">
        <v>100</v>
      </c>
      <c r="D99" s="2">
        <v>0</v>
      </c>
      <c r="E99" s="2">
        <v>0.999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1E-3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</row>
    <row r="100" spans="1:52">
      <c r="A100" s="2">
        <v>99</v>
      </c>
      <c r="B100" s="2" t="s">
        <v>41</v>
      </c>
      <c r="C100" s="2" t="s">
        <v>41</v>
      </c>
      <c r="D100" s="2">
        <v>0</v>
      </c>
      <c r="E100" s="2">
        <v>0</v>
      </c>
      <c r="F100" s="2">
        <v>0</v>
      </c>
      <c r="G100" s="2">
        <v>1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0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0</v>
      </c>
    </row>
    <row r="101" spans="1:52">
      <c r="A101" s="2">
        <v>100</v>
      </c>
      <c r="B101" s="2" t="s">
        <v>43</v>
      </c>
      <c r="C101" s="2" t="s">
        <v>43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0.64900000000000002</v>
      </c>
      <c r="V101" s="2">
        <v>1.2999999999999999E-2</v>
      </c>
      <c r="W101" s="2">
        <v>0.33200000000000002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6.0000000000000001E-3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</v>
      </c>
      <c r="AQ101" s="2">
        <v>0</v>
      </c>
      <c r="AR101" s="2">
        <v>0</v>
      </c>
      <c r="AS101" s="2">
        <v>0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0</v>
      </c>
    </row>
    <row r="102" spans="1:52">
      <c r="A102" s="2">
        <v>101</v>
      </c>
      <c r="B102" s="2" t="s">
        <v>168</v>
      </c>
      <c r="C102" s="2" t="s">
        <v>168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1E-3</v>
      </c>
      <c r="AT102" s="2">
        <v>0.999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0</v>
      </c>
    </row>
    <row r="103" spans="1:52">
      <c r="A103" s="2">
        <v>102</v>
      </c>
      <c r="B103" s="2" t="s">
        <v>171</v>
      </c>
      <c r="C103" s="2" t="s">
        <v>171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2">
        <v>0</v>
      </c>
      <c r="AB103" s="2">
        <v>0</v>
      </c>
      <c r="AC103" s="2">
        <v>0</v>
      </c>
      <c r="AD103" s="2">
        <v>0</v>
      </c>
      <c r="AE103" s="2">
        <v>1E-3</v>
      </c>
      <c r="AF103" s="2">
        <v>1E-3</v>
      </c>
      <c r="AG103" s="2">
        <v>0</v>
      </c>
      <c r="AH103" s="2">
        <v>0</v>
      </c>
      <c r="AI103" s="2">
        <v>0</v>
      </c>
      <c r="AJ103" s="2">
        <v>0</v>
      </c>
      <c r="AK103" s="2">
        <v>0</v>
      </c>
      <c r="AL103" s="2">
        <v>0</v>
      </c>
      <c r="AM103" s="2">
        <v>0</v>
      </c>
      <c r="AN103" s="2">
        <v>0</v>
      </c>
      <c r="AO103" s="2">
        <v>0</v>
      </c>
      <c r="AP103" s="2">
        <v>0</v>
      </c>
      <c r="AQ103" s="2">
        <v>0.13300000000000001</v>
      </c>
      <c r="AR103" s="2">
        <v>0.86399999999999999</v>
      </c>
      <c r="AS103" s="2">
        <v>0</v>
      </c>
      <c r="AT103" s="2">
        <v>0</v>
      </c>
      <c r="AU103" s="2">
        <v>0</v>
      </c>
      <c r="AV103" s="2">
        <v>1E-3</v>
      </c>
      <c r="AW103" s="2">
        <v>0</v>
      </c>
      <c r="AX103" s="2">
        <v>0</v>
      </c>
      <c r="AY103" s="2">
        <v>0</v>
      </c>
      <c r="AZ103" s="2">
        <v>0</v>
      </c>
    </row>
    <row r="104" spans="1:52">
      <c r="A104" s="2">
        <v>103</v>
      </c>
      <c r="B104" s="2" t="s">
        <v>41</v>
      </c>
      <c r="C104" s="2" t="s">
        <v>41</v>
      </c>
      <c r="D104" s="2">
        <v>0</v>
      </c>
      <c r="E104" s="2">
        <v>0</v>
      </c>
      <c r="F104" s="2">
        <v>0</v>
      </c>
      <c r="G104" s="2">
        <v>0.98199999999999998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0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1.7999999999999999E-2</v>
      </c>
      <c r="AZ104" s="2">
        <v>0</v>
      </c>
    </row>
    <row r="105" spans="1:52">
      <c r="A105" s="2">
        <v>104</v>
      </c>
      <c r="B105" s="2" t="s">
        <v>88</v>
      </c>
      <c r="C105" s="2" t="s">
        <v>88</v>
      </c>
      <c r="D105" s="2">
        <v>0</v>
      </c>
      <c r="E105" s="2">
        <v>0</v>
      </c>
      <c r="F105" s="2">
        <v>0</v>
      </c>
      <c r="G105" s="2">
        <v>0.35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0.65</v>
      </c>
      <c r="AZ105" s="2">
        <v>0</v>
      </c>
    </row>
    <row r="106" spans="1:52">
      <c r="A106" s="2">
        <v>105</v>
      </c>
      <c r="B106" s="2" t="s">
        <v>47</v>
      </c>
      <c r="C106" s="2" t="s">
        <v>47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1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</row>
    <row r="107" spans="1:52">
      <c r="A107" s="2">
        <v>106</v>
      </c>
      <c r="B107" s="2" t="s">
        <v>28</v>
      </c>
      <c r="C107" s="2" t="s">
        <v>28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0.315</v>
      </c>
      <c r="Z107" s="2">
        <v>0.56799999999999995</v>
      </c>
      <c r="AA107" s="2">
        <v>0.11700000000000001</v>
      </c>
      <c r="AB107" s="2">
        <v>0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0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</row>
    <row r="108" spans="1:52">
      <c r="A108" s="2">
        <v>107</v>
      </c>
      <c r="B108" s="2" t="s">
        <v>88</v>
      </c>
      <c r="C108" s="2" t="s">
        <v>88</v>
      </c>
      <c r="D108" s="2">
        <v>0</v>
      </c>
      <c r="E108" s="2">
        <v>0</v>
      </c>
      <c r="F108" s="2">
        <v>0</v>
      </c>
      <c r="G108" s="2">
        <v>0.218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0.78200000000000003</v>
      </c>
      <c r="AZ108" s="2">
        <v>0</v>
      </c>
    </row>
    <row r="109" spans="1:52">
      <c r="A109" s="2">
        <v>108</v>
      </c>
      <c r="B109" s="2" t="s">
        <v>180</v>
      </c>
      <c r="C109" s="2" t="s">
        <v>180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1E-3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1E-3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2E-3</v>
      </c>
      <c r="AO109" s="2">
        <v>0</v>
      </c>
      <c r="AP109" s="2">
        <v>0</v>
      </c>
      <c r="AQ109" s="2">
        <v>0</v>
      </c>
      <c r="AR109" s="2">
        <v>0</v>
      </c>
      <c r="AS109" s="2">
        <v>0</v>
      </c>
      <c r="AT109" s="2">
        <v>2E-3</v>
      </c>
      <c r="AU109" s="2">
        <v>0</v>
      </c>
      <c r="AV109" s="2">
        <v>0</v>
      </c>
      <c r="AW109" s="2">
        <v>0.99399999999999999</v>
      </c>
      <c r="AX109" s="2">
        <v>0</v>
      </c>
      <c r="AY109" s="2">
        <v>0</v>
      </c>
      <c r="AZ109" s="2">
        <v>0</v>
      </c>
    </row>
    <row r="110" spans="1:52">
      <c r="A110" s="2">
        <v>109</v>
      </c>
      <c r="B110" s="2" t="s">
        <v>41</v>
      </c>
      <c r="C110" s="2" t="s">
        <v>41</v>
      </c>
      <c r="D110" s="2">
        <v>0</v>
      </c>
      <c r="E110" s="2">
        <v>0</v>
      </c>
      <c r="F110" s="2">
        <v>0</v>
      </c>
      <c r="G110" s="2">
        <v>1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</row>
    <row r="111" spans="1:52">
      <c r="A111" s="2">
        <v>110</v>
      </c>
      <c r="B111" s="2" t="s">
        <v>41</v>
      </c>
      <c r="C111" s="2" t="s">
        <v>41</v>
      </c>
      <c r="D111" s="2">
        <v>0</v>
      </c>
      <c r="E111" s="2">
        <v>0</v>
      </c>
      <c r="F111" s="2">
        <v>0</v>
      </c>
      <c r="G111" s="2">
        <v>0.94699999999999995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0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5.2999999999999999E-2</v>
      </c>
      <c r="AZ111" s="2">
        <v>0</v>
      </c>
    </row>
    <row r="112" spans="1:52">
      <c r="A112" s="2">
        <v>111</v>
      </c>
      <c r="B112" s="2" t="s">
        <v>47</v>
      </c>
      <c r="C112" s="2" t="s">
        <v>47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1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0</v>
      </c>
    </row>
    <row r="113" spans="1:52">
      <c r="A113" s="2">
        <v>112</v>
      </c>
      <c r="B113" s="2" t="s">
        <v>168</v>
      </c>
      <c r="C113" s="2" t="s">
        <v>168</v>
      </c>
      <c r="D113" s="2">
        <v>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1E-3</v>
      </c>
      <c r="AT113" s="2">
        <v>0.999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0</v>
      </c>
    </row>
    <row r="114" spans="1:52">
      <c r="A114" s="2">
        <v>113</v>
      </c>
      <c r="B114" s="2" t="s">
        <v>110</v>
      </c>
      <c r="C114" s="2" t="s">
        <v>110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0.56000000000000005</v>
      </c>
      <c r="AT114" s="2">
        <v>0</v>
      </c>
      <c r="AU114" s="2">
        <v>0.44</v>
      </c>
      <c r="AV114" s="2">
        <v>0</v>
      </c>
      <c r="AW114" s="2">
        <v>0</v>
      </c>
      <c r="AX114" s="2">
        <v>0</v>
      </c>
      <c r="AY114" s="2">
        <v>0</v>
      </c>
      <c r="AZ114" s="2">
        <v>0</v>
      </c>
    </row>
    <row r="115" spans="1:52">
      <c r="A115" s="2">
        <v>114</v>
      </c>
      <c r="B115" s="2" t="s">
        <v>41</v>
      </c>
      <c r="C115" s="2" t="s">
        <v>41</v>
      </c>
      <c r="D115" s="2">
        <v>0</v>
      </c>
      <c r="E115" s="2">
        <v>0</v>
      </c>
      <c r="F115" s="2">
        <v>0</v>
      </c>
      <c r="G115" s="2">
        <v>1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</row>
    <row r="116" spans="1:52">
      <c r="A116" s="2">
        <v>115</v>
      </c>
      <c r="B116" s="2" t="s">
        <v>22</v>
      </c>
      <c r="C116" s="2" t="s">
        <v>22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0.95599999999999996</v>
      </c>
      <c r="Z116" s="2">
        <v>3.5999999999999997E-2</v>
      </c>
      <c r="AA116" s="2">
        <v>8.0000000000000002E-3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  <c r="AQ116" s="2">
        <v>0</v>
      </c>
      <c r="AR116" s="2">
        <v>0</v>
      </c>
      <c r="AS116" s="2">
        <v>0</v>
      </c>
      <c r="AT116" s="2">
        <v>0</v>
      </c>
      <c r="AU116" s="2">
        <v>0</v>
      </c>
      <c r="AV116" s="2">
        <v>0</v>
      </c>
      <c r="AW116" s="2">
        <v>0</v>
      </c>
      <c r="AX116" s="2">
        <v>0</v>
      </c>
      <c r="AY116" s="2">
        <v>0</v>
      </c>
      <c r="AZ116" s="2">
        <v>0</v>
      </c>
    </row>
    <row r="117" spans="1:52">
      <c r="A117" s="2">
        <v>116</v>
      </c>
      <c r="B117" s="2" t="s">
        <v>47</v>
      </c>
      <c r="C117" s="2" t="s">
        <v>47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1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</row>
    <row r="118" spans="1:52">
      <c r="A118" s="2">
        <v>117</v>
      </c>
      <c r="B118" s="2" t="s">
        <v>56</v>
      </c>
      <c r="C118" s="2" t="s">
        <v>56</v>
      </c>
      <c r="D118" s="2">
        <v>0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1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  <c r="AQ118" s="2">
        <v>0</v>
      </c>
      <c r="AR118" s="2">
        <v>0</v>
      </c>
      <c r="AS118" s="2">
        <v>0</v>
      </c>
      <c r="AT118" s="2">
        <v>0</v>
      </c>
      <c r="AU118" s="2">
        <v>0</v>
      </c>
      <c r="AV118" s="2">
        <v>0</v>
      </c>
      <c r="AW118" s="2">
        <v>0</v>
      </c>
      <c r="AX118" s="2">
        <v>0</v>
      </c>
      <c r="AY118" s="2">
        <v>0</v>
      </c>
      <c r="AZ118" s="2">
        <v>0</v>
      </c>
    </row>
    <row r="119" spans="1:52">
      <c r="A119" s="2">
        <v>118</v>
      </c>
      <c r="B119" s="2" t="s">
        <v>191</v>
      </c>
      <c r="C119" s="2" t="s">
        <v>191</v>
      </c>
      <c r="D119" s="2">
        <v>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2">
        <v>0</v>
      </c>
      <c r="AB119" s="2">
        <v>0.16300000000000001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0</v>
      </c>
      <c r="AI119" s="2">
        <v>0</v>
      </c>
      <c r="AJ119" s="2">
        <v>0</v>
      </c>
      <c r="AK119" s="2">
        <v>0.83699999999999997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0</v>
      </c>
    </row>
    <row r="120" spans="1:52">
      <c r="A120" s="2">
        <v>119</v>
      </c>
      <c r="B120" s="2" t="s">
        <v>22</v>
      </c>
      <c r="C120" s="2" t="s">
        <v>22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1E-3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0.76800000000000002</v>
      </c>
      <c r="Z120" s="2">
        <v>0.23100000000000001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AU120" s="2">
        <v>0</v>
      </c>
      <c r="AV120" s="2">
        <v>0</v>
      </c>
      <c r="AW120" s="2">
        <v>0</v>
      </c>
      <c r="AX120" s="2">
        <v>0</v>
      </c>
      <c r="AY120" s="2">
        <v>0</v>
      </c>
      <c r="AZ120" s="2">
        <v>0</v>
      </c>
    </row>
    <row r="121" spans="1:52">
      <c r="A121" s="2">
        <v>120</v>
      </c>
      <c r="B121" s="2" t="s">
        <v>100</v>
      </c>
      <c r="C121" s="2" t="s">
        <v>100</v>
      </c>
      <c r="D121" s="2">
        <v>0</v>
      </c>
      <c r="E121" s="2">
        <v>1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0</v>
      </c>
      <c r="AQ121" s="2">
        <v>0</v>
      </c>
      <c r="AR121" s="2">
        <v>0</v>
      </c>
      <c r="AS121" s="2">
        <v>0</v>
      </c>
      <c r="AT121" s="2">
        <v>0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0</v>
      </c>
    </row>
    <row r="122" spans="1:52">
      <c r="A122" s="2">
        <v>121</v>
      </c>
      <c r="B122" s="2" t="s">
        <v>100</v>
      </c>
      <c r="C122" s="2" t="s">
        <v>100</v>
      </c>
      <c r="D122" s="2">
        <v>0</v>
      </c>
      <c r="E122" s="2">
        <v>0.996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0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4.0000000000000001E-3</v>
      </c>
      <c r="AX122" s="2">
        <v>0</v>
      </c>
      <c r="AY122" s="2">
        <v>0</v>
      </c>
      <c r="AZ122" s="2">
        <v>0</v>
      </c>
    </row>
    <row r="123" spans="1:52">
      <c r="A123" s="2">
        <v>122</v>
      </c>
      <c r="B123" s="2" t="s">
        <v>191</v>
      </c>
      <c r="C123" s="2" t="s">
        <v>191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2">
        <v>0.18</v>
      </c>
      <c r="AC123" s="2">
        <v>0</v>
      </c>
      <c r="AD123" s="2">
        <v>0</v>
      </c>
      <c r="AE123" s="2">
        <v>0</v>
      </c>
      <c r="AF123" s="2">
        <v>0</v>
      </c>
      <c r="AG123" s="2">
        <v>0</v>
      </c>
      <c r="AH123" s="2">
        <v>0</v>
      </c>
      <c r="AI123" s="2">
        <v>0</v>
      </c>
      <c r="AJ123" s="2">
        <v>0</v>
      </c>
      <c r="AK123" s="2">
        <v>0.82</v>
      </c>
      <c r="AL123" s="2">
        <v>0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</row>
    <row r="124" spans="1:52">
      <c r="A124" s="2">
        <v>123</v>
      </c>
      <c r="B124" s="2" t="s">
        <v>36</v>
      </c>
      <c r="C124" s="2" t="s">
        <v>36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0</v>
      </c>
      <c r="AJ124" s="2">
        <v>1</v>
      </c>
      <c r="AK124" s="2">
        <v>0</v>
      </c>
      <c r="AL124" s="2">
        <v>0</v>
      </c>
      <c r="AM124" s="2">
        <v>0</v>
      </c>
      <c r="AN124" s="2">
        <v>0</v>
      </c>
      <c r="AO124" s="2">
        <v>0</v>
      </c>
      <c r="AP124" s="2">
        <v>0</v>
      </c>
      <c r="AQ124" s="2">
        <v>0</v>
      </c>
      <c r="AR124" s="2">
        <v>0</v>
      </c>
      <c r="AS124" s="2">
        <v>0</v>
      </c>
      <c r="AT124" s="2">
        <v>0</v>
      </c>
      <c r="AU124" s="2">
        <v>0</v>
      </c>
      <c r="AV124" s="2">
        <v>0</v>
      </c>
      <c r="AW124" s="2">
        <v>0</v>
      </c>
      <c r="AX124" s="2">
        <v>0</v>
      </c>
      <c r="AY124" s="2">
        <v>0</v>
      </c>
      <c r="AZ124" s="2">
        <v>0</v>
      </c>
    </row>
    <row r="125" spans="1:52">
      <c r="A125" s="2">
        <v>124</v>
      </c>
      <c r="B125" s="2" t="s">
        <v>41</v>
      </c>
      <c r="C125" s="2" t="s">
        <v>41</v>
      </c>
      <c r="D125" s="2">
        <v>0</v>
      </c>
      <c r="E125" s="2">
        <v>0</v>
      </c>
      <c r="F125" s="2">
        <v>0</v>
      </c>
      <c r="G125" s="2">
        <v>1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2">
        <v>0</v>
      </c>
      <c r="AP125" s="2">
        <v>0</v>
      </c>
      <c r="AQ125" s="2">
        <v>0</v>
      </c>
      <c r="AR125" s="2">
        <v>0</v>
      </c>
      <c r="AS125" s="2">
        <v>0</v>
      </c>
      <c r="AT125" s="2">
        <v>0</v>
      </c>
      <c r="AU125" s="2">
        <v>0</v>
      </c>
      <c r="AV125" s="2">
        <v>0</v>
      </c>
      <c r="AW125" s="2">
        <v>0</v>
      </c>
      <c r="AX125" s="2">
        <v>0</v>
      </c>
      <c r="AY125" s="2">
        <v>0</v>
      </c>
      <c r="AZ125" s="2">
        <v>0</v>
      </c>
    </row>
    <row r="126" spans="1:52">
      <c r="A126" s="2">
        <v>125</v>
      </c>
      <c r="B126" s="2" t="s">
        <v>28</v>
      </c>
      <c r="C126" s="2" t="s">
        <v>28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0.185</v>
      </c>
      <c r="Z126" s="2">
        <v>0.71499999999999997</v>
      </c>
      <c r="AA126" s="2">
        <v>0.1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2">
        <v>0</v>
      </c>
      <c r="AP126" s="2">
        <v>0</v>
      </c>
      <c r="AQ126" s="2">
        <v>0</v>
      </c>
      <c r="AR126" s="2">
        <v>0</v>
      </c>
      <c r="AS126" s="2">
        <v>0</v>
      </c>
      <c r="AT126" s="2">
        <v>0</v>
      </c>
      <c r="AU126" s="2">
        <v>0</v>
      </c>
      <c r="AV126" s="2">
        <v>0</v>
      </c>
      <c r="AW126" s="2">
        <v>0</v>
      </c>
      <c r="AX126" s="2">
        <v>0</v>
      </c>
      <c r="AY126" s="2">
        <v>0</v>
      </c>
      <c r="AZ126" s="2">
        <v>0</v>
      </c>
    </row>
    <row r="127" spans="1:52">
      <c r="A127" s="2">
        <v>126</v>
      </c>
      <c r="B127" s="2" t="s">
        <v>26</v>
      </c>
      <c r="C127" s="2" t="s">
        <v>26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0.191</v>
      </c>
      <c r="V127" s="2">
        <v>0</v>
      </c>
      <c r="W127" s="2">
        <v>0.80900000000000005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2">
        <v>0</v>
      </c>
      <c r="AP127" s="2">
        <v>0</v>
      </c>
      <c r="AQ127" s="2">
        <v>0</v>
      </c>
      <c r="AR127" s="2">
        <v>0</v>
      </c>
      <c r="AS127" s="2">
        <v>0</v>
      </c>
      <c r="AT127" s="2">
        <v>0</v>
      </c>
      <c r="AU127" s="2">
        <v>0</v>
      </c>
      <c r="AV127" s="2">
        <v>0</v>
      </c>
      <c r="AW127" s="2">
        <v>0</v>
      </c>
      <c r="AX127" s="2">
        <v>0</v>
      </c>
      <c r="AY127" s="2">
        <v>0</v>
      </c>
      <c r="AZ127" s="2">
        <v>0</v>
      </c>
    </row>
    <row r="128" spans="1:52">
      <c r="A128" s="2">
        <v>127</v>
      </c>
      <c r="B128" s="2" t="s">
        <v>200</v>
      </c>
      <c r="C128" s="2" t="s">
        <v>200</v>
      </c>
      <c r="D128" s="2">
        <v>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1E-3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0.999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  <c r="AQ128" s="2">
        <v>0</v>
      </c>
      <c r="AR128" s="2">
        <v>0</v>
      </c>
      <c r="AS128" s="2">
        <v>0</v>
      </c>
      <c r="AT128" s="2">
        <v>0</v>
      </c>
      <c r="AU128" s="2">
        <v>0</v>
      </c>
      <c r="AV128" s="2">
        <v>0</v>
      </c>
      <c r="AW128" s="2">
        <v>0</v>
      </c>
      <c r="AX128" s="2">
        <v>0</v>
      </c>
      <c r="AY128" s="2">
        <v>0</v>
      </c>
      <c r="AZ128" s="2">
        <v>0</v>
      </c>
    </row>
    <row r="129" spans="1:52">
      <c r="A129" s="2">
        <v>128</v>
      </c>
      <c r="B129" s="2" t="s">
        <v>74</v>
      </c>
      <c r="C129" s="2" t="s">
        <v>74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2">
        <v>0</v>
      </c>
      <c r="AP129" s="2">
        <v>0</v>
      </c>
      <c r="AQ129" s="2">
        <v>0</v>
      </c>
      <c r="AR129" s="2">
        <v>0</v>
      </c>
      <c r="AS129" s="2">
        <v>0.16200000000000001</v>
      </c>
      <c r="AT129" s="2">
        <v>0</v>
      </c>
      <c r="AU129" s="2">
        <v>0.83799999999999997</v>
      </c>
      <c r="AV129" s="2">
        <v>0</v>
      </c>
      <c r="AW129" s="2">
        <v>0</v>
      </c>
      <c r="AX129" s="2">
        <v>0</v>
      </c>
      <c r="AY129" s="2">
        <v>0</v>
      </c>
      <c r="AZ129" s="2">
        <v>0</v>
      </c>
    </row>
    <row r="130" spans="1:52">
      <c r="A130" s="2">
        <v>129</v>
      </c>
      <c r="B130" s="2" t="s">
        <v>28</v>
      </c>
      <c r="C130" s="2" t="s">
        <v>28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0.08</v>
      </c>
      <c r="Y130" s="2">
        <v>0.02</v>
      </c>
      <c r="Z130" s="2">
        <v>0.9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2">
        <v>0</v>
      </c>
      <c r="AP130" s="2">
        <v>0</v>
      </c>
      <c r="AQ130" s="2">
        <v>0</v>
      </c>
      <c r="AR130" s="2">
        <v>0</v>
      </c>
      <c r="AS130" s="2">
        <v>0</v>
      </c>
      <c r="AT130" s="2">
        <v>0</v>
      </c>
      <c r="AU130" s="2">
        <v>0</v>
      </c>
      <c r="AV130" s="2">
        <v>0</v>
      </c>
      <c r="AW130" s="2">
        <v>0</v>
      </c>
      <c r="AX130" s="2">
        <v>0</v>
      </c>
      <c r="AY130" s="2">
        <v>0</v>
      </c>
      <c r="AZ130" s="2">
        <v>0</v>
      </c>
    </row>
    <row r="131" spans="1:52">
      <c r="A131" s="2">
        <v>130</v>
      </c>
      <c r="B131" s="2" t="s">
        <v>36</v>
      </c>
      <c r="C131" s="2" t="s">
        <v>36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1</v>
      </c>
      <c r="AK131" s="2">
        <v>0</v>
      </c>
      <c r="AL131" s="2">
        <v>0</v>
      </c>
      <c r="AM131" s="2">
        <v>0</v>
      </c>
      <c r="AN131" s="2">
        <v>0</v>
      </c>
      <c r="AO131" s="2">
        <v>0</v>
      </c>
      <c r="AP131" s="2">
        <v>0</v>
      </c>
      <c r="AQ131" s="2">
        <v>0</v>
      </c>
      <c r="AR131" s="2">
        <v>0</v>
      </c>
      <c r="AS131" s="2">
        <v>0</v>
      </c>
      <c r="AT131" s="2">
        <v>0</v>
      </c>
      <c r="AU131" s="2">
        <v>0</v>
      </c>
      <c r="AV131" s="2">
        <v>0</v>
      </c>
      <c r="AW131" s="2">
        <v>0</v>
      </c>
      <c r="AX131" s="2">
        <v>0</v>
      </c>
      <c r="AY131" s="2">
        <v>0</v>
      </c>
      <c r="AZ131" s="2">
        <v>0</v>
      </c>
    </row>
    <row r="132" spans="1:52">
      <c r="A132" s="2">
        <v>131</v>
      </c>
      <c r="B132" s="2" t="s">
        <v>191</v>
      </c>
      <c r="C132" s="2" t="s">
        <v>191</v>
      </c>
      <c r="D132" s="2">
        <v>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0.13800000000000001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0.86199999999999999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U132" s="2">
        <v>0</v>
      </c>
      <c r="AV132" s="2">
        <v>0</v>
      </c>
      <c r="AW132" s="2">
        <v>0</v>
      </c>
      <c r="AX132" s="2">
        <v>0</v>
      </c>
      <c r="AY132" s="2">
        <v>0</v>
      </c>
      <c r="AZ132" s="2">
        <v>0</v>
      </c>
    </row>
    <row r="133" spans="1:52">
      <c r="A133" s="2">
        <v>132</v>
      </c>
      <c r="B133" s="2" t="s">
        <v>41</v>
      </c>
      <c r="C133" s="2" t="s">
        <v>41</v>
      </c>
      <c r="D133" s="2">
        <v>0</v>
      </c>
      <c r="E133" s="2">
        <v>0</v>
      </c>
      <c r="F133" s="2">
        <v>0</v>
      </c>
      <c r="G133" s="2">
        <v>0.997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2">
        <v>0</v>
      </c>
      <c r="AP133" s="2">
        <v>0</v>
      </c>
      <c r="AQ133" s="2">
        <v>0</v>
      </c>
      <c r="AR133" s="2">
        <v>0</v>
      </c>
      <c r="AS133" s="2">
        <v>0</v>
      </c>
      <c r="AT133" s="2">
        <v>0</v>
      </c>
      <c r="AU133" s="2">
        <v>0</v>
      </c>
      <c r="AV133" s="2">
        <v>0</v>
      </c>
      <c r="AW133" s="2">
        <v>0</v>
      </c>
      <c r="AX133" s="2">
        <v>0</v>
      </c>
      <c r="AY133" s="2">
        <v>3.0000000000000001E-3</v>
      </c>
      <c r="AZ133" s="2">
        <v>0</v>
      </c>
    </row>
    <row r="134" spans="1:52">
      <c r="A134" s="2">
        <v>133</v>
      </c>
      <c r="B134" s="2" t="s">
        <v>207</v>
      </c>
      <c r="C134" s="2" t="s">
        <v>207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  <c r="AQ134" s="2">
        <v>0</v>
      </c>
      <c r="AR134" s="2">
        <v>0</v>
      </c>
      <c r="AS134" s="2">
        <v>0</v>
      </c>
      <c r="AT134" s="2">
        <v>0</v>
      </c>
      <c r="AU134" s="2">
        <v>0</v>
      </c>
      <c r="AV134" s="2">
        <v>1</v>
      </c>
      <c r="AW134" s="2">
        <v>0</v>
      </c>
      <c r="AX134" s="2">
        <v>0</v>
      </c>
      <c r="AY134" s="2">
        <v>0</v>
      </c>
      <c r="AZ134" s="2">
        <v>0</v>
      </c>
    </row>
    <row r="135" spans="1:52">
      <c r="A135" s="2">
        <v>134</v>
      </c>
      <c r="B135" s="2" t="s">
        <v>209</v>
      </c>
      <c r="C135" s="2" t="s">
        <v>209</v>
      </c>
      <c r="D135" s="2">
        <v>0</v>
      </c>
      <c r="E135" s="2">
        <v>0</v>
      </c>
      <c r="F135" s="2">
        <v>0.76100000000000001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3.0000000000000001E-3</v>
      </c>
      <c r="Y135" s="2">
        <v>0</v>
      </c>
      <c r="Z135" s="2">
        <v>1E-3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2">
        <v>0</v>
      </c>
      <c r="AP135" s="2">
        <v>0</v>
      </c>
      <c r="AQ135" s="2">
        <v>0</v>
      </c>
      <c r="AR135" s="2">
        <v>0</v>
      </c>
      <c r="AS135" s="2">
        <v>0</v>
      </c>
      <c r="AT135" s="2">
        <v>0</v>
      </c>
      <c r="AU135" s="2">
        <v>0</v>
      </c>
      <c r="AV135" s="2">
        <v>0</v>
      </c>
      <c r="AW135" s="2">
        <v>0.23499999999999999</v>
      </c>
      <c r="AX135" s="2">
        <v>0</v>
      </c>
      <c r="AY135" s="2">
        <v>0</v>
      </c>
      <c r="AZ135" s="2">
        <v>0</v>
      </c>
    </row>
    <row r="136" spans="1:52">
      <c r="A136" s="2">
        <v>135</v>
      </c>
      <c r="B136" s="2" t="s">
        <v>191</v>
      </c>
      <c r="C136" s="2" t="s">
        <v>191</v>
      </c>
      <c r="D136" s="2">
        <v>0</v>
      </c>
      <c r="E136" s="2">
        <v>0</v>
      </c>
      <c r="F136" s="2">
        <v>0</v>
      </c>
      <c r="G136" s="2">
        <v>0</v>
      </c>
      <c r="H136" s="2">
        <v>6.0000000000000001E-3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1E-3</v>
      </c>
      <c r="R136" s="2">
        <v>0</v>
      </c>
      <c r="S136" s="2">
        <v>0</v>
      </c>
      <c r="T136" s="2">
        <v>0</v>
      </c>
      <c r="U136" s="2">
        <v>1E-3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0.20899999999999999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0.78300000000000003</v>
      </c>
      <c r="AL136" s="2">
        <v>0</v>
      </c>
      <c r="AM136" s="2">
        <v>0</v>
      </c>
      <c r="AN136" s="2">
        <v>0</v>
      </c>
      <c r="AO136" s="2">
        <v>0</v>
      </c>
      <c r="AP136" s="2">
        <v>0</v>
      </c>
      <c r="AQ136" s="2">
        <v>0</v>
      </c>
      <c r="AR136" s="2">
        <v>0</v>
      </c>
      <c r="AS136" s="2">
        <v>0</v>
      </c>
      <c r="AT136" s="2">
        <v>0</v>
      </c>
      <c r="AU136" s="2">
        <v>0</v>
      </c>
      <c r="AV136" s="2">
        <v>0</v>
      </c>
      <c r="AW136" s="2">
        <v>0</v>
      </c>
      <c r="AX136" s="2">
        <v>0</v>
      </c>
      <c r="AY136" s="2">
        <v>0</v>
      </c>
      <c r="AZ136" s="2">
        <v>0</v>
      </c>
    </row>
    <row r="137" spans="1:52">
      <c r="A137" s="2">
        <v>136</v>
      </c>
      <c r="B137" s="2" t="s">
        <v>41</v>
      </c>
      <c r="C137" s="2" t="s">
        <v>41</v>
      </c>
      <c r="D137" s="2">
        <v>0</v>
      </c>
      <c r="E137" s="2">
        <v>0</v>
      </c>
      <c r="F137" s="2">
        <v>0</v>
      </c>
      <c r="G137" s="2">
        <v>1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2">
        <v>0</v>
      </c>
      <c r="AP137" s="2">
        <v>0</v>
      </c>
      <c r="AQ137" s="2">
        <v>0</v>
      </c>
      <c r="AR137" s="2">
        <v>0</v>
      </c>
      <c r="AS137" s="2">
        <v>0</v>
      </c>
      <c r="AT137" s="2">
        <v>0</v>
      </c>
      <c r="AU137" s="2">
        <v>0</v>
      </c>
      <c r="AV137" s="2">
        <v>0</v>
      </c>
      <c r="AW137" s="2">
        <v>0</v>
      </c>
      <c r="AX137" s="2">
        <v>0</v>
      </c>
      <c r="AY137" s="2">
        <v>0</v>
      </c>
      <c r="AZ137" s="2">
        <v>0</v>
      </c>
    </row>
    <row r="138" spans="1:52">
      <c r="A138" s="2">
        <v>137</v>
      </c>
      <c r="B138" s="2" t="s">
        <v>100</v>
      </c>
      <c r="C138" s="2" t="s">
        <v>100</v>
      </c>
      <c r="D138" s="2">
        <v>0</v>
      </c>
      <c r="E138" s="2">
        <v>0.99099999999999999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2E-3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1E-3</v>
      </c>
      <c r="AE138" s="2">
        <v>1E-3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2">
        <v>0</v>
      </c>
      <c r="AP138" s="2">
        <v>3.0000000000000001E-3</v>
      </c>
      <c r="AQ138" s="2">
        <v>0</v>
      </c>
      <c r="AR138" s="2">
        <v>0</v>
      </c>
      <c r="AS138" s="2">
        <v>0</v>
      </c>
      <c r="AT138" s="2">
        <v>0</v>
      </c>
      <c r="AU138" s="2">
        <v>0</v>
      </c>
      <c r="AV138" s="2">
        <v>0</v>
      </c>
      <c r="AW138" s="2">
        <v>1E-3</v>
      </c>
      <c r="AX138" s="2">
        <v>1E-3</v>
      </c>
      <c r="AY138" s="2">
        <v>0</v>
      </c>
      <c r="AZ138" s="2">
        <v>0</v>
      </c>
    </row>
    <row r="139" spans="1:52">
      <c r="A139" s="2">
        <v>138</v>
      </c>
      <c r="B139" s="2" t="s">
        <v>214</v>
      </c>
      <c r="C139" s="2" t="s">
        <v>214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0.156</v>
      </c>
      <c r="AN139" s="2">
        <v>0</v>
      </c>
      <c r="AO139" s="2">
        <v>0.84399999999999997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AU139" s="2">
        <v>0</v>
      </c>
      <c r="AV139" s="2">
        <v>0</v>
      </c>
      <c r="AW139" s="2">
        <v>0</v>
      </c>
      <c r="AX139" s="2">
        <v>0</v>
      </c>
      <c r="AY139" s="2">
        <v>0</v>
      </c>
      <c r="AZ139" s="2">
        <v>0</v>
      </c>
    </row>
    <row r="140" spans="1:52">
      <c r="A140" s="2">
        <v>139</v>
      </c>
      <c r="B140" s="2" t="s">
        <v>191</v>
      </c>
      <c r="C140" s="2" t="s">
        <v>191</v>
      </c>
      <c r="D140" s="2">
        <v>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0.128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0.872</v>
      </c>
      <c r="AL140" s="2">
        <v>0</v>
      </c>
      <c r="AM140" s="2">
        <v>0</v>
      </c>
      <c r="AN140" s="2">
        <v>0</v>
      </c>
      <c r="AO140" s="2">
        <v>0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AU140" s="2">
        <v>0</v>
      </c>
      <c r="AV140" s="2">
        <v>0</v>
      </c>
      <c r="AW140" s="2">
        <v>0</v>
      </c>
      <c r="AX140" s="2">
        <v>0</v>
      </c>
      <c r="AY140" s="2">
        <v>0</v>
      </c>
      <c r="AZ140" s="2">
        <v>0</v>
      </c>
    </row>
    <row r="141" spans="1:52">
      <c r="A141" s="2">
        <v>140</v>
      </c>
      <c r="B141" s="2" t="s">
        <v>191</v>
      </c>
      <c r="C141" s="2" t="s">
        <v>191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0.01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0.248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0.74199999999999999</v>
      </c>
      <c r="AL141" s="2">
        <v>0</v>
      </c>
      <c r="AM141" s="2">
        <v>0</v>
      </c>
      <c r="AN141" s="2">
        <v>0</v>
      </c>
      <c r="AO141" s="2">
        <v>0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AU141" s="2">
        <v>0</v>
      </c>
      <c r="AV141" s="2">
        <v>0</v>
      </c>
      <c r="AW141" s="2">
        <v>0</v>
      </c>
      <c r="AX141" s="2">
        <v>0</v>
      </c>
      <c r="AY141" s="2">
        <v>0</v>
      </c>
      <c r="AZ141" s="2">
        <v>0</v>
      </c>
    </row>
    <row r="142" spans="1:52">
      <c r="A142" s="2">
        <v>141</v>
      </c>
      <c r="B142" s="2" t="s">
        <v>47</v>
      </c>
      <c r="C142" s="2" t="s">
        <v>47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1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0</v>
      </c>
      <c r="AN142" s="2">
        <v>0</v>
      </c>
      <c r="AO142" s="2">
        <v>0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U142" s="2">
        <v>0</v>
      </c>
      <c r="AV142" s="2">
        <v>0</v>
      </c>
      <c r="AW142" s="2">
        <v>0</v>
      </c>
      <c r="AX142" s="2">
        <v>0</v>
      </c>
      <c r="AY142" s="2">
        <v>0</v>
      </c>
      <c r="AZ142" s="2">
        <v>0</v>
      </c>
    </row>
    <row r="143" spans="1:52">
      <c r="A143" s="2">
        <v>142</v>
      </c>
      <c r="B143" s="2" t="s">
        <v>26</v>
      </c>
      <c r="C143" s="2" t="s">
        <v>26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1.2E-2</v>
      </c>
      <c r="V143" s="2">
        <v>0.01</v>
      </c>
      <c r="W143" s="2">
        <v>0.97199999999999998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0</v>
      </c>
      <c r="AH143" s="2">
        <v>6.0000000000000001E-3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0</v>
      </c>
      <c r="AO143" s="2">
        <v>0</v>
      </c>
      <c r="AP143" s="2">
        <v>0</v>
      </c>
      <c r="AQ143" s="2">
        <v>0</v>
      </c>
      <c r="AR143" s="2">
        <v>0</v>
      </c>
      <c r="AS143" s="2">
        <v>0</v>
      </c>
      <c r="AT143" s="2">
        <v>0</v>
      </c>
      <c r="AU143" s="2">
        <v>0</v>
      </c>
      <c r="AV143" s="2">
        <v>0</v>
      </c>
      <c r="AW143" s="2">
        <v>0</v>
      </c>
      <c r="AX143" s="2">
        <v>0</v>
      </c>
      <c r="AY143" s="2">
        <v>0</v>
      </c>
      <c r="AZ143" s="2">
        <v>0</v>
      </c>
    </row>
    <row r="144" spans="1:52">
      <c r="A144" s="2">
        <v>143</v>
      </c>
      <c r="B144" s="2" t="s">
        <v>145</v>
      </c>
      <c r="C144" s="2" t="s">
        <v>145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8.6999999999999994E-2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0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0.621</v>
      </c>
      <c r="AN144" s="2">
        <v>8.9999999999999993E-3</v>
      </c>
      <c r="AO144" s="2">
        <v>0.28299999999999997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U144" s="2">
        <v>0</v>
      </c>
      <c r="AV144" s="2">
        <v>0</v>
      </c>
      <c r="AW144" s="2">
        <v>0</v>
      </c>
      <c r="AX144" s="2">
        <v>0</v>
      </c>
      <c r="AY144" s="2">
        <v>0</v>
      </c>
      <c r="AZ144" s="2">
        <v>0</v>
      </c>
    </row>
    <row r="145" spans="1:52">
      <c r="A145" s="2">
        <v>144</v>
      </c>
      <c r="B145" s="2" t="s">
        <v>41</v>
      </c>
      <c r="C145" s="2" t="s">
        <v>41</v>
      </c>
      <c r="D145" s="2">
        <v>0</v>
      </c>
      <c r="E145" s="2">
        <v>0</v>
      </c>
      <c r="F145" s="2">
        <v>0</v>
      </c>
      <c r="G145" s="2">
        <v>1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2">
        <v>0</v>
      </c>
      <c r="AP145" s="2">
        <v>0</v>
      </c>
      <c r="AQ145" s="2">
        <v>0</v>
      </c>
      <c r="AR145" s="2">
        <v>0</v>
      </c>
      <c r="AS145" s="2">
        <v>0</v>
      </c>
      <c r="AT145" s="2">
        <v>0</v>
      </c>
      <c r="AU145" s="2">
        <v>0</v>
      </c>
      <c r="AV145" s="2">
        <v>0</v>
      </c>
      <c r="AW145" s="2">
        <v>0</v>
      </c>
      <c r="AX145" s="2">
        <v>0</v>
      </c>
      <c r="AY145" s="2">
        <v>0</v>
      </c>
      <c r="AZ145" s="2">
        <v>0</v>
      </c>
    </row>
    <row r="146" spans="1:52">
      <c r="A146" s="2">
        <v>145</v>
      </c>
      <c r="B146" s="2" t="s">
        <v>91</v>
      </c>
      <c r="C146" s="2" t="s">
        <v>91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0.99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0.01</v>
      </c>
      <c r="AL146" s="2">
        <v>0</v>
      </c>
      <c r="AM146" s="2">
        <v>0</v>
      </c>
      <c r="AN146" s="2">
        <v>0</v>
      </c>
      <c r="AO146" s="2">
        <v>0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AU146" s="2">
        <v>0</v>
      </c>
      <c r="AV146" s="2">
        <v>0</v>
      </c>
      <c r="AW146" s="2">
        <v>0</v>
      </c>
      <c r="AX146" s="2">
        <v>0</v>
      </c>
      <c r="AY146" s="2">
        <v>0</v>
      </c>
      <c r="AZ146" s="2">
        <v>0</v>
      </c>
    </row>
    <row r="147" spans="1:52">
      <c r="A147" s="2">
        <v>146</v>
      </c>
      <c r="B147" s="2" t="s">
        <v>100</v>
      </c>
      <c r="C147" s="2" t="s">
        <v>100</v>
      </c>
      <c r="D147" s="2">
        <v>0</v>
      </c>
      <c r="E147" s="2">
        <v>0.999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1E-3</v>
      </c>
      <c r="X147" s="2">
        <v>0</v>
      </c>
      <c r="Y147" s="2">
        <v>0</v>
      </c>
      <c r="Z147" s="2">
        <v>0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0</v>
      </c>
      <c r="AG147" s="2">
        <v>0</v>
      </c>
      <c r="AH147" s="2">
        <v>0</v>
      </c>
      <c r="AI147" s="2">
        <v>0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2">
        <v>0</v>
      </c>
      <c r="AP147" s="2">
        <v>0</v>
      </c>
      <c r="AQ147" s="2">
        <v>0</v>
      </c>
      <c r="AR147" s="2">
        <v>0</v>
      </c>
      <c r="AS147" s="2">
        <v>0</v>
      </c>
      <c r="AT147" s="2">
        <v>0</v>
      </c>
      <c r="AU147" s="2">
        <v>0</v>
      </c>
      <c r="AV147" s="2">
        <v>0</v>
      </c>
      <c r="AW147" s="2">
        <v>0</v>
      </c>
      <c r="AX147" s="2">
        <v>0</v>
      </c>
      <c r="AY147" s="2">
        <v>0</v>
      </c>
      <c r="AZ147" s="2">
        <v>0</v>
      </c>
    </row>
    <row r="148" spans="1:52">
      <c r="A148" s="2">
        <v>147</v>
      </c>
      <c r="B148" s="2" t="s">
        <v>221</v>
      </c>
      <c r="C148" s="2" t="s">
        <v>221</v>
      </c>
      <c r="D148" s="2">
        <v>0</v>
      </c>
      <c r="E148" s="2">
        <v>0</v>
      </c>
      <c r="F148" s="2">
        <v>0</v>
      </c>
      <c r="G148" s="2">
        <v>0</v>
      </c>
      <c r="H148" s="2">
        <v>0.74199999999999999</v>
      </c>
      <c r="I148" s="2">
        <v>0</v>
      </c>
      <c r="J148" s="2">
        <v>5.3999999999999999E-2</v>
      </c>
      <c r="K148" s="2">
        <v>0.02</v>
      </c>
      <c r="L148" s="2">
        <v>0</v>
      </c>
      <c r="M148" s="2">
        <v>0</v>
      </c>
      <c r="N148" s="2">
        <v>2.5000000000000001E-2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0.159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0</v>
      </c>
      <c r="AP148" s="2">
        <v>0</v>
      </c>
      <c r="AQ148" s="2">
        <v>0</v>
      </c>
      <c r="AR148" s="2">
        <v>0</v>
      </c>
      <c r="AS148" s="2">
        <v>0</v>
      </c>
      <c r="AT148" s="2">
        <v>0</v>
      </c>
      <c r="AU148" s="2">
        <v>0</v>
      </c>
      <c r="AV148" s="2">
        <v>0</v>
      </c>
      <c r="AW148" s="2">
        <v>0</v>
      </c>
      <c r="AX148" s="2">
        <v>0</v>
      </c>
      <c r="AY148" s="2">
        <v>0</v>
      </c>
      <c r="AZ148" s="2">
        <v>0</v>
      </c>
    </row>
    <row r="149" spans="1:52">
      <c r="A149" s="2">
        <v>148</v>
      </c>
      <c r="B149" s="2" t="s">
        <v>91</v>
      </c>
      <c r="C149" s="2" t="s">
        <v>91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0.89900000000000002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0.10100000000000001</v>
      </c>
      <c r="AL149" s="2">
        <v>0</v>
      </c>
      <c r="AM149" s="2">
        <v>0</v>
      </c>
      <c r="AN149" s="2">
        <v>0</v>
      </c>
      <c r="AO149" s="2">
        <v>0</v>
      </c>
      <c r="AP149" s="2">
        <v>0</v>
      </c>
      <c r="AQ149" s="2">
        <v>0</v>
      </c>
      <c r="AR149" s="2">
        <v>0</v>
      </c>
      <c r="AS149" s="2">
        <v>0</v>
      </c>
      <c r="AT149" s="2">
        <v>0</v>
      </c>
      <c r="AU149" s="2">
        <v>0</v>
      </c>
      <c r="AV149" s="2">
        <v>0</v>
      </c>
      <c r="AW149" s="2">
        <v>0</v>
      </c>
      <c r="AX149" s="2">
        <v>0</v>
      </c>
      <c r="AY149" s="2">
        <v>0</v>
      </c>
      <c r="AZ149" s="2">
        <v>0</v>
      </c>
    </row>
    <row r="150" spans="1:52">
      <c r="A150" s="2">
        <v>149</v>
      </c>
      <c r="B150" s="2" t="s">
        <v>56</v>
      </c>
      <c r="C150" s="2" t="s">
        <v>56</v>
      </c>
      <c r="D150" s="2">
        <v>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1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0</v>
      </c>
      <c r="AP150" s="2">
        <v>0</v>
      </c>
      <c r="AQ150" s="2">
        <v>0</v>
      </c>
      <c r="AR150" s="2">
        <v>0</v>
      </c>
      <c r="AS150" s="2">
        <v>0</v>
      </c>
      <c r="AT150" s="2">
        <v>0</v>
      </c>
      <c r="AU150" s="2">
        <v>0</v>
      </c>
      <c r="AV150" s="2">
        <v>0</v>
      </c>
      <c r="AW150" s="2">
        <v>0</v>
      </c>
      <c r="AX150" s="2">
        <v>0</v>
      </c>
      <c r="AY150" s="2">
        <v>0</v>
      </c>
      <c r="AZ150" s="2">
        <v>0</v>
      </c>
    </row>
    <row r="151" spans="1:52">
      <c r="A151" s="2">
        <v>150</v>
      </c>
      <c r="B151" s="2" t="s">
        <v>152</v>
      </c>
      <c r="C151" s="2" t="s">
        <v>152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1E-3</v>
      </c>
      <c r="M151" s="2">
        <v>7.0000000000000001E-3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8.0000000000000002E-3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2.5999999999999999E-2</v>
      </c>
      <c r="AE151" s="2">
        <v>0</v>
      </c>
      <c r="AF151" s="2">
        <v>0</v>
      </c>
      <c r="AG151" s="2">
        <v>0</v>
      </c>
      <c r="AH151" s="2">
        <v>1E-3</v>
      </c>
      <c r="AI151" s="2">
        <v>0</v>
      </c>
      <c r="AJ151" s="2">
        <v>0</v>
      </c>
      <c r="AK151" s="2">
        <v>0</v>
      </c>
      <c r="AL151" s="2">
        <v>0.95599999999999996</v>
      </c>
      <c r="AM151" s="2">
        <v>0</v>
      </c>
      <c r="AN151" s="2">
        <v>0</v>
      </c>
      <c r="AO151" s="2">
        <v>0</v>
      </c>
      <c r="AP151" s="2">
        <v>0</v>
      </c>
      <c r="AQ151" s="2">
        <v>0</v>
      </c>
      <c r="AR151" s="2">
        <v>0</v>
      </c>
      <c r="AS151" s="2">
        <v>0</v>
      </c>
      <c r="AT151" s="2">
        <v>0</v>
      </c>
      <c r="AU151" s="2">
        <v>0</v>
      </c>
      <c r="AV151" s="2">
        <v>1E-3</v>
      </c>
      <c r="AW151" s="2">
        <v>0</v>
      </c>
      <c r="AX151" s="2">
        <v>0</v>
      </c>
      <c r="AY151" s="2">
        <v>0</v>
      </c>
      <c r="AZ151" s="2">
        <v>0</v>
      </c>
    </row>
    <row r="152" spans="1:52">
      <c r="A152" s="2">
        <v>151</v>
      </c>
      <c r="B152" s="2" t="s">
        <v>225</v>
      </c>
      <c r="C152" s="2" t="s">
        <v>225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0.57699999999999996</v>
      </c>
      <c r="Y152" s="2">
        <v>7.0999999999999994E-2</v>
      </c>
      <c r="Z152" s="2">
        <v>0.27800000000000002</v>
      </c>
      <c r="AA152" s="2">
        <v>7.3999999999999996E-2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2">
        <v>0</v>
      </c>
      <c r="AP152" s="2">
        <v>0</v>
      </c>
      <c r="AQ152" s="2">
        <v>0</v>
      </c>
      <c r="AR152" s="2">
        <v>0</v>
      </c>
      <c r="AS152" s="2">
        <v>0</v>
      </c>
      <c r="AT152" s="2">
        <v>0</v>
      </c>
      <c r="AU152" s="2">
        <v>0</v>
      </c>
      <c r="AV152" s="2">
        <v>0</v>
      </c>
      <c r="AW152" s="2">
        <v>0</v>
      </c>
      <c r="AX152" s="2">
        <v>0</v>
      </c>
      <c r="AY152" s="2">
        <v>0</v>
      </c>
      <c r="AZ152" s="2">
        <v>0</v>
      </c>
    </row>
    <row r="153" spans="1:52">
      <c r="A153" s="2">
        <v>152</v>
      </c>
      <c r="B153" s="2" t="s">
        <v>209</v>
      </c>
      <c r="C153" s="2" t="s">
        <v>209</v>
      </c>
      <c r="D153" s="2">
        <v>0</v>
      </c>
      <c r="E153" s="2">
        <v>0</v>
      </c>
      <c r="F153" s="2">
        <v>0.754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2">
        <v>0</v>
      </c>
      <c r="AP153" s="2">
        <v>0</v>
      </c>
      <c r="AQ153" s="2">
        <v>0</v>
      </c>
      <c r="AR153" s="2">
        <v>0</v>
      </c>
      <c r="AS153" s="2">
        <v>0</v>
      </c>
      <c r="AT153" s="2">
        <v>0</v>
      </c>
      <c r="AU153" s="2">
        <v>0</v>
      </c>
      <c r="AV153" s="2">
        <v>0</v>
      </c>
      <c r="AW153" s="2">
        <v>0.246</v>
      </c>
      <c r="AX153" s="2">
        <v>0</v>
      </c>
      <c r="AY153" s="2">
        <v>0</v>
      </c>
      <c r="AZ153" s="2">
        <v>0</v>
      </c>
    </row>
    <row r="154" spans="1:52">
      <c r="A154" s="2">
        <v>153</v>
      </c>
      <c r="B154" s="2" t="s">
        <v>225</v>
      </c>
      <c r="C154" s="2" t="s">
        <v>225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0.53300000000000003</v>
      </c>
      <c r="Y154" s="2">
        <v>0.04</v>
      </c>
      <c r="Z154" s="2">
        <v>0.42699999999999999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>
        <v>0</v>
      </c>
      <c r="AI154" s="2">
        <v>0</v>
      </c>
      <c r="AJ154" s="2">
        <v>0</v>
      </c>
      <c r="AK154" s="2">
        <v>0</v>
      </c>
      <c r="AL154" s="2">
        <v>0</v>
      </c>
      <c r="AM154" s="2">
        <v>0</v>
      </c>
      <c r="AN154" s="2">
        <v>0</v>
      </c>
      <c r="AO154" s="2">
        <v>0</v>
      </c>
      <c r="AP154" s="2">
        <v>0</v>
      </c>
      <c r="AQ154" s="2">
        <v>0</v>
      </c>
      <c r="AR154" s="2">
        <v>0</v>
      </c>
      <c r="AS154" s="2">
        <v>0</v>
      </c>
      <c r="AT154" s="2">
        <v>0</v>
      </c>
      <c r="AU154" s="2">
        <v>0</v>
      </c>
      <c r="AV154" s="2">
        <v>0</v>
      </c>
      <c r="AW154" s="2">
        <v>0</v>
      </c>
      <c r="AX154" s="2">
        <v>0</v>
      </c>
      <c r="AY154" s="2">
        <v>0</v>
      </c>
      <c r="AZ154" s="2">
        <v>0</v>
      </c>
    </row>
    <row r="155" spans="1:52">
      <c r="A155" s="2">
        <v>154</v>
      </c>
      <c r="B155" s="2" t="s">
        <v>43</v>
      </c>
      <c r="C155" s="2" t="s">
        <v>43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0.96699999999999997</v>
      </c>
      <c r="V155" s="2">
        <v>0</v>
      </c>
      <c r="W155" s="2">
        <v>3.3000000000000002E-2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</v>
      </c>
      <c r="AQ155" s="2">
        <v>0</v>
      </c>
      <c r="AR155" s="2">
        <v>0</v>
      </c>
      <c r="AS155" s="2">
        <v>0</v>
      </c>
      <c r="AT155" s="2">
        <v>0</v>
      </c>
      <c r="AU155" s="2">
        <v>0</v>
      </c>
      <c r="AV155" s="2">
        <v>0</v>
      </c>
      <c r="AW155" s="2">
        <v>0</v>
      </c>
      <c r="AX155" s="2">
        <v>0</v>
      </c>
      <c r="AY155" s="2">
        <v>0</v>
      </c>
      <c r="AZ155" s="2">
        <v>0</v>
      </c>
    </row>
    <row r="156" spans="1:52">
      <c r="A156" s="2">
        <v>155</v>
      </c>
      <c r="B156" s="2" t="s">
        <v>26</v>
      </c>
      <c r="C156" s="2" t="s">
        <v>26</v>
      </c>
      <c r="D156" s="2">
        <v>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5.0000000000000001E-3</v>
      </c>
      <c r="V156" s="2">
        <v>4.0000000000000001E-3</v>
      </c>
      <c r="W156" s="2">
        <v>0.97499999999999998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1.6E-2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</v>
      </c>
      <c r="AP156" s="2">
        <v>0</v>
      </c>
      <c r="AQ156" s="2">
        <v>0</v>
      </c>
      <c r="AR156" s="2">
        <v>0</v>
      </c>
      <c r="AS156" s="2">
        <v>0</v>
      </c>
      <c r="AT156" s="2">
        <v>0</v>
      </c>
      <c r="AU156" s="2">
        <v>0</v>
      </c>
      <c r="AV156" s="2">
        <v>0</v>
      </c>
      <c r="AW156" s="2">
        <v>0</v>
      </c>
      <c r="AX156" s="2">
        <v>0</v>
      </c>
      <c r="AY156" s="2">
        <v>0</v>
      </c>
      <c r="AZ156" s="2">
        <v>0</v>
      </c>
    </row>
    <row r="157" spans="1:52">
      <c r="A157" s="2">
        <v>156</v>
      </c>
      <c r="B157" s="2" t="s">
        <v>232</v>
      </c>
      <c r="C157" s="2" t="s">
        <v>232</v>
      </c>
      <c r="D157" s="2">
        <v>0</v>
      </c>
      <c r="E157" s="2">
        <v>1E-3</v>
      </c>
      <c r="F157" s="2">
        <v>0</v>
      </c>
      <c r="G157" s="2">
        <v>5.0000000000000001E-3</v>
      </c>
      <c r="H157" s="2">
        <v>0</v>
      </c>
      <c r="I157" s="2">
        <v>0</v>
      </c>
      <c r="J157" s="2">
        <v>0</v>
      </c>
      <c r="K157" s="2">
        <v>0</v>
      </c>
      <c r="L157" s="2">
        <v>7.0000000000000001E-3</v>
      </c>
      <c r="M157" s="2">
        <v>8.9999999999999993E-3</v>
      </c>
      <c r="N157" s="2">
        <v>0</v>
      </c>
      <c r="O157" s="2">
        <v>0</v>
      </c>
      <c r="P157" s="2">
        <v>0</v>
      </c>
      <c r="Q157" s="2">
        <v>2E-3</v>
      </c>
      <c r="R157" s="2">
        <v>0</v>
      </c>
      <c r="S157" s="2">
        <v>0</v>
      </c>
      <c r="T157" s="2">
        <v>0</v>
      </c>
      <c r="U157" s="2">
        <v>0</v>
      </c>
      <c r="V157" s="2">
        <v>1E-3</v>
      </c>
      <c r="W157" s="2">
        <v>5.0000000000000001E-3</v>
      </c>
      <c r="X157" s="2">
        <v>0</v>
      </c>
      <c r="Y157" s="2">
        <v>4.0000000000000001E-3</v>
      </c>
      <c r="Z157" s="2">
        <v>1.2999999999999999E-2</v>
      </c>
      <c r="AA157" s="2">
        <v>0</v>
      </c>
      <c r="AB157" s="2">
        <v>5.0000000000000001E-3</v>
      </c>
      <c r="AC157" s="2">
        <v>0</v>
      </c>
      <c r="AD157" s="2">
        <v>3.0000000000000001E-3</v>
      </c>
      <c r="AE157" s="2">
        <v>0.93799999999999994</v>
      </c>
      <c r="AF157" s="2">
        <v>0</v>
      </c>
      <c r="AG157" s="2">
        <v>0</v>
      </c>
      <c r="AH157" s="2">
        <v>0</v>
      </c>
      <c r="AI157" s="2">
        <v>0</v>
      </c>
      <c r="AJ157" s="2">
        <v>1E-3</v>
      </c>
      <c r="AK157" s="2">
        <v>1E-3</v>
      </c>
      <c r="AL157" s="2">
        <v>1E-3</v>
      </c>
      <c r="AM157" s="2">
        <v>0</v>
      </c>
      <c r="AN157" s="2">
        <v>0</v>
      </c>
      <c r="AO157" s="2">
        <v>0</v>
      </c>
      <c r="AP157" s="2">
        <v>0</v>
      </c>
      <c r="AQ157" s="2">
        <v>2E-3</v>
      </c>
      <c r="AR157" s="2">
        <v>0</v>
      </c>
      <c r="AS157" s="2">
        <v>0</v>
      </c>
      <c r="AT157" s="2">
        <v>0</v>
      </c>
      <c r="AU157" s="2">
        <v>1E-3</v>
      </c>
      <c r="AV157" s="2">
        <v>1E-3</v>
      </c>
      <c r="AW157" s="2">
        <v>0</v>
      </c>
      <c r="AX157" s="2">
        <v>0</v>
      </c>
      <c r="AY157" s="2">
        <v>0</v>
      </c>
      <c r="AZ157" s="2">
        <v>0</v>
      </c>
    </row>
    <row r="158" spans="1:52">
      <c r="A158" s="2">
        <v>157</v>
      </c>
      <c r="B158" s="2" t="s">
        <v>47</v>
      </c>
      <c r="C158" s="2" t="s">
        <v>47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1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AU158" s="2">
        <v>0</v>
      </c>
      <c r="AV158" s="2">
        <v>0</v>
      </c>
      <c r="AW158" s="2">
        <v>0</v>
      </c>
      <c r="AX158" s="2">
        <v>0</v>
      </c>
      <c r="AY158" s="2">
        <v>0</v>
      </c>
      <c r="AZ158" s="2">
        <v>0</v>
      </c>
    </row>
    <row r="159" spans="1:52">
      <c r="A159" s="2">
        <v>158</v>
      </c>
      <c r="B159" s="2" t="s">
        <v>47</v>
      </c>
      <c r="C159" s="2" t="s">
        <v>47</v>
      </c>
      <c r="D159" s="2">
        <v>5.0000000000000001E-3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0.94099999999999995</v>
      </c>
      <c r="P159" s="2">
        <v>5.3999999999999999E-2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>
        <v>0</v>
      </c>
      <c r="AI159" s="2">
        <v>0</v>
      </c>
      <c r="AJ159" s="2">
        <v>0</v>
      </c>
      <c r="AK159" s="2">
        <v>0</v>
      </c>
      <c r="AL159" s="2">
        <v>0</v>
      </c>
      <c r="AM159" s="2">
        <v>0</v>
      </c>
      <c r="AN159" s="2">
        <v>0</v>
      </c>
      <c r="AO159" s="2">
        <v>0</v>
      </c>
      <c r="AP159" s="2">
        <v>0</v>
      </c>
      <c r="AQ159" s="2">
        <v>0</v>
      </c>
      <c r="AR159" s="2">
        <v>0</v>
      </c>
      <c r="AS159" s="2">
        <v>0</v>
      </c>
      <c r="AT159" s="2">
        <v>0</v>
      </c>
      <c r="AU159" s="2">
        <v>0</v>
      </c>
      <c r="AV159" s="2">
        <v>0</v>
      </c>
      <c r="AW159" s="2">
        <v>0</v>
      </c>
      <c r="AX159" s="2">
        <v>0</v>
      </c>
      <c r="AY159" s="2">
        <v>0</v>
      </c>
      <c r="AZ159" s="2">
        <v>0</v>
      </c>
    </row>
    <row r="160" spans="1:52">
      <c r="A160" s="2">
        <v>159</v>
      </c>
      <c r="B160" s="2" t="s">
        <v>28</v>
      </c>
      <c r="C160" s="2" t="s">
        <v>28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3.0000000000000001E-3</v>
      </c>
      <c r="Y160" s="2">
        <v>3.0000000000000001E-3</v>
      </c>
      <c r="Z160" s="2">
        <v>0.99399999999999999</v>
      </c>
      <c r="AA160" s="2">
        <v>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  <c r="AQ160" s="2">
        <v>0</v>
      </c>
      <c r="AR160" s="2">
        <v>0</v>
      </c>
      <c r="AS160" s="2">
        <v>0</v>
      </c>
      <c r="AT160" s="2">
        <v>0</v>
      </c>
      <c r="AU160" s="2">
        <v>0</v>
      </c>
      <c r="AV160" s="2">
        <v>0</v>
      </c>
      <c r="AW160" s="2">
        <v>0</v>
      </c>
      <c r="AX160" s="2">
        <v>0</v>
      </c>
      <c r="AY160" s="2">
        <v>0</v>
      </c>
      <c r="AZ160" s="2">
        <v>0</v>
      </c>
    </row>
    <row r="161" spans="1:52">
      <c r="A161" s="2">
        <v>160</v>
      </c>
      <c r="B161" s="2" t="s">
        <v>47</v>
      </c>
      <c r="C161" s="2" t="s">
        <v>47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1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2">
        <v>0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AU161" s="2">
        <v>0</v>
      </c>
      <c r="AV161" s="2">
        <v>0</v>
      </c>
      <c r="AW161" s="2">
        <v>0</v>
      </c>
      <c r="AX161" s="2">
        <v>0</v>
      </c>
      <c r="AY161" s="2">
        <v>0</v>
      </c>
      <c r="AZ161" s="2">
        <v>0</v>
      </c>
    </row>
    <row r="162" spans="1:52">
      <c r="A162" s="2">
        <v>161</v>
      </c>
      <c r="B162" s="2" t="s">
        <v>28</v>
      </c>
      <c r="C162" s="2" t="s">
        <v>28</v>
      </c>
      <c r="D162" s="2">
        <v>0</v>
      </c>
      <c r="E162" s="2">
        <v>0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0</v>
      </c>
      <c r="W162" s="2">
        <v>0</v>
      </c>
      <c r="X162" s="2">
        <v>4.0000000000000001E-3</v>
      </c>
      <c r="Y162" s="2">
        <v>2.3E-2</v>
      </c>
      <c r="Z162" s="2">
        <v>0.97299999999999998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>
        <v>0</v>
      </c>
      <c r="AI162" s="2">
        <v>0</v>
      </c>
      <c r="AJ162" s="2">
        <v>0</v>
      </c>
      <c r="AK162" s="2">
        <v>0</v>
      </c>
      <c r="AL162" s="2">
        <v>0</v>
      </c>
      <c r="AM162" s="2">
        <v>0</v>
      </c>
      <c r="AN162" s="2">
        <v>0</v>
      </c>
      <c r="AO162" s="2">
        <v>0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U162" s="2">
        <v>0</v>
      </c>
      <c r="AV162" s="2">
        <v>0</v>
      </c>
      <c r="AW162" s="2">
        <v>0</v>
      </c>
      <c r="AX162" s="2">
        <v>0</v>
      </c>
      <c r="AY162" s="2">
        <v>0</v>
      </c>
      <c r="AZ162" s="2">
        <v>0</v>
      </c>
    </row>
    <row r="163" spans="1:52">
      <c r="A163" s="2">
        <v>162</v>
      </c>
      <c r="B163" s="2" t="s">
        <v>168</v>
      </c>
      <c r="C163" s="2" t="s">
        <v>168</v>
      </c>
      <c r="D163" s="2">
        <v>0</v>
      </c>
      <c r="E163" s="2">
        <v>0</v>
      </c>
      <c r="F163" s="2">
        <v>0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2E-3</v>
      </c>
      <c r="M163" s="2">
        <v>1E-3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>
        <v>0</v>
      </c>
      <c r="X163" s="2">
        <v>2E-3</v>
      </c>
      <c r="Y163" s="2">
        <v>0</v>
      </c>
      <c r="Z163" s="2">
        <v>0</v>
      </c>
      <c r="AA163" s="2">
        <v>0</v>
      </c>
      <c r="AB163" s="2">
        <v>1E-3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>
        <v>0</v>
      </c>
      <c r="AI163" s="2">
        <v>0</v>
      </c>
      <c r="AJ163" s="2">
        <v>0</v>
      </c>
      <c r="AK163" s="2">
        <v>0</v>
      </c>
      <c r="AL163" s="2">
        <v>0</v>
      </c>
      <c r="AM163" s="2">
        <v>0</v>
      </c>
      <c r="AN163" s="2">
        <v>1E-3</v>
      </c>
      <c r="AO163" s="2">
        <v>0</v>
      </c>
      <c r="AP163" s="2">
        <v>0</v>
      </c>
      <c r="AQ163" s="2">
        <v>0</v>
      </c>
      <c r="AR163" s="2">
        <v>0</v>
      </c>
      <c r="AS163" s="2">
        <v>0</v>
      </c>
      <c r="AT163" s="2">
        <v>0.99299999999999999</v>
      </c>
      <c r="AU163" s="2">
        <v>0</v>
      </c>
      <c r="AV163" s="2">
        <v>0</v>
      </c>
      <c r="AW163" s="2">
        <v>0</v>
      </c>
      <c r="AX163" s="2">
        <v>0</v>
      </c>
      <c r="AY163" s="2">
        <v>0</v>
      </c>
      <c r="AZ163" s="2">
        <v>0</v>
      </c>
    </row>
    <row r="164" spans="1:52">
      <c r="A164" s="2">
        <v>163</v>
      </c>
      <c r="B164" s="2" t="s">
        <v>22</v>
      </c>
      <c r="C164" s="2" t="s">
        <v>22</v>
      </c>
      <c r="D164" s="2">
        <v>0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 s="2">
        <v>0.99299999999999999</v>
      </c>
      <c r="Z164" s="2">
        <v>5.0000000000000001E-3</v>
      </c>
      <c r="AA164" s="2">
        <v>2E-3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0</v>
      </c>
      <c r="AJ164" s="2">
        <v>0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  <c r="AQ164" s="2">
        <v>0</v>
      </c>
      <c r="AR164" s="2">
        <v>0</v>
      </c>
      <c r="AS164" s="2">
        <v>0</v>
      </c>
      <c r="AT164" s="2">
        <v>0</v>
      </c>
      <c r="AU164" s="2">
        <v>0</v>
      </c>
      <c r="AV164" s="2">
        <v>0</v>
      </c>
      <c r="AW164" s="2">
        <v>0</v>
      </c>
      <c r="AX164" s="2">
        <v>0</v>
      </c>
      <c r="AY164" s="2">
        <v>0</v>
      </c>
      <c r="AZ164" s="2">
        <v>0</v>
      </c>
    </row>
    <row r="165" spans="1:52">
      <c r="A165" s="2">
        <v>164</v>
      </c>
      <c r="B165" s="2" t="s">
        <v>22</v>
      </c>
      <c r="C165" s="2" t="s">
        <v>22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0.93600000000000005</v>
      </c>
      <c r="Z165" s="2">
        <v>4.2999999999999997E-2</v>
      </c>
      <c r="AA165" s="2">
        <v>2.1000000000000001E-2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  <c r="AQ165" s="2">
        <v>0</v>
      </c>
      <c r="AR165" s="2">
        <v>0</v>
      </c>
      <c r="AS165" s="2">
        <v>0</v>
      </c>
      <c r="AT165" s="2">
        <v>0</v>
      </c>
      <c r="AU165" s="2">
        <v>0</v>
      </c>
      <c r="AV165" s="2">
        <v>0</v>
      </c>
      <c r="AW165" s="2">
        <v>0</v>
      </c>
      <c r="AX165" s="2">
        <v>0</v>
      </c>
      <c r="AY165" s="2">
        <v>0</v>
      </c>
      <c r="AZ165" s="2">
        <v>0</v>
      </c>
    </row>
    <row r="166" spans="1:52">
      <c r="A166" s="2">
        <v>165</v>
      </c>
      <c r="B166" s="2" t="s">
        <v>91</v>
      </c>
      <c r="C166" s="2" t="s">
        <v>91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1E-3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1.4E-2</v>
      </c>
      <c r="R166" s="2">
        <v>0</v>
      </c>
      <c r="S166" s="2">
        <v>0</v>
      </c>
      <c r="T166" s="2">
        <v>0</v>
      </c>
      <c r="U166" s="2">
        <v>1E-3</v>
      </c>
      <c r="V166" s="2">
        <v>0</v>
      </c>
      <c r="W166" s="2">
        <v>1E-3</v>
      </c>
      <c r="X166" s="2">
        <v>0</v>
      </c>
      <c r="Y166" s="2">
        <v>0</v>
      </c>
      <c r="Z166" s="2">
        <v>0</v>
      </c>
      <c r="AA166" s="2">
        <v>0</v>
      </c>
      <c r="AB166" s="2">
        <v>0.94599999999999995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1E-3</v>
      </c>
      <c r="AJ166" s="2">
        <v>0</v>
      </c>
      <c r="AK166" s="2">
        <v>3.5999999999999997E-2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  <c r="AQ166" s="2">
        <v>0</v>
      </c>
      <c r="AR166" s="2">
        <v>0</v>
      </c>
      <c r="AS166" s="2">
        <v>0</v>
      </c>
      <c r="AT166" s="2">
        <v>0</v>
      </c>
      <c r="AU166" s="2">
        <v>0</v>
      </c>
      <c r="AV166" s="2">
        <v>0</v>
      </c>
      <c r="AW166" s="2">
        <v>0</v>
      </c>
      <c r="AX166" s="2">
        <v>0</v>
      </c>
      <c r="AY166" s="2">
        <v>0</v>
      </c>
      <c r="AZ166" s="2">
        <v>0</v>
      </c>
    </row>
    <row r="167" spans="1:52">
      <c r="A167" s="2">
        <v>166</v>
      </c>
      <c r="B167" s="2" t="s">
        <v>41</v>
      </c>
      <c r="C167" s="2" t="s">
        <v>41</v>
      </c>
      <c r="D167" s="2">
        <v>0</v>
      </c>
      <c r="E167" s="2">
        <v>0</v>
      </c>
      <c r="F167" s="2">
        <v>0</v>
      </c>
      <c r="G167" s="2">
        <v>1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  <c r="AQ167" s="2">
        <v>0</v>
      </c>
      <c r="AR167" s="2">
        <v>0</v>
      </c>
      <c r="AS167" s="2">
        <v>0</v>
      </c>
      <c r="AT167" s="2">
        <v>0</v>
      </c>
      <c r="AU167" s="2">
        <v>0</v>
      </c>
      <c r="AV167" s="2">
        <v>0</v>
      </c>
      <c r="AW167" s="2">
        <v>0</v>
      </c>
      <c r="AX167" s="2">
        <v>0</v>
      </c>
      <c r="AY167" s="2">
        <v>0</v>
      </c>
      <c r="AZ167" s="2">
        <v>0</v>
      </c>
    </row>
    <row r="168" spans="1:52">
      <c r="A168" s="2">
        <v>167</v>
      </c>
      <c r="B168" s="2" t="s">
        <v>36</v>
      </c>
      <c r="C168" s="2" t="s">
        <v>36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1E-3</v>
      </c>
      <c r="AG168" s="2">
        <v>0</v>
      </c>
      <c r="AH168" s="2">
        <v>0</v>
      </c>
      <c r="AI168" s="2">
        <v>1E-3</v>
      </c>
      <c r="AJ168" s="2">
        <v>0.997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AU168" s="2">
        <v>0</v>
      </c>
      <c r="AV168" s="2">
        <v>1E-3</v>
      </c>
      <c r="AW168" s="2">
        <v>0</v>
      </c>
      <c r="AX168" s="2">
        <v>0</v>
      </c>
      <c r="AY168" s="2">
        <v>0</v>
      </c>
      <c r="AZ168" s="2">
        <v>0</v>
      </c>
    </row>
    <row r="169" spans="1:52">
      <c r="A169" s="2">
        <v>168</v>
      </c>
      <c r="B169" s="2" t="s">
        <v>171</v>
      </c>
      <c r="C169" s="2" t="s">
        <v>171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1E-3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  <c r="AQ169" s="2">
        <v>0.26500000000000001</v>
      </c>
      <c r="AR169" s="2">
        <v>0.73199999999999998</v>
      </c>
      <c r="AS169" s="2">
        <v>0</v>
      </c>
      <c r="AT169" s="2">
        <v>0</v>
      </c>
      <c r="AU169" s="2">
        <v>0</v>
      </c>
      <c r="AV169" s="2">
        <v>0</v>
      </c>
      <c r="AW169" s="2">
        <v>0</v>
      </c>
      <c r="AX169" s="2">
        <v>2E-3</v>
      </c>
      <c r="AY169" s="2">
        <v>0</v>
      </c>
      <c r="AZ169" s="2">
        <v>0</v>
      </c>
    </row>
    <row r="170" spans="1:52">
      <c r="A170" s="2">
        <v>169</v>
      </c>
      <c r="B170" s="2" t="s">
        <v>180</v>
      </c>
      <c r="C170" s="2" t="s">
        <v>180</v>
      </c>
      <c r="D170" s="2">
        <v>0</v>
      </c>
      <c r="E170" s="2">
        <v>0</v>
      </c>
      <c r="F170" s="2">
        <v>3.2000000000000001E-2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1E-3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  <c r="AQ170" s="2">
        <v>0</v>
      </c>
      <c r="AR170" s="2">
        <v>0</v>
      </c>
      <c r="AS170" s="2">
        <v>0</v>
      </c>
      <c r="AT170" s="2">
        <v>0</v>
      </c>
      <c r="AU170" s="2">
        <v>0</v>
      </c>
      <c r="AV170" s="2">
        <v>0</v>
      </c>
      <c r="AW170" s="2">
        <v>0.96699999999999997</v>
      </c>
      <c r="AX170" s="2">
        <v>0</v>
      </c>
      <c r="AY170" s="2">
        <v>0</v>
      </c>
      <c r="AZ170" s="2">
        <v>0</v>
      </c>
    </row>
    <row r="171" spans="1:52">
      <c r="A171" s="2">
        <v>170</v>
      </c>
      <c r="B171" s="2" t="s">
        <v>91</v>
      </c>
      <c r="C171" s="2" t="s">
        <v>91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0.90100000000000002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9.9000000000000005E-2</v>
      </c>
      <c r="AL171" s="2">
        <v>0</v>
      </c>
      <c r="AM171" s="2">
        <v>0</v>
      </c>
      <c r="AN171" s="2">
        <v>0</v>
      </c>
      <c r="AO171" s="2">
        <v>0</v>
      </c>
      <c r="AP171" s="2">
        <v>0</v>
      </c>
      <c r="AQ171" s="2">
        <v>0</v>
      </c>
      <c r="AR171" s="2">
        <v>0</v>
      </c>
      <c r="AS171" s="2">
        <v>0</v>
      </c>
      <c r="AT171" s="2">
        <v>0</v>
      </c>
      <c r="AU171" s="2">
        <v>0</v>
      </c>
      <c r="AV171" s="2">
        <v>0</v>
      </c>
      <c r="AW171" s="2">
        <v>0</v>
      </c>
      <c r="AX171" s="2">
        <v>0</v>
      </c>
      <c r="AY171" s="2">
        <v>0</v>
      </c>
      <c r="AZ171" s="2">
        <v>0</v>
      </c>
    </row>
    <row r="172" spans="1:52">
      <c r="A172" s="2">
        <v>171</v>
      </c>
      <c r="B172" s="2" t="s">
        <v>139</v>
      </c>
      <c r="C172" s="2" t="s">
        <v>139</v>
      </c>
      <c r="D172" s="2">
        <v>0</v>
      </c>
      <c r="E172" s="2">
        <v>0</v>
      </c>
      <c r="F172" s="2">
        <v>0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1E-3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0.99399999999999999</v>
      </c>
      <c r="AO172" s="2">
        <v>5.0000000000000001E-3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AU172" s="2">
        <v>0</v>
      </c>
      <c r="AV172" s="2">
        <v>0</v>
      </c>
      <c r="AW172" s="2">
        <v>0</v>
      </c>
      <c r="AX172" s="2">
        <v>0</v>
      </c>
      <c r="AY172" s="2">
        <v>0</v>
      </c>
      <c r="AZ172" s="2">
        <v>0</v>
      </c>
    </row>
    <row r="173" spans="1:52">
      <c r="A173" s="2">
        <v>172</v>
      </c>
      <c r="B173" s="2" t="s">
        <v>47</v>
      </c>
      <c r="C173" s="2" t="s">
        <v>47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1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U173" s="2">
        <v>0</v>
      </c>
      <c r="AV173" s="2">
        <v>0</v>
      </c>
      <c r="AW173" s="2">
        <v>0</v>
      </c>
      <c r="AX173" s="2">
        <v>0</v>
      </c>
      <c r="AY173" s="2">
        <v>0</v>
      </c>
      <c r="AZ173" s="2">
        <v>0</v>
      </c>
    </row>
    <row r="174" spans="1:52">
      <c r="A174" s="2">
        <v>173</v>
      </c>
      <c r="B174" s="2" t="s">
        <v>91</v>
      </c>
      <c r="C174" s="2" t="s">
        <v>91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1E-3</v>
      </c>
      <c r="R174" s="2">
        <v>0</v>
      </c>
      <c r="S174" s="2">
        <v>0</v>
      </c>
      <c r="T174" s="2">
        <v>0</v>
      </c>
      <c r="U174" s="2">
        <v>0</v>
      </c>
      <c r="V174" s="2">
        <v>1E-3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0.88700000000000001</v>
      </c>
      <c r="AC174" s="2">
        <v>0</v>
      </c>
      <c r="AD174" s="2">
        <v>0</v>
      </c>
      <c r="AE174" s="2">
        <v>0</v>
      </c>
      <c r="AF174" s="2">
        <v>0</v>
      </c>
      <c r="AG174" s="2">
        <v>0</v>
      </c>
      <c r="AH174" s="2">
        <v>0</v>
      </c>
      <c r="AI174" s="2">
        <v>0</v>
      </c>
      <c r="AJ174" s="2">
        <v>0</v>
      </c>
      <c r="AK174" s="2">
        <v>0.111</v>
      </c>
      <c r="AL174" s="2">
        <v>0</v>
      </c>
      <c r="AM174" s="2">
        <v>0</v>
      </c>
      <c r="AN174" s="2">
        <v>0</v>
      </c>
      <c r="AO174" s="2">
        <v>0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U174" s="2">
        <v>0</v>
      </c>
      <c r="AV174" s="2">
        <v>0</v>
      </c>
      <c r="AW174" s="2">
        <v>0</v>
      </c>
      <c r="AX174" s="2">
        <v>0</v>
      </c>
      <c r="AY174" s="2">
        <v>0</v>
      </c>
      <c r="AZ174" s="2">
        <v>0</v>
      </c>
    </row>
    <row r="175" spans="1:52">
      <c r="A175" s="2">
        <v>174</v>
      </c>
      <c r="B175" s="2" t="s">
        <v>200</v>
      </c>
      <c r="C175" s="2" t="s">
        <v>200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2E-3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0.998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2">
        <v>0</v>
      </c>
      <c r="AP175" s="2">
        <v>0</v>
      </c>
      <c r="AQ175" s="2">
        <v>0</v>
      </c>
      <c r="AR175" s="2">
        <v>0</v>
      </c>
      <c r="AS175" s="2">
        <v>0</v>
      </c>
      <c r="AT175" s="2">
        <v>0</v>
      </c>
      <c r="AU175" s="2">
        <v>0</v>
      </c>
      <c r="AV175" s="2">
        <v>0</v>
      </c>
      <c r="AW175" s="2">
        <v>0</v>
      </c>
      <c r="AX175" s="2">
        <v>0</v>
      </c>
      <c r="AY175" s="2">
        <v>0</v>
      </c>
      <c r="AZ175" s="2">
        <v>0</v>
      </c>
    </row>
    <row r="176" spans="1:52">
      <c r="A176" s="2">
        <v>175</v>
      </c>
      <c r="B176" s="2" t="s">
        <v>207</v>
      </c>
      <c r="C176" s="2" t="s">
        <v>207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1E-3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AU176" s="2">
        <v>0</v>
      </c>
      <c r="AV176" s="2">
        <v>0.999</v>
      </c>
      <c r="AW176" s="2">
        <v>0</v>
      </c>
      <c r="AX176" s="2">
        <v>0</v>
      </c>
      <c r="AY176" s="2">
        <v>0</v>
      </c>
      <c r="AZ176" s="2">
        <v>0</v>
      </c>
    </row>
    <row r="177" spans="1:52">
      <c r="A177" s="2">
        <v>176</v>
      </c>
      <c r="B177" s="2" t="s">
        <v>117</v>
      </c>
      <c r="C177" s="2" t="s">
        <v>117</v>
      </c>
      <c r="D177" s="2">
        <v>0</v>
      </c>
      <c r="E177" s="2">
        <v>0</v>
      </c>
      <c r="F177" s="2">
        <v>0</v>
      </c>
      <c r="G177" s="2">
        <v>0</v>
      </c>
      <c r="H177" s="2">
        <v>2E-3</v>
      </c>
      <c r="I177" s="2">
        <v>2E-3</v>
      </c>
      <c r="J177" s="2">
        <v>0.183</v>
      </c>
      <c r="K177" s="2">
        <v>0.81</v>
      </c>
      <c r="L177" s="2">
        <v>0</v>
      </c>
      <c r="M177" s="2">
        <v>0</v>
      </c>
      <c r="N177" s="2">
        <v>2E-3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1E-3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0</v>
      </c>
      <c r="AQ177" s="2">
        <v>0</v>
      </c>
      <c r="AR177" s="2">
        <v>0</v>
      </c>
      <c r="AS177" s="2">
        <v>0</v>
      </c>
      <c r="AT177" s="2">
        <v>0</v>
      </c>
      <c r="AU177" s="2">
        <v>0</v>
      </c>
      <c r="AV177" s="2">
        <v>0</v>
      </c>
      <c r="AW177" s="2">
        <v>0</v>
      </c>
      <c r="AX177" s="2">
        <v>0</v>
      </c>
      <c r="AY177" s="2">
        <v>0</v>
      </c>
      <c r="AZ177" s="2">
        <v>0</v>
      </c>
    </row>
    <row r="178" spans="1:52">
      <c r="A178" s="2">
        <v>177</v>
      </c>
      <c r="B178" s="2" t="s">
        <v>74</v>
      </c>
      <c r="C178" s="2" t="s">
        <v>74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  <c r="AQ178" s="2">
        <v>0</v>
      </c>
      <c r="AR178" s="2">
        <v>0</v>
      </c>
      <c r="AS178" s="2">
        <v>9.1999999999999998E-2</v>
      </c>
      <c r="AT178" s="2">
        <v>0</v>
      </c>
      <c r="AU178" s="2">
        <v>0.90800000000000003</v>
      </c>
      <c r="AV178" s="2">
        <v>0</v>
      </c>
      <c r="AW178" s="2">
        <v>0</v>
      </c>
      <c r="AX178" s="2">
        <v>0</v>
      </c>
      <c r="AY178" s="2">
        <v>0</v>
      </c>
      <c r="AZ178" s="2">
        <v>0</v>
      </c>
    </row>
    <row r="179" spans="1:52">
      <c r="A179" s="2">
        <v>178</v>
      </c>
      <c r="B179" s="2" t="s">
        <v>31</v>
      </c>
      <c r="C179" s="2" t="s">
        <v>31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1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  <c r="AC179" s="2">
        <v>0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0</v>
      </c>
      <c r="AJ179" s="2">
        <v>0</v>
      </c>
      <c r="AK179" s="2">
        <v>0</v>
      </c>
      <c r="AL179" s="2">
        <v>0</v>
      </c>
      <c r="AM179" s="2">
        <v>0</v>
      </c>
      <c r="AN179" s="2">
        <v>0</v>
      </c>
      <c r="AO179" s="2">
        <v>0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AU179" s="2">
        <v>0</v>
      </c>
      <c r="AV179" s="2">
        <v>0</v>
      </c>
      <c r="AW179" s="2">
        <v>0</v>
      </c>
      <c r="AX179" s="2">
        <v>0</v>
      </c>
      <c r="AY179" s="2">
        <v>0</v>
      </c>
      <c r="AZ179" s="2">
        <v>0</v>
      </c>
    </row>
    <row r="180" spans="1:52">
      <c r="A180" s="2">
        <v>179</v>
      </c>
      <c r="B180" s="2" t="s">
        <v>91</v>
      </c>
      <c r="C180" s="2" t="s">
        <v>91</v>
      </c>
      <c r="D180" s="2">
        <v>0</v>
      </c>
      <c r="E180" s="2">
        <v>0</v>
      </c>
      <c r="F180" s="2">
        <v>0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4.0000000000000001E-3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2">
        <v>0</v>
      </c>
      <c r="Y180" s="2">
        <v>0</v>
      </c>
      <c r="Z180" s="2">
        <v>0</v>
      </c>
      <c r="AA180" s="2">
        <v>0</v>
      </c>
      <c r="AB180" s="2">
        <v>0.99399999999999999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2E-3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  <c r="AQ180" s="2">
        <v>0</v>
      </c>
      <c r="AR180" s="2">
        <v>0</v>
      </c>
      <c r="AS180" s="2">
        <v>0</v>
      </c>
      <c r="AT180" s="2">
        <v>0</v>
      </c>
      <c r="AU180" s="2">
        <v>0</v>
      </c>
      <c r="AV180" s="2">
        <v>0</v>
      </c>
      <c r="AW180" s="2">
        <v>0</v>
      </c>
      <c r="AX180" s="2">
        <v>0</v>
      </c>
      <c r="AY180" s="2">
        <v>0</v>
      </c>
      <c r="AZ180" s="2">
        <v>0</v>
      </c>
    </row>
    <row r="181" spans="1:52">
      <c r="A181" s="2">
        <v>180</v>
      </c>
      <c r="B181" s="2" t="s">
        <v>168</v>
      </c>
      <c r="C181" s="2" t="s">
        <v>168</v>
      </c>
      <c r="D181" s="2">
        <v>0</v>
      </c>
      <c r="E181" s="2">
        <v>0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2">
        <v>0</v>
      </c>
      <c r="AP181" s="2">
        <v>0</v>
      </c>
      <c r="AQ181" s="2">
        <v>0</v>
      </c>
      <c r="AR181" s="2">
        <v>0</v>
      </c>
      <c r="AS181" s="2">
        <v>0</v>
      </c>
      <c r="AT181" s="2">
        <v>1</v>
      </c>
      <c r="AU181" s="2">
        <v>0</v>
      </c>
      <c r="AV181" s="2">
        <v>0</v>
      </c>
      <c r="AW181" s="2">
        <v>0</v>
      </c>
      <c r="AX181" s="2">
        <v>0</v>
      </c>
      <c r="AY181" s="2">
        <v>0</v>
      </c>
      <c r="AZ181" s="2">
        <v>0</v>
      </c>
    </row>
    <row r="182" spans="1:52">
      <c r="A182" s="2">
        <v>181</v>
      </c>
      <c r="B182" s="2" t="s">
        <v>26</v>
      </c>
      <c r="C182" s="2" t="s">
        <v>26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0.112</v>
      </c>
      <c r="V182" s="2">
        <v>0.157</v>
      </c>
      <c r="W182" s="2">
        <v>0.71899999999999997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2E-3</v>
      </c>
      <c r="AF182" s="2">
        <v>0</v>
      </c>
      <c r="AG182" s="2">
        <v>0</v>
      </c>
      <c r="AH182" s="2">
        <v>0.01</v>
      </c>
      <c r="AI182" s="2">
        <v>0</v>
      </c>
      <c r="AJ182" s="2">
        <v>0</v>
      </c>
      <c r="AK182" s="2">
        <v>0</v>
      </c>
      <c r="AL182" s="2">
        <v>0</v>
      </c>
      <c r="AM182" s="2">
        <v>0</v>
      </c>
      <c r="AN182" s="2">
        <v>0</v>
      </c>
      <c r="AO182" s="2">
        <v>0</v>
      </c>
      <c r="AP182" s="2">
        <v>0</v>
      </c>
      <c r="AQ182" s="2">
        <v>0</v>
      </c>
      <c r="AR182" s="2">
        <v>0</v>
      </c>
      <c r="AS182" s="2">
        <v>0</v>
      </c>
      <c r="AT182" s="2">
        <v>0</v>
      </c>
      <c r="AU182" s="2">
        <v>0</v>
      </c>
      <c r="AV182" s="2">
        <v>0</v>
      </c>
      <c r="AW182" s="2">
        <v>0</v>
      </c>
      <c r="AX182" s="2">
        <v>0</v>
      </c>
      <c r="AY182" s="2">
        <v>0</v>
      </c>
      <c r="AZ182" s="2">
        <v>0</v>
      </c>
    </row>
    <row r="183" spans="1:52">
      <c r="A183" s="2">
        <v>182</v>
      </c>
      <c r="B183" s="2" t="s">
        <v>110</v>
      </c>
      <c r="C183" s="2" t="s">
        <v>110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2">
        <v>0</v>
      </c>
      <c r="AB183" s="2">
        <v>0</v>
      </c>
      <c r="AC183" s="2">
        <v>0</v>
      </c>
      <c r="AD183" s="2"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0</v>
      </c>
      <c r="AL183" s="2">
        <v>0</v>
      </c>
      <c r="AM183" s="2">
        <v>0</v>
      </c>
      <c r="AN183" s="2">
        <v>0</v>
      </c>
      <c r="AO183" s="2">
        <v>0</v>
      </c>
      <c r="AP183" s="2">
        <v>0</v>
      </c>
      <c r="AQ183" s="2">
        <v>0</v>
      </c>
      <c r="AR183" s="2">
        <v>0</v>
      </c>
      <c r="AS183" s="2">
        <v>0.60799999999999998</v>
      </c>
      <c r="AT183" s="2">
        <v>5.0000000000000001E-3</v>
      </c>
      <c r="AU183" s="2">
        <v>0.38700000000000001</v>
      </c>
      <c r="AV183" s="2">
        <v>0</v>
      </c>
      <c r="AW183" s="2">
        <v>0</v>
      </c>
      <c r="AX183" s="2">
        <v>0</v>
      </c>
      <c r="AY183" s="2">
        <v>0</v>
      </c>
      <c r="AZ183" s="2">
        <v>0</v>
      </c>
    </row>
    <row r="184" spans="1:52">
      <c r="A184" s="2">
        <v>183</v>
      </c>
      <c r="B184" s="2" t="s">
        <v>56</v>
      </c>
      <c r="C184" s="2" t="s">
        <v>56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2">
        <v>1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  <c r="AQ184" s="2">
        <v>0</v>
      </c>
      <c r="AR184" s="2">
        <v>0</v>
      </c>
      <c r="AS184" s="2">
        <v>0</v>
      </c>
      <c r="AT184" s="2">
        <v>0</v>
      </c>
      <c r="AU184" s="2">
        <v>0</v>
      </c>
      <c r="AV184" s="2">
        <v>0</v>
      </c>
      <c r="AW184" s="2">
        <v>0</v>
      </c>
      <c r="AX184" s="2">
        <v>0</v>
      </c>
      <c r="AY184" s="2">
        <v>0</v>
      </c>
      <c r="AZ184" s="2">
        <v>0</v>
      </c>
    </row>
    <row r="185" spans="1:52">
      <c r="A185" s="2">
        <v>184</v>
      </c>
      <c r="B185" s="2" t="s">
        <v>41</v>
      </c>
      <c r="C185" s="2" t="s">
        <v>41</v>
      </c>
      <c r="D185" s="2">
        <v>0</v>
      </c>
      <c r="E185" s="2">
        <v>0</v>
      </c>
      <c r="F185" s="2">
        <v>0</v>
      </c>
      <c r="G185" s="2">
        <v>1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  <c r="AQ185" s="2">
        <v>0</v>
      </c>
      <c r="AR185" s="2">
        <v>0</v>
      </c>
      <c r="AS185" s="2">
        <v>0</v>
      </c>
      <c r="AT185" s="2">
        <v>0</v>
      </c>
      <c r="AU185" s="2">
        <v>0</v>
      </c>
      <c r="AV185" s="2">
        <v>0</v>
      </c>
      <c r="AW185" s="2">
        <v>0</v>
      </c>
      <c r="AX185" s="2">
        <v>0</v>
      </c>
      <c r="AY185" s="2">
        <v>0</v>
      </c>
      <c r="AZ185" s="2">
        <v>0</v>
      </c>
    </row>
    <row r="186" spans="1:52">
      <c r="A186" s="2">
        <v>185</v>
      </c>
      <c r="B186" s="2" t="s">
        <v>41</v>
      </c>
      <c r="C186" s="2" t="s">
        <v>41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AU186" s="2">
        <v>0</v>
      </c>
      <c r="AV186" s="2">
        <v>0</v>
      </c>
      <c r="AW186" s="2">
        <v>0</v>
      </c>
      <c r="AX186" s="2">
        <v>0</v>
      </c>
      <c r="AY186" s="2">
        <v>0</v>
      </c>
      <c r="AZ186" s="2">
        <v>0</v>
      </c>
    </row>
    <row r="187" spans="1:52">
      <c r="A187" s="2">
        <v>186</v>
      </c>
      <c r="B187" s="2" t="s">
        <v>47</v>
      </c>
      <c r="C187" s="2" t="s">
        <v>47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1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2">
        <v>0</v>
      </c>
      <c r="AP187" s="2">
        <v>0</v>
      </c>
      <c r="AQ187" s="2">
        <v>0</v>
      </c>
      <c r="AR187" s="2">
        <v>0</v>
      </c>
      <c r="AS187" s="2">
        <v>0</v>
      </c>
      <c r="AT187" s="2">
        <v>0</v>
      </c>
      <c r="AU187" s="2">
        <v>0</v>
      </c>
      <c r="AV187" s="2">
        <v>0</v>
      </c>
      <c r="AW187" s="2">
        <v>0</v>
      </c>
      <c r="AX187" s="2">
        <v>0</v>
      </c>
      <c r="AY187" s="2">
        <v>0</v>
      </c>
      <c r="AZ187" s="2">
        <v>0</v>
      </c>
    </row>
    <row r="188" spans="1:52">
      <c r="A188" s="2">
        <v>187</v>
      </c>
      <c r="B188" s="2" t="s">
        <v>56</v>
      </c>
      <c r="C188" s="2" t="s">
        <v>56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1E-3</v>
      </c>
      <c r="Z188" s="2">
        <v>6.0000000000000001E-3</v>
      </c>
      <c r="AA188" s="2">
        <v>0.99299999999999999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2">
        <v>0</v>
      </c>
      <c r="AP188" s="2">
        <v>0</v>
      </c>
      <c r="AQ188" s="2">
        <v>0</v>
      </c>
      <c r="AR188" s="2">
        <v>0</v>
      </c>
      <c r="AS188" s="2">
        <v>0</v>
      </c>
      <c r="AT188" s="2">
        <v>0</v>
      </c>
      <c r="AU188" s="2">
        <v>0</v>
      </c>
      <c r="AV188" s="2">
        <v>0</v>
      </c>
      <c r="AW188" s="2">
        <v>0</v>
      </c>
      <c r="AX188" s="2">
        <v>0</v>
      </c>
      <c r="AY188" s="2">
        <v>0</v>
      </c>
      <c r="AZ188" s="2">
        <v>0</v>
      </c>
    </row>
    <row r="189" spans="1:52">
      <c r="A189" s="2">
        <v>188</v>
      </c>
      <c r="B189" s="2" t="s">
        <v>41</v>
      </c>
      <c r="C189" s="2" t="s">
        <v>41</v>
      </c>
      <c r="D189" s="2">
        <v>0</v>
      </c>
      <c r="E189" s="2">
        <v>0</v>
      </c>
      <c r="F189" s="2">
        <v>0</v>
      </c>
      <c r="G189" s="2">
        <v>0.874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2">
        <v>0</v>
      </c>
      <c r="AP189" s="2">
        <v>0</v>
      </c>
      <c r="AQ189" s="2">
        <v>0</v>
      </c>
      <c r="AR189" s="2">
        <v>0</v>
      </c>
      <c r="AS189" s="2">
        <v>0</v>
      </c>
      <c r="AT189" s="2">
        <v>0</v>
      </c>
      <c r="AU189" s="2">
        <v>0</v>
      </c>
      <c r="AV189" s="2">
        <v>0</v>
      </c>
      <c r="AW189" s="2">
        <v>0</v>
      </c>
      <c r="AX189" s="2">
        <v>0</v>
      </c>
      <c r="AY189" s="2">
        <v>0.126</v>
      </c>
      <c r="AZ189" s="2">
        <v>0</v>
      </c>
    </row>
    <row r="190" spans="1:52">
      <c r="A190" s="2">
        <v>189</v>
      </c>
      <c r="B190" s="2" t="s">
        <v>261</v>
      </c>
      <c r="C190" s="2" t="s">
        <v>261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3.5999999999999997E-2</v>
      </c>
      <c r="V190" s="2">
        <v>2.5000000000000001E-2</v>
      </c>
      <c r="W190" s="2">
        <v>0.128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0.81100000000000005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2">
        <v>0</v>
      </c>
      <c r="AP190" s="2">
        <v>0</v>
      </c>
      <c r="AQ190" s="2">
        <v>0</v>
      </c>
      <c r="AR190" s="2">
        <v>0</v>
      </c>
      <c r="AS190" s="2">
        <v>0</v>
      </c>
      <c r="AT190" s="2">
        <v>0</v>
      </c>
      <c r="AU190" s="2">
        <v>0</v>
      </c>
      <c r="AV190" s="2">
        <v>0</v>
      </c>
      <c r="AW190" s="2">
        <v>0</v>
      </c>
      <c r="AX190" s="2">
        <v>0</v>
      </c>
      <c r="AY190" s="2">
        <v>0</v>
      </c>
      <c r="AZ190" s="2">
        <v>0</v>
      </c>
    </row>
    <row r="191" spans="1:52">
      <c r="A191" s="2">
        <v>190</v>
      </c>
      <c r="B191" s="2" t="s">
        <v>129</v>
      </c>
      <c r="C191" s="2" t="s">
        <v>129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3.0000000000000001E-3</v>
      </c>
      <c r="K191" s="2">
        <v>0</v>
      </c>
      <c r="L191" s="2">
        <v>0</v>
      </c>
      <c r="M191" s="2">
        <v>0</v>
      </c>
      <c r="N191" s="2">
        <v>0.99299999999999999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4.0000000000000001E-3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2">
        <v>0</v>
      </c>
      <c r="AP191" s="2">
        <v>0</v>
      </c>
      <c r="AQ191" s="2">
        <v>0</v>
      </c>
      <c r="AR191" s="2">
        <v>0</v>
      </c>
      <c r="AS191" s="2">
        <v>0</v>
      </c>
      <c r="AT191" s="2">
        <v>0</v>
      </c>
      <c r="AU191" s="2">
        <v>0</v>
      </c>
      <c r="AV191" s="2">
        <v>0</v>
      </c>
      <c r="AW191" s="2">
        <v>0</v>
      </c>
      <c r="AX191" s="2">
        <v>0</v>
      </c>
      <c r="AY191" s="2">
        <v>0</v>
      </c>
      <c r="AZ191" s="2">
        <v>0</v>
      </c>
    </row>
    <row r="192" spans="1:52">
      <c r="A192" s="2">
        <v>191</v>
      </c>
      <c r="B192" s="2" t="s">
        <v>129</v>
      </c>
      <c r="C192" s="2" t="s">
        <v>129</v>
      </c>
      <c r="D192" s="2">
        <v>0</v>
      </c>
      <c r="E192" s="2">
        <v>0</v>
      </c>
      <c r="F192" s="2">
        <v>0</v>
      </c>
      <c r="G192" s="2">
        <v>0</v>
      </c>
      <c r="H192" s="2">
        <v>7.0000000000000001E-3</v>
      </c>
      <c r="I192" s="2">
        <v>0</v>
      </c>
      <c r="J192" s="2">
        <v>0.02</v>
      </c>
      <c r="K192" s="2">
        <v>9.2999999999999999E-2</v>
      </c>
      <c r="L192" s="2">
        <v>0</v>
      </c>
      <c r="M192" s="2">
        <v>0</v>
      </c>
      <c r="N192" s="2">
        <v>0.86699999999999999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1.2999999999999999E-2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2">
        <v>0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AU192" s="2">
        <v>0</v>
      </c>
      <c r="AV192" s="2">
        <v>0</v>
      </c>
      <c r="AW192" s="2">
        <v>0</v>
      </c>
      <c r="AX192" s="2">
        <v>0</v>
      </c>
      <c r="AY192" s="2">
        <v>0</v>
      </c>
      <c r="AZ192" s="2">
        <v>0</v>
      </c>
    </row>
    <row r="193" spans="1:52">
      <c r="A193" s="2">
        <v>192</v>
      </c>
      <c r="B193" s="2" t="s">
        <v>41</v>
      </c>
      <c r="C193" s="2" t="s">
        <v>41</v>
      </c>
      <c r="D193" s="2">
        <v>0</v>
      </c>
      <c r="E193" s="2">
        <v>0</v>
      </c>
      <c r="F193" s="2">
        <v>0</v>
      </c>
      <c r="G193" s="2">
        <v>1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2">
        <v>0</v>
      </c>
      <c r="AP193" s="2">
        <v>0</v>
      </c>
      <c r="AQ193" s="2">
        <v>0</v>
      </c>
      <c r="AR193" s="2">
        <v>0</v>
      </c>
      <c r="AS193" s="2">
        <v>0</v>
      </c>
      <c r="AT193" s="2">
        <v>0</v>
      </c>
      <c r="AU193" s="2">
        <v>0</v>
      </c>
      <c r="AV193" s="2">
        <v>0</v>
      </c>
      <c r="AW193" s="2">
        <v>0</v>
      </c>
      <c r="AX193" s="2">
        <v>0</v>
      </c>
      <c r="AY193" s="2">
        <v>0</v>
      </c>
      <c r="AZ193" s="2">
        <v>0</v>
      </c>
    </row>
    <row r="194" spans="1:52">
      <c r="A194" s="2">
        <v>193</v>
      </c>
      <c r="B194" s="2" t="s">
        <v>22</v>
      </c>
      <c r="C194" s="2" t="s">
        <v>22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0.79600000000000004</v>
      </c>
      <c r="Z194" s="2">
        <v>0.16700000000000001</v>
      </c>
      <c r="AA194" s="2">
        <v>3.6999999999999998E-2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</v>
      </c>
      <c r="AP194" s="2">
        <v>0</v>
      </c>
      <c r="AQ194" s="2">
        <v>0</v>
      </c>
      <c r="AR194" s="2">
        <v>0</v>
      </c>
      <c r="AS194" s="2">
        <v>0</v>
      </c>
      <c r="AT194" s="2">
        <v>0</v>
      </c>
      <c r="AU194" s="2">
        <v>0</v>
      </c>
      <c r="AV194" s="2">
        <v>0</v>
      </c>
      <c r="AW194" s="2">
        <v>0</v>
      </c>
      <c r="AX194" s="2">
        <v>0</v>
      </c>
      <c r="AY194" s="2">
        <v>0</v>
      </c>
      <c r="AZ194" s="2">
        <v>0</v>
      </c>
    </row>
    <row r="195" spans="1:52">
      <c r="A195" s="2">
        <v>194</v>
      </c>
      <c r="B195" s="2" t="s">
        <v>100</v>
      </c>
      <c r="C195" s="2" t="s">
        <v>100</v>
      </c>
      <c r="D195" s="2">
        <v>0</v>
      </c>
      <c r="E195" s="2">
        <v>0.99299999999999999</v>
      </c>
      <c r="F195" s="2">
        <v>0</v>
      </c>
      <c r="G195" s="2">
        <v>0</v>
      </c>
      <c r="H195" s="2">
        <v>1E-3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1E-3</v>
      </c>
      <c r="X195" s="2">
        <v>0</v>
      </c>
      <c r="Y195" s="2">
        <v>0</v>
      </c>
      <c r="Z195" s="2">
        <v>1E-3</v>
      </c>
      <c r="AA195" s="2">
        <v>3.0000000000000001E-3</v>
      </c>
      <c r="AB195" s="2">
        <v>1E-3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2">
        <v>0</v>
      </c>
      <c r="AP195" s="2">
        <v>0</v>
      </c>
      <c r="AQ195" s="2">
        <v>0</v>
      </c>
      <c r="AR195" s="2">
        <v>0</v>
      </c>
      <c r="AS195" s="2">
        <v>0</v>
      </c>
      <c r="AT195" s="2">
        <v>0</v>
      </c>
      <c r="AU195" s="2">
        <v>0</v>
      </c>
      <c r="AV195" s="2">
        <v>0</v>
      </c>
      <c r="AW195" s="2">
        <v>0</v>
      </c>
      <c r="AX195" s="2">
        <v>0</v>
      </c>
      <c r="AY195" s="2">
        <v>0</v>
      </c>
      <c r="AZ195" s="2">
        <v>0</v>
      </c>
    </row>
    <row r="196" spans="1:52">
      <c r="A196" s="2">
        <v>195</v>
      </c>
      <c r="B196" s="2" t="s">
        <v>269</v>
      </c>
      <c r="C196" s="2" t="s">
        <v>269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2">
        <v>0</v>
      </c>
      <c r="AP196" s="2">
        <v>1</v>
      </c>
      <c r="AQ196" s="2">
        <v>0</v>
      </c>
      <c r="AR196" s="2">
        <v>0</v>
      </c>
      <c r="AS196" s="2">
        <v>0</v>
      </c>
      <c r="AT196" s="2">
        <v>0</v>
      </c>
      <c r="AU196" s="2">
        <v>0</v>
      </c>
      <c r="AV196" s="2">
        <v>0</v>
      </c>
      <c r="AW196" s="2">
        <v>0</v>
      </c>
      <c r="AX196" s="2">
        <v>0</v>
      </c>
      <c r="AY196" s="2">
        <v>0</v>
      </c>
      <c r="AZ196" s="2">
        <v>0</v>
      </c>
    </row>
    <row r="197" spans="1:52">
      <c r="A197" s="2">
        <v>196</v>
      </c>
      <c r="B197" s="2" t="s">
        <v>41</v>
      </c>
      <c r="C197" s="2" t="s">
        <v>41</v>
      </c>
      <c r="D197" s="2">
        <v>0</v>
      </c>
      <c r="E197" s="2">
        <v>0</v>
      </c>
      <c r="F197" s="2">
        <v>0</v>
      </c>
      <c r="G197" s="2">
        <v>1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2">
        <v>0</v>
      </c>
      <c r="AP197" s="2">
        <v>0</v>
      </c>
      <c r="AQ197" s="2">
        <v>0</v>
      </c>
      <c r="AR197" s="2">
        <v>0</v>
      </c>
      <c r="AS197" s="2">
        <v>0</v>
      </c>
      <c r="AT197" s="2">
        <v>0</v>
      </c>
      <c r="AU197" s="2">
        <v>0</v>
      </c>
      <c r="AV197" s="2">
        <v>0</v>
      </c>
      <c r="AW197" s="2">
        <v>0</v>
      </c>
      <c r="AX197" s="2">
        <v>0</v>
      </c>
      <c r="AY197" s="2">
        <v>0</v>
      </c>
      <c r="AZ197" s="2">
        <v>0</v>
      </c>
    </row>
    <row r="198" spans="1:52">
      <c r="A198" s="2">
        <v>197</v>
      </c>
      <c r="B198" s="2" t="s">
        <v>47</v>
      </c>
      <c r="C198" s="2" t="s">
        <v>47</v>
      </c>
      <c r="D198" s="2">
        <v>6.0000000000000001E-3</v>
      </c>
      <c r="E198" s="2">
        <v>0</v>
      </c>
      <c r="F198" s="2">
        <v>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0.93600000000000005</v>
      </c>
      <c r="P198" s="2">
        <v>5.8000000000000003E-2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2">
        <v>0</v>
      </c>
      <c r="AP198" s="2">
        <v>0</v>
      </c>
      <c r="AQ198" s="2">
        <v>0</v>
      </c>
      <c r="AR198" s="2">
        <v>0</v>
      </c>
      <c r="AS198" s="2">
        <v>0</v>
      </c>
      <c r="AT198" s="2">
        <v>0</v>
      </c>
      <c r="AU198" s="2">
        <v>0</v>
      </c>
      <c r="AV198" s="2">
        <v>0</v>
      </c>
      <c r="AW198" s="2">
        <v>0</v>
      </c>
      <c r="AX198" s="2">
        <v>0</v>
      </c>
      <c r="AY198" s="2">
        <v>0</v>
      </c>
      <c r="AZ198" s="2">
        <v>0</v>
      </c>
    </row>
    <row r="199" spans="1:52">
      <c r="A199" s="2">
        <v>198</v>
      </c>
      <c r="B199" s="2" t="s">
        <v>47</v>
      </c>
      <c r="C199" s="2" t="s">
        <v>47</v>
      </c>
      <c r="D199" s="2">
        <v>1E-3</v>
      </c>
      <c r="E199" s="2">
        <v>0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0.997</v>
      </c>
      <c r="P199" s="2">
        <v>2E-3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2">
        <v>0</v>
      </c>
      <c r="AP199" s="2">
        <v>0</v>
      </c>
      <c r="AQ199" s="2">
        <v>0</v>
      </c>
      <c r="AR199" s="2">
        <v>0</v>
      </c>
      <c r="AS199" s="2">
        <v>0</v>
      </c>
      <c r="AT199" s="2">
        <v>0</v>
      </c>
      <c r="AU199" s="2">
        <v>0</v>
      </c>
      <c r="AV199" s="2">
        <v>0</v>
      </c>
      <c r="AW199" s="2">
        <v>0</v>
      </c>
      <c r="AX199" s="2">
        <v>0</v>
      </c>
      <c r="AY199" s="2">
        <v>0</v>
      </c>
      <c r="AZ199" s="2">
        <v>0</v>
      </c>
    </row>
    <row r="200" spans="1:52">
      <c r="A200" s="2">
        <v>199</v>
      </c>
      <c r="B200" s="2" t="s">
        <v>168</v>
      </c>
      <c r="C200" s="2" t="s">
        <v>168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  <c r="AQ200" s="2">
        <v>0</v>
      </c>
      <c r="AR200" s="2">
        <v>0</v>
      </c>
      <c r="AS200" s="2">
        <v>7.0000000000000001E-3</v>
      </c>
      <c r="AT200" s="2">
        <v>0.97699999999999998</v>
      </c>
      <c r="AU200" s="2">
        <v>1.6E-2</v>
      </c>
      <c r="AV200" s="2">
        <v>0</v>
      </c>
      <c r="AW200" s="2">
        <v>0</v>
      </c>
      <c r="AX200" s="2">
        <v>0</v>
      </c>
      <c r="AY200" s="2">
        <v>0</v>
      </c>
      <c r="AZ200" s="2">
        <v>0</v>
      </c>
    </row>
    <row r="201" spans="1:52">
      <c r="A201" s="2">
        <v>200</v>
      </c>
      <c r="B201" s="2" t="s">
        <v>41</v>
      </c>
      <c r="C201" s="2" t="s">
        <v>41</v>
      </c>
      <c r="D201" s="2">
        <v>0</v>
      </c>
      <c r="E201" s="2">
        <v>0</v>
      </c>
      <c r="F201" s="2">
        <v>0</v>
      </c>
      <c r="G201" s="2">
        <v>1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</v>
      </c>
      <c r="AQ201" s="2">
        <v>0</v>
      </c>
      <c r="AR201" s="2">
        <v>0</v>
      </c>
      <c r="AS201" s="2">
        <v>0</v>
      </c>
      <c r="AT201" s="2">
        <v>0</v>
      </c>
      <c r="AU201" s="2">
        <v>0</v>
      </c>
      <c r="AV201" s="2">
        <v>0</v>
      </c>
      <c r="AW201" s="2">
        <v>0</v>
      </c>
      <c r="AX201" s="2">
        <v>0</v>
      </c>
      <c r="AY201" s="2">
        <v>0</v>
      </c>
      <c r="AZ201" s="2">
        <v>0</v>
      </c>
    </row>
    <row r="202" spans="1:52">
      <c r="A202" s="2">
        <v>201</v>
      </c>
      <c r="B202" s="2" t="s">
        <v>88</v>
      </c>
      <c r="C202" s="2" t="s">
        <v>88</v>
      </c>
      <c r="D202" s="2">
        <v>0</v>
      </c>
      <c r="E202" s="2">
        <v>0</v>
      </c>
      <c r="F202" s="2">
        <v>0</v>
      </c>
      <c r="G202" s="2">
        <v>0.20899999999999999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2">
        <v>0</v>
      </c>
      <c r="AP202" s="2">
        <v>0</v>
      </c>
      <c r="AQ202" s="2">
        <v>0</v>
      </c>
      <c r="AR202" s="2">
        <v>0</v>
      </c>
      <c r="AS202" s="2">
        <v>0</v>
      </c>
      <c r="AT202" s="2">
        <v>0</v>
      </c>
      <c r="AU202" s="2">
        <v>0</v>
      </c>
      <c r="AV202" s="2">
        <v>0</v>
      </c>
      <c r="AW202" s="2">
        <v>0</v>
      </c>
      <c r="AX202" s="2">
        <v>0</v>
      </c>
      <c r="AY202" s="2">
        <v>0.79100000000000004</v>
      </c>
      <c r="AZ202" s="2">
        <v>0</v>
      </c>
    </row>
    <row r="203" spans="1:52">
      <c r="A203" s="2">
        <v>202</v>
      </c>
      <c r="B203" s="2" t="s">
        <v>275</v>
      </c>
      <c r="C203" s="2" t="s">
        <v>275</v>
      </c>
      <c r="D203" s="2">
        <v>0</v>
      </c>
      <c r="E203" s="2">
        <v>0</v>
      </c>
      <c r="F203" s="2">
        <v>0</v>
      </c>
      <c r="G203" s="2">
        <v>0</v>
      </c>
      <c r="H203" s="2">
        <v>0.04</v>
      </c>
      <c r="I203" s="2">
        <v>0</v>
      </c>
      <c r="J203" s="2">
        <v>0.95799999999999996</v>
      </c>
      <c r="K203" s="2">
        <v>1E-3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1E-3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0</v>
      </c>
      <c r="AC203" s="2">
        <v>0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>
        <v>0</v>
      </c>
      <c r="AJ203" s="2">
        <v>0</v>
      </c>
      <c r="AK203" s="2">
        <v>0</v>
      </c>
      <c r="AL203" s="2">
        <v>0</v>
      </c>
      <c r="AM203" s="2">
        <v>0</v>
      </c>
      <c r="AN203" s="2">
        <v>0</v>
      </c>
      <c r="AO203" s="2">
        <v>0</v>
      </c>
      <c r="AP203" s="2">
        <v>0</v>
      </c>
      <c r="AQ203" s="2">
        <v>0</v>
      </c>
      <c r="AR203" s="2">
        <v>0</v>
      </c>
      <c r="AS203" s="2">
        <v>0</v>
      </c>
      <c r="AT203" s="2">
        <v>0</v>
      </c>
      <c r="AU203" s="2">
        <v>0</v>
      </c>
      <c r="AV203" s="2">
        <v>0</v>
      </c>
      <c r="AW203" s="2">
        <v>0</v>
      </c>
      <c r="AX203" s="2">
        <v>0</v>
      </c>
      <c r="AY203" s="2">
        <v>0</v>
      </c>
      <c r="AZ203" s="2">
        <v>0</v>
      </c>
    </row>
    <row r="204" spans="1:52">
      <c r="A204" s="2">
        <v>203</v>
      </c>
      <c r="B204" s="2" t="s">
        <v>225</v>
      </c>
      <c r="C204" s="2" t="s">
        <v>225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8.9999999999999993E-3</v>
      </c>
      <c r="J204" s="2">
        <v>0</v>
      </c>
      <c r="K204" s="2">
        <v>0</v>
      </c>
      <c r="L204" s="2">
        <v>2E-3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>
        <v>3.0000000000000001E-3</v>
      </c>
      <c r="X204" s="2">
        <v>0.96699999999999997</v>
      </c>
      <c r="Y204" s="2">
        <v>5.0000000000000001E-3</v>
      </c>
      <c r="Z204" s="2">
        <v>4.0000000000000001E-3</v>
      </c>
      <c r="AA204" s="2">
        <v>0</v>
      </c>
      <c r="AB204" s="2">
        <v>0</v>
      </c>
      <c r="AC204" s="2">
        <v>0</v>
      </c>
      <c r="AD204" s="2">
        <v>0</v>
      </c>
      <c r="AE204" s="2">
        <v>1E-3</v>
      </c>
      <c r="AF204" s="2">
        <v>1E-3</v>
      </c>
      <c r="AG204" s="2">
        <v>3.0000000000000001E-3</v>
      </c>
      <c r="AH204" s="2">
        <v>0</v>
      </c>
      <c r="AI204" s="2">
        <v>0</v>
      </c>
      <c r="AJ204" s="2">
        <v>0</v>
      </c>
      <c r="AK204" s="2">
        <v>0</v>
      </c>
      <c r="AL204" s="2">
        <v>3.0000000000000001E-3</v>
      </c>
      <c r="AM204" s="2">
        <v>0</v>
      </c>
      <c r="AN204" s="2">
        <v>0</v>
      </c>
      <c r="AO204" s="2">
        <v>0</v>
      </c>
      <c r="AP204" s="2">
        <v>0</v>
      </c>
      <c r="AQ204" s="2">
        <v>0</v>
      </c>
      <c r="AR204" s="2">
        <v>0</v>
      </c>
      <c r="AS204" s="2">
        <v>0</v>
      </c>
      <c r="AT204" s="2">
        <v>0</v>
      </c>
      <c r="AU204" s="2">
        <v>0</v>
      </c>
      <c r="AV204" s="2">
        <v>0</v>
      </c>
      <c r="AW204" s="2">
        <v>0</v>
      </c>
      <c r="AX204" s="2">
        <v>0</v>
      </c>
      <c r="AY204" s="2">
        <v>0</v>
      </c>
      <c r="AZ204" s="2">
        <v>2E-3</v>
      </c>
    </row>
    <row r="205" spans="1:52">
      <c r="A205" s="2">
        <v>204</v>
      </c>
      <c r="B205" s="2" t="s">
        <v>278</v>
      </c>
      <c r="C205" s="2" t="s">
        <v>278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3.1E-2</v>
      </c>
      <c r="AG205" s="2">
        <v>0.88900000000000001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0</v>
      </c>
      <c r="AQ205" s="2">
        <v>0</v>
      </c>
      <c r="AR205" s="2">
        <v>0</v>
      </c>
      <c r="AS205" s="2">
        <v>0</v>
      </c>
      <c r="AT205" s="2">
        <v>0</v>
      </c>
      <c r="AU205" s="2">
        <v>0</v>
      </c>
      <c r="AV205" s="2">
        <v>0</v>
      </c>
      <c r="AW205" s="2">
        <v>0</v>
      </c>
      <c r="AX205" s="2">
        <v>0</v>
      </c>
      <c r="AY205" s="2">
        <v>0</v>
      </c>
      <c r="AZ205" s="2">
        <v>0.08</v>
      </c>
    </row>
    <row r="206" spans="1:52">
      <c r="A206" s="2">
        <v>205</v>
      </c>
      <c r="B206" s="2" t="s">
        <v>88</v>
      </c>
      <c r="C206" s="2" t="s">
        <v>88</v>
      </c>
      <c r="D206" s="2">
        <v>0</v>
      </c>
      <c r="E206" s="2">
        <v>0</v>
      </c>
      <c r="F206" s="2">
        <v>0</v>
      </c>
      <c r="G206" s="2">
        <v>0.21199999999999999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  <c r="AQ206" s="2">
        <v>0</v>
      </c>
      <c r="AR206" s="2">
        <v>0</v>
      </c>
      <c r="AS206" s="2">
        <v>0</v>
      </c>
      <c r="AT206" s="2">
        <v>0</v>
      </c>
      <c r="AU206" s="2">
        <v>0</v>
      </c>
      <c r="AV206" s="2">
        <v>0</v>
      </c>
      <c r="AW206" s="2">
        <v>0</v>
      </c>
      <c r="AX206" s="2">
        <v>0</v>
      </c>
      <c r="AY206" s="2">
        <v>0.78800000000000003</v>
      </c>
      <c r="AZ206" s="2">
        <v>0</v>
      </c>
    </row>
    <row r="207" spans="1:52">
      <c r="A207" s="2">
        <v>206</v>
      </c>
      <c r="B207" s="2" t="s">
        <v>56</v>
      </c>
      <c r="C207" s="2" t="s">
        <v>56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1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  <c r="AQ207" s="2">
        <v>0</v>
      </c>
      <c r="AR207" s="2">
        <v>0</v>
      </c>
      <c r="AS207" s="2">
        <v>0</v>
      </c>
      <c r="AT207" s="2">
        <v>0</v>
      </c>
      <c r="AU207" s="2">
        <v>0</v>
      </c>
      <c r="AV207" s="2">
        <v>0</v>
      </c>
      <c r="AW207" s="2">
        <v>0</v>
      </c>
      <c r="AX207" s="2">
        <v>0</v>
      </c>
      <c r="AY207" s="2">
        <v>0</v>
      </c>
      <c r="AZ207" s="2">
        <v>0</v>
      </c>
    </row>
    <row r="208" spans="1:52">
      <c r="A208" s="2">
        <v>207</v>
      </c>
      <c r="B208" s="2" t="s">
        <v>191</v>
      </c>
      <c r="C208" s="2" t="s">
        <v>191</v>
      </c>
      <c r="D208" s="2">
        <v>0</v>
      </c>
      <c r="E208" s="2">
        <v>1E-3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0.26100000000000001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0.73799999999999999</v>
      </c>
      <c r="AL208" s="2">
        <v>0</v>
      </c>
      <c r="AM208" s="2">
        <v>0</v>
      </c>
      <c r="AN208" s="2">
        <v>0</v>
      </c>
      <c r="AO208" s="2">
        <v>0</v>
      </c>
      <c r="AP208" s="2">
        <v>0</v>
      </c>
      <c r="AQ208" s="2">
        <v>0</v>
      </c>
      <c r="AR208" s="2">
        <v>0</v>
      </c>
      <c r="AS208" s="2">
        <v>0</v>
      </c>
      <c r="AT208" s="2">
        <v>0</v>
      </c>
      <c r="AU208" s="2">
        <v>0</v>
      </c>
      <c r="AV208" s="2">
        <v>0</v>
      </c>
      <c r="AW208" s="2">
        <v>0</v>
      </c>
      <c r="AX208" s="2">
        <v>0</v>
      </c>
      <c r="AY208" s="2">
        <v>0</v>
      </c>
      <c r="AZ208" s="2">
        <v>0</v>
      </c>
    </row>
    <row r="209" spans="1:52">
      <c r="A209" s="2">
        <v>208</v>
      </c>
      <c r="B209" s="2" t="s">
        <v>269</v>
      </c>
      <c r="C209" s="2" t="s">
        <v>269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2">
        <v>0</v>
      </c>
      <c r="AP209" s="2">
        <v>0.997</v>
      </c>
      <c r="AQ209" s="2">
        <v>0</v>
      </c>
      <c r="AR209" s="2">
        <v>1E-3</v>
      </c>
      <c r="AS209" s="2">
        <v>0</v>
      </c>
      <c r="AT209" s="2">
        <v>0</v>
      </c>
      <c r="AU209" s="2">
        <v>0</v>
      </c>
      <c r="AV209" s="2">
        <v>2E-3</v>
      </c>
      <c r="AW209" s="2">
        <v>0</v>
      </c>
      <c r="AX209" s="2">
        <v>0</v>
      </c>
      <c r="AY209" s="2">
        <v>0</v>
      </c>
      <c r="AZ209" s="2">
        <v>0</v>
      </c>
    </row>
    <row r="210" spans="1:52">
      <c r="A210" s="2">
        <v>209</v>
      </c>
      <c r="B210" s="2" t="s">
        <v>26</v>
      </c>
      <c r="C210" s="2" t="s">
        <v>26</v>
      </c>
      <c r="D210" s="2">
        <v>0</v>
      </c>
      <c r="E210" s="2">
        <v>0</v>
      </c>
      <c r="F210" s="2">
        <v>0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1E-3</v>
      </c>
      <c r="V210" s="2">
        <v>0</v>
      </c>
      <c r="W210" s="2">
        <v>0.995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4.0000000000000001E-3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2">
        <v>0</v>
      </c>
      <c r="AP210" s="2">
        <v>0</v>
      </c>
      <c r="AQ210" s="2">
        <v>0</v>
      </c>
      <c r="AR210" s="2">
        <v>0</v>
      </c>
      <c r="AS210" s="2">
        <v>0</v>
      </c>
      <c r="AT210" s="2">
        <v>0</v>
      </c>
      <c r="AU210" s="2">
        <v>0</v>
      </c>
      <c r="AV210" s="2">
        <v>0</v>
      </c>
      <c r="AW210" s="2">
        <v>0</v>
      </c>
      <c r="AX210" s="2">
        <v>0</v>
      </c>
      <c r="AY210" s="2">
        <v>0</v>
      </c>
      <c r="AZ210" s="2">
        <v>0</v>
      </c>
    </row>
    <row r="211" spans="1:52">
      <c r="A211" s="2">
        <v>210</v>
      </c>
      <c r="B211" s="2" t="s">
        <v>28</v>
      </c>
      <c r="C211" s="2" t="s">
        <v>28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3.6999999999999998E-2</v>
      </c>
      <c r="Y211" s="2">
        <v>0.16500000000000001</v>
      </c>
      <c r="Z211" s="2">
        <v>0.79800000000000004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AU211" s="2">
        <v>0</v>
      </c>
      <c r="AV211" s="2">
        <v>0</v>
      </c>
      <c r="AW211" s="2">
        <v>0</v>
      </c>
      <c r="AX211" s="2">
        <v>0</v>
      </c>
      <c r="AY211" s="2">
        <v>0</v>
      </c>
      <c r="AZ211" s="2">
        <v>0</v>
      </c>
    </row>
    <row r="212" spans="1:52">
      <c r="A212" s="2">
        <v>211</v>
      </c>
      <c r="B212" s="2" t="s">
        <v>261</v>
      </c>
      <c r="C212" s="2" t="s">
        <v>261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3.0000000000000001E-3</v>
      </c>
      <c r="V212" s="2">
        <v>0</v>
      </c>
      <c r="W212" s="2">
        <v>0.33200000000000002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0.66500000000000004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U212" s="2">
        <v>0</v>
      </c>
      <c r="AV212" s="2">
        <v>0</v>
      </c>
      <c r="AW212" s="2">
        <v>0</v>
      </c>
      <c r="AX212" s="2">
        <v>0</v>
      </c>
      <c r="AY212" s="2">
        <v>0</v>
      </c>
      <c r="AZ212" s="2">
        <v>0</v>
      </c>
    </row>
    <row r="213" spans="1:52">
      <c r="A213" s="2">
        <v>212</v>
      </c>
      <c r="B213" s="2" t="s">
        <v>26</v>
      </c>
      <c r="C213" s="2" t="s">
        <v>26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1E-3</v>
      </c>
      <c r="W213" s="2">
        <v>0.95499999999999996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4.3999999999999997E-2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AU213" s="2">
        <v>0</v>
      </c>
      <c r="AV213" s="2">
        <v>0</v>
      </c>
      <c r="AW213" s="2">
        <v>0</v>
      </c>
      <c r="AX213" s="2">
        <v>0</v>
      </c>
      <c r="AY213" s="2">
        <v>0</v>
      </c>
      <c r="AZ213" s="2">
        <v>0</v>
      </c>
    </row>
    <row r="214" spans="1:52">
      <c r="A214" s="2">
        <v>213</v>
      </c>
      <c r="B214" s="2" t="s">
        <v>74</v>
      </c>
      <c r="C214" s="2" t="s">
        <v>74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  <c r="AQ214" s="2">
        <v>0</v>
      </c>
      <c r="AR214" s="2">
        <v>0</v>
      </c>
      <c r="AS214" s="2">
        <v>8.0000000000000002E-3</v>
      </c>
      <c r="AT214" s="2">
        <v>0</v>
      </c>
      <c r="AU214" s="2">
        <v>0.99199999999999999</v>
      </c>
      <c r="AV214" s="2">
        <v>0</v>
      </c>
      <c r="AW214" s="2">
        <v>0</v>
      </c>
      <c r="AX214" s="2">
        <v>0</v>
      </c>
      <c r="AY214" s="2">
        <v>0</v>
      </c>
      <c r="AZ214" s="2">
        <v>0</v>
      </c>
    </row>
    <row r="215" spans="1:52">
      <c r="A215" s="2">
        <v>214</v>
      </c>
      <c r="B215" s="2" t="s">
        <v>22</v>
      </c>
      <c r="C215" s="2" t="s">
        <v>22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0.80200000000000005</v>
      </c>
      <c r="Z215" s="2">
        <v>0.19500000000000001</v>
      </c>
      <c r="AA215" s="2">
        <v>3.0000000000000001E-3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2">
        <v>0</v>
      </c>
      <c r="AP215" s="2">
        <v>0</v>
      </c>
      <c r="AQ215" s="2">
        <v>0</v>
      </c>
      <c r="AR215" s="2">
        <v>0</v>
      </c>
      <c r="AS215" s="2">
        <v>0</v>
      </c>
      <c r="AT215" s="2">
        <v>0</v>
      </c>
      <c r="AU215" s="2">
        <v>0</v>
      </c>
      <c r="AV215" s="2">
        <v>0</v>
      </c>
      <c r="AW215" s="2">
        <v>0</v>
      </c>
      <c r="AX215" s="2">
        <v>0</v>
      </c>
      <c r="AY215" s="2">
        <v>0</v>
      </c>
      <c r="AZ215" s="2">
        <v>0</v>
      </c>
    </row>
    <row r="216" spans="1:52">
      <c r="A216" s="2">
        <v>215</v>
      </c>
      <c r="B216" s="2" t="s">
        <v>22</v>
      </c>
      <c r="C216" s="2" t="s">
        <v>22</v>
      </c>
      <c r="D216" s="2">
        <v>0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3.0000000000000001E-3</v>
      </c>
      <c r="Y216" s="2">
        <v>0.68500000000000005</v>
      </c>
      <c r="Z216" s="2">
        <v>0.312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2">
        <v>0</v>
      </c>
      <c r="AP216" s="2">
        <v>0</v>
      </c>
      <c r="AQ216" s="2">
        <v>0</v>
      </c>
      <c r="AR216" s="2">
        <v>0</v>
      </c>
      <c r="AS216" s="2">
        <v>0</v>
      </c>
      <c r="AT216" s="2">
        <v>0</v>
      </c>
      <c r="AU216" s="2">
        <v>0</v>
      </c>
      <c r="AV216" s="2">
        <v>0</v>
      </c>
      <c r="AW216" s="2">
        <v>0</v>
      </c>
      <c r="AX216" s="2">
        <v>0</v>
      </c>
      <c r="AY216" s="2">
        <v>0</v>
      </c>
      <c r="AZ216" s="2">
        <v>0</v>
      </c>
    </row>
    <row r="217" spans="1:52">
      <c r="A217" s="2">
        <v>216</v>
      </c>
      <c r="B217" s="2" t="s">
        <v>26</v>
      </c>
      <c r="C217" s="2" t="s">
        <v>26</v>
      </c>
      <c r="D217" s="2">
        <v>0</v>
      </c>
      <c r="E217" s="2">
        <v>0</v>
      </c>
      <c r="F217" s="2">
        <v>0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0.376</v>
      </c>
      <c r="V217" s="2">
        <v>3.0000000000000001E-3</v>
      </c>
      <c r="W217" s="2">
        <v>0.621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2">
        <v>0</v>
      </c>
      <c r="AP217" s="2">
        <v>0</v>
      </c>
      <c r="AQ217" s="2">
        <v>0</v>
      </c>
      <c r="AR217" s="2">
        <v>0</v>
      </c>
      <c r="AS217" s="2">
        <v>0</v>
      </c>
      <c r="AT217" s="2">
        <v>0</v>
      </c>
      <c r="AU217" s="2">
        <v>0</v>
      </c>
      <c r="AV217" s="2">
        <v>0</v>
      </c>
      <c r="AW217" s="2">
        <v>0</v>
      </c>
      <c r="AX217" s="2">
        <v>0</v>
      </c>
      <c r="AY217" s="2">
        <v>0</v>
      </c>
      <c r="AZ217" s="2">
        <v>0</v>
      </c>
    </row>
    <row r="218" spans="1:52">
      <c r="A218" s="2">
        <v>217</v>
      </c>
      <c r="B218" s="2" t="s">
        <v>41</v>
      </c>
      <c r="C218" s="2" t="s">
        <v>41</v>
      </c>
      <c r="D218" s="2">
        <v>0</v>
      </c>
      <c r="E218" s="2">
        <v>0</v>
      </c>
      <c r="F218" s="2">
        <v>0</v>
      </c>
      <c r="G218" s="2">
        <v>1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2">
        <v>0</v>
      </c>
      <c r="AP218" s="2">
        <v>0</v>
      </c>
      <c r="AQ218" s="2">
        <v>0</v>
      </c>
      <c r="AR218" s="2">
        <v>0</v>
      </c>
      <c r="AS218" s="2">
        <v>0</v>
      </c>
      <c r="AT218" s="2">
        <v>0</v>
      </c>
      <c r="AU218" s="2">
        <v>0</v>
      </c>
      <c r="AV218" s="2">
        <v>0</v>
      </c>
      <c r="AW218" s="2">
        <v>0</v>
      </c>
      <c r="AX218" s="2">
        <v>0</v>
      </c>
      <c r="AY218" s="2">
        <v>0</v>
      </c>
      <c r="AZ218" s="2">
        <v>0</v>
      </c>
    </row>
    <row r="219" spans="1:52">
      <c r="A219" s="2">
        <v>218</v>
      </c>
      <c r="B219" s="2" t="s">
        <v>41</v>
      </c>
      <c r="C219" s="2" t="s">
        <v>41</v>
      </c>
      <c r="D219" s="2">
        <v>0</v>
      </c>
      <c r="E219" s="2">
        <v>0</v>
      </c>
      <c r="F219" s="2">
        <v>0</v>
      </c>
      <c r="G219" s="2">
        <v>1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>
        <v>0</v>
      </c>
      <c r="AJ219" s="2">
        <v>0</v>
      </c>
      <c r="AK219" s="2">
        <v>0</v>
      </c>
      <c r="AL219" s="2">
        <v>0</v>
      </c>
      <c r="AM219" s="2">
        <v>0</v>
      </c>
      <c r="AN219" s="2">
        <v>0</v>
      </c>
      <c r="AO219" s="2">
        <v>0</v>
      </c>
      <c r="AP219" s="2">
        <v>0</v>
      </c>
      <c r="AQ219" s="2">
        <v>0</v>
      </c>
      <c r="AR219" s="2">
        <v>0</v>
      </c>
      <c r="AS219" s="2">
        <v>0</v>
      </c>
      <c r="AT219" s="2">
        <v>0</v>
      </c>
      <c r="AU219" s="2">
        <v>0</v>
      </c>
      <c r="AV219" s="2">
        <v>0</v>
      </c>
      <c r="AW219" s="2">
        <v>0</v>
      </c>
      <c r="AX219" s="2">
        <v>0</v>
      </c>
      <c r="AY219" s="2">
        <v>0</v>
      </c>
      <c r="AZ219" s="2">
        <v>0</v>
      </c>
    </row>
    <row r="220" spans="1:52">
      <c r="A220" s="2">
        <v>219</v>
      </c>
      <c r="B220" s="2" t="s">
        <v>150</v>
      </c>
      <c r="C220" s="2" t="s">
        <v>150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0.998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2E-3</v>
      </c>
      <c r="AM220" s="2">
        <v>0</v>
      </c>
      <c r="AN220" s="2">
        <v>0</v>
      </c>
      <c r="AO220" s="2">
        <v>0</v>
      </c>
      <c r="AP220" s="2">
        <v>0</v>
      </c>
      <c r="AQ220" s="2">
        <v>0</v>
      </c>
      <c r="AR220" s="2">
        <v>0</v>
      </c>
      <c r="AS220" s="2">
        <v>0</v>
      </c>
      <c r="AT220" s="2">
        <v>0</v>
      </c>
      <c r="AU220" s="2">
        <v>0</v>
      </c>
      <c r="AV220" s="2">
        <v>0</v>
      </c>
      <c r="AW220" s="2">
        <v>0</v>
      </c>
      <c r="AX220" s="2">
        <v>0</v>
      </c>
      <c r="AY220" s="2">
        <v>0</v>
      </c>
      <c r="AZ220" s="2">
        <v>0</v>
      </c>
    </row>
    <row r="221" spans="1:52">
      <c r="A221" s="2">
        <v>220</v>
      </c>
      <c r="B221" s="2" t="s">
        <v>163</v>
      </c>
      <c r="C221" s="2" t="s">
        <v>163</v>
      </c>
      <c r="D221" s="2">
        <v>0.66600000000000004</v>
      </c>
      <c r="E221" s="2">
        <v>0</v>
      </c>
      <c r="F221" s="2">
        <v>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0.156</v>
      </c>
      <c r="P221" s="2">
        <v>0.17799999999999999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0</v>
      </c>
      <c r="AQ221" s="2">
        <v>0</v>
      </c>
      <c r="AR221" s="2">
        <v>0</v>
      </c>
      <c r="AS221" s="2">
        <v>0</v>
      </c>
      <c r="AT221" s="2">
        <v>0</v>
      </c>
      <c r="AU221" s="2">
        <v>0</v>
      </c>
      <c r="AV221" s="2">
        <v>0</v>
      </c>
      <c r="AW221" s="2">
        <v>0</v>
      </c>
      <c r="AX221" s="2">
        <v>0</v>
      </c>
      <c r="AY221" s="2">
        <v>0</v>
      </c>
      <c r="AZ221" s="2">
        <v>0</v>
      </c>
    </row>
    <row r="222" spans="1:52">
      <c r="A222" s="2">
        <v>221</v>
      </c>
      <c r="B222" s="2" t="s">
        <v>47</v>
      </c>
      <c r="C222" s="2" t="s">
        <v>47</v>
      </c>
      <c r="D222" s="2">
        <v>2E-3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0.998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  <c r="AQ222" s="2">
        <v>0</v>
      </c>
      <c r="AR222" s="2">
        <v>0</v>
      </c>
      <c r="AS222" s="2">
        <v>0</v>
      </c>
      <c r="AT222" s="2">
        <v>0</v>
      </c>
      <c r="AU222" s="2">
        <v>0</v>
      </c>
      <c r="AV222" s="2">
        <v>0</v>
      </c>
      <c r="AW222" s="2">
        <v>0</v>
      </c>
      <c r="AX222" s="2">
        <v>0</v>
      </c>
      <c r="AY222" s="2">
        <v>0</v>
      </c>
      <c r="AZ222" s="2">
        <v>0</v>
      </c>
    </row>
    <row r="223" spans="1:52">
      <c r="A223" s="2">
        <v>222</v>
      </c>
      <c r="B223" s="2" t="s">
        <v>41</v>
      </c>
      <c r="C223" s="2" t="s">
        <v>41</v>
      </c>
      <c r="D223" s="2">
        <v>0</v>
      </c>
      <c r="E223" s="2">
        <v>0</v>
      </c>
      <c r="F223" s="2">
        <v>0</v>
      </c>
      <c r="G223" s="2">
        <v>1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>
        <v>0</v>
      </c>
      <c r="AJ223" s="2">
        <v>0</v>
      </c>
      <c r="AK223" s="2">
        <v>0</v>
      </c>
      <c r="AL223" s="2">
        <v>0</v>
      </c>
      <c r="AM223" s="2">
        <v>0</v>
      </c>
      <c r="AN223" s="2">
        <v>0</v>
      </c>
      <c r="AO223" s="2">
        <v>0</v>
      </c>
      <c r="AP223" s="2">
        <v>0</v>
      </c>
      <c r="AQ223" s="2">
        <v>0</v>
      </c>
      <c r="AR223" s="2">
        <v>0</v>
      </c>
      <c r="AS223" s="2">
        <v>0</v>
      </c>
      <c r="AT223" s="2">
        <v>0</v>
      </c>
      <c r="AU223" s="2">
        <v>0</v>
      </c>
      <c r="AV223" s="2">
        <v>0</v>
      </c>
      <c r="AW223" s="2">
        <v>0</v>
      </c>
      <c r="AX223" s="2">
        <v>0</v>
      </c>
      <c r="AY223" s="2">
        <v>0</v>
      </c>
      <c r="AZ223" s="2">
        <v>0</v>
      </c>
    </row>
    <row r="224" spans="1:52">
      <c r="A224" s="2">
        <v>223</v>
      </c>
      <c r="B224" s="2" t="s">
        <v>129</v>
      </c>
      <c r="C224" s="2" t="s">
        <v>129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1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2">
        <v>0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0</v>
      </c>
      <c r="AP224" s="2">
        <v>0</v>
      </c>
      <c r="AQ224" s="2">
        <v>0</v>
      </c>
      <c r="AR224" s="2">
        <v>0</v>
      </c>
      <c r="AS224" s="2">
        <v>0</v>
      </c>
      <c r="AT224" s="2">
        <v>0</v>
      </c>
      <c r="AU224" s="2">
        <v>0</v>
      </c>
      <c r="AV224" s="2">
        <v>0</v>
      </c>
      <c r="AW224" s="2">
        <v>0</v>
      </c>
      <c r="AX224" s="2">
        <v>0</v>
      </c>
      <c r="AY224" s="2">
        <v>0</v>
      </c>
      <c r="AZ224" s="2">
        <v>0</v>
      </c>
    </row>
    <row r="225" spans="1:52">
      <c r="A225" s="2">
        <v>224</v>
      </c>
      <c r="B225" s="2" t="s">
        <v>47</v>
      </c>
      <c r="C225" s="2" t="s">
        <v>47</v>
      </c>
      <c r="D225" s="2">
        <v>3.1E-2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0.94899999999999995</v>
      </c>
      <c r="P225" s="2">
        <v>0.02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2">
        <v>0</v>
      </c>
      <c r="AP225" s="2">
        <v>0</v>
      </c>
      <c r="AQ225" s="2">
        <v>0</v>
      </c>
      <c r="AR225" s="2">
        <v>0</v>
      </c>
      <c r="AS225" s="2">
        <v>0</v>
      </c>
      <c r="AT225" s="2">
        <v>0</v>
      </c>
      <c r="AU225" s="2">
        <v>0</v>
      </c>
      <c r="AV225" s="2">
        <v>0</v>
      </c>
      <c r="AW225" s="2">
        <v>0</v>
      </c>
      <c r="AX225" s="2">
        <v>0</v>
      </c>
      <c r="AY225" s="2">
        <v>0</v>
      </c>
      <c r="AZ225" s="2">
        <v>0</v>
      </c>
    </row>
    <row r="226" spans="1:52">
      <c r="A226" s="2">
        <v>225</v>
      </c>
      <c r="B226" s="2" t="s">
        <v>56</v>
      </c>
      <c r="C226" s="2" t="s">
        <v>56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1E-3</v>
      </c>
      <c r="AA226" s="2">
        <v>0.999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2">
        <v>0</v>
      </c>
      <c r="AP226" s="2">
        <v>0</v>
      </c>
      <c r="AQ226" s="2">
        <v>0</v>
      </c>
      <c r="AR226" s="2">
        <v>0</v>
      </c>
      <c r="AS226" s="2">
        <v>0</v>
      </c>
      <c r="AT226" s="2">
        <v>0</v>
      </c>
      <c r="AU226" s="2">
        <v>0</v>
      </c>
      <c r="AV226" s="2">
        <v>0</v>
      </c>
      <c r="AW226" s="2">
        <v>0</v>
      </c>
      <c r="AX226" s="2">
        <v>0</v>
      </c>
      <c r="AY226" s="2">
        <v>0</v>
      </c>
      <c r="AZ226" s="2">
        <v>0</v>
      </c>
    </row>
    <row r="227" spans="1:52">
      <c r="A227" s="2">
        <v>226</v>
      </c>
      <c r="B227" s="2" t="s">
        <v>298</v>
      </c>
      <c r="C227" s="2" t="s">
        <v>298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1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2">
        <v>0</v>
      </c>
      <c r="AP227" s="2">
        <v>0</v>
      </c>
      <c r="AQ227" s="2">
        <v>0</v>
      </c>
      <c r="AR227" s="2">
        <v>0</v>
      </c>
      <c r="AS227" s="2">
        <v>0</v>
      </c>
      <c r="AT227" s="2">
        <v>0</v>
      </c>
      <c r="AU227" s="2">
        <v>0</v>
      </c>
      <c r="AV227" s="2">
        <v>0</v>
      </c>
      <c r="AW227" s="2">
        <v>0</v>
      </c>
      <c r="AX227" s="2">
        <v>0</v>
      </c>
      <c r="AY227" s="2">
        <v>0</v>
      </c>
      <c r="AZ227" s="2">
        <v>0</v>
      </c>
    </row>
    <row r="228" spans="1:52">
      <c r="A228" s="2">
        <v>227</v>
      </c>
      <c r="B228" s="2" t="s">
        <v>168</v>
      </c>
      <c r="C228" s="2" t="s">
        <v>168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  <c r="AQ228" s="2">
        <v>0</v>
      </c>
      <c r="AR228" s="2">
        <v>0</v>
      </c>
      <c r="AS228" s="2">
        <v>0</v>
      </c>
      <c r="AT228" s="2">
        <v>1</v>
      </c>
      <c r="AU228" s="2">
        <v>0</v>
      </c>
      <c r="AV228" s="2">
        <v>0</v>
      </c>
      <c r="AW228" s="2">
        <v>0</v>
      </c>
      <c r="AX228" s="2">
        <v>0</v>
      </c>
      <c r="AY228" s="2">
        <v>0</v>
      </c>
      <c r="AZ228" s="2">
        <v>0</v>
      </c>
    </row>
    <row r="229" spans="1:52">
      <c r="A229" s="2">
        <v>228</v>
      </c>
      <c r="B229" s="2" t="s">
        <v>41</v>
      </c>
      <c r="C229" s="2" t="s">
        <v>41</v>
      </c>
      <c r="D229" s="2">
        <v>0</v>
      </c>
      <c r="E229" s="2">
        <v>0</v>
      </c>
      <c r="F229" s="2">
        <v>0</v>
      </c>
      <c r="G229" s="2">
        <v>1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0</v>
      </c>
      <c r="AQ229" s="2">
        <v>0</v>
      </c>
      <c r="AR229" s="2">
        <v>0</v>
      </c>
      <c r="AS229" s="2">
        <v>0</v>
      </c>
      <c r="AT229" s="2">
        <v>0</v>
      </c>
      <c r="AU229" s="2">
        <v>0</v>
      </c>
      <c r="AV229" s="2">
        <v>0</v>
      </c>
      <c r="AW229" s="2">
        <v>0</v>
      </c>
      <c r="AX229" s="2">
        <v>0</v>
      </c>
      <c r="AY229" s="2">
        <v>0</v>
      </c>
      <c r="AZ229" s="2">
        <v>0</v>
      </c>
    </row>
    <row r="230" spans="1:52">
      <c r="A230" s="2">
        <v>229</v>
      </c>
      <c r="B230" s="2" t="s">
        <v>207</v>
      </c>
      <c r="C230" s="2" t="s">
        <v>207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0</v>
      </c>
      <c r="AQ230" s="2">
        <v>0</v>
      </c>
      <c r="AR230" s="2">
        <v>0</v>
      </c>
      <c r="AS230" s="2">
        <v>0</v>
      </c>
      <c r="AT230" s="2">
        <v>0</v>
      </c>
      <c r="AU230" s="2">
        <v>0</v>
      </c>
      <c r="AV230" s="2">
        <v>1</v>
      </c>
      <c r="AW230" s="2">
        <v>0</v>
      </c>
      <c r="AX230" s="2">
        <v>0</v>
      </c>
      <c r="AY230" s="2">
        <v>0</v>
      </c>
      <c r="AZ230" s="2">
        <v>0</v>
      </c>
    </row>
    <row r="231" spans="1:52">
      <c r="A231" s="2">
        <v>230</v>
      </c>
      <c r="B231" s="2" t="s">
        <v>41</v>
      </c>
      <c r="C231" s="2" t="s">
        <v>41</v>
      </c>
      <c r="D231" s="2">
        <v>0</v>
      </c>
      <c r="E231" s="2">
        <v>0</v>
      </c>
      <c r="F231" s="2">
        <v>0</v>
      </c>
      <c r="G231" s="2">
        <v>1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2">
        <v>0</v>
      </c>
      <c r="AP231" s="2">
        <v>0</v>
      </c>
      <c r="AQ231" s="2">
        <v>0</v>
      </c>
      <c r="AR231" s="2">
        <v>0</v>
      </c>
      <c r="AS231" s="2">
        <v>0</v>
      </c>
      <c r="AT231" s="2">
        <v>0</v>
      </c>
      <c r="AU231" s="2">
        <v>0</v>
      </c>
      <c r="AV231" s="2">
        <v>0</v>
      </c>
      <c r="AW231" s="2">
        <v>0</v>
      </c>
      <c r="AX231" s="2">
        <v>0</v>
      </c>
      <c r="AY231" s="2">
        <v>0</v>
      </c>
      <c r="AZ231" s="2">
        <v>0</v>
      </c>
    </row>
    <row r="232" spans="1:52">
      <c r="A232" s="2">
        <v>231</v>
      </c>
      <c r="B232" s="2" t="s">
        <v>180</v>
      </c>
      <c r="C232" s="2" t="s">
        <v>180</v>
      </c>
      <c r="D232" s="2">
        <v>0</v>
      </c>
      <c r="E232" s="2">
        <v>0</v>
      </c>
      <c r="F232" s="2">
        <v>0.17100000000000001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2">
        <v>0</v>
      </c>
      <c r="AP232" s="2">
        <v>0</v>
      </c>
      <c r="AQ232" s="2">
        <v>0</v>
      </c>
      <c r="AR232" s="2">
        <v>0</v>
      </c>
      <c r="AS232" s="2">
        <v>0</v>
      </c>
      <c r="AT232" s="2">
        <v>0</v>
      </c>
      <c r="AU232" s="2">
        <v>0</v>
      </c>
      <c r="AV232" s="2">
        <v>0</v>
      </c>
      <c r="AW232" s="2">
        <v>0.82899999999999996</v>
      </c>
      <c r="AX232" s="2">
        <v>0</v>
      </c>
      <c r="AY232" s="2">
        <v>0</v>
      </c>
      <c r="AZ232" s="2">
        <v>0</v>
      </c>
    </row>
    <row r="233" spans="1:52">
      <c r="A233" s="2">
        <v>232</v>
      </c>
      <c r="B233" s="2" t="s">
        <v>41</v>
      </c>
      <c r="C233" s="2" t="s">
        <v>41</v>
      </c>
      <c r="D233" s="2">
        <v>0</v>
      </c>
      <c r="E233" s="2">
        <v>0</v>
      </c>
      <c r="F233" s="2">
        <v>0</v>
      </c>
      <c r="G233" s="2">
        <v>1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U233" s="2">
        <v>0</v>
      </c>
      <c r="AV233" s="2">
        <v>0</v>
      </c>
      <c r="AW233" s="2">
        <v>0</v>
      </c>
      <c r="AX233" s="2">
        <v>0</v>
      </c>
      <c r="AY233" s="2">
        <v>0</v>
      </c>
      <c r="AZ233" s="2">
        <v>0</v>
      </c>
    </row>
    <row r="234" spans="1:52">
      <c r="A234" s="2">
        <v>233</v>
      </c>
      <c r="B234" s="2" t="s">
        <v>41</v>
      </c>
      <c r="C234" s="2" t="s">
        <v>41</v>
      </c>
      <c r="D234" s="2">
        <v>0</v>
      </c>
      <c r="E234" s="2">
        <v>0</v>
      </c>
      <c r="F234" s="2">
        <v>0</v>
      </c>
      <c r="G234" s="2">
        <v>1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2">
        <v>0</v>
      </c>
      <c r="AP234" s="2">
        <v>0</v>
      </c>
      <c r="AQ234" s="2">
        <v>0</v>
      </c>
      <c r="AR234" s="2">
        <v>0</v>
      </c>
      <c r="AS234" s="2">
        <v>0</v>
      </c>
      <c r="AT234" s="2">
        <v>0</v>
      </c>
      <c r="AU234" s="2">
        <v>0</v>
      </c>
      <c r="AV234" s="2">
        <v>0</v>
      </c>
      <c r="AW234" s="2">
        <v>0</v>
      </c>
      <c r="AX234" s="2">
        <v>0</v>
      </c>
      <c r="AY234" s="2">
        <v>0</v>
      </c>
      <c r="AZ234" s="2">
        <v>0</v>
      </c>
    </row>
    <row r="235" spans="1:52">
      <c r="A235" s="2">
        <v>234</v>
      </c>
      <c r="B235" s="2" t="s">
        <v>31</v>
      </c>
      <c r="C235" s="2" t="s">
        <v>31</v>
      </c>
      <c r="D235" s="2">
        <v>0</v>
      </c>
      <c r="E235" s="2">
        <v>0</v>
      </c>
      <c r="F235" s="2">
        <v>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0.99099999999999999</v>
      </c>
      <c r="R235" s="2">
        <v>0</v>
      </c>
      <c r="S235" s="2">
        <v>0</v>
      </c>
      <c r="T235" s="2">
        <v>0</v>
      </c>
      <c r="U235" s="2">
        <v>0</v>
      </c>
      <c r="V235" s="2">
        <v>1E-3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4.0000000000000001E-3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4.0000000000000001E-3</v>
      </c>
      <c r="AL235" s="2">
        <v>0</v>
      </c>
      <c r="AM235" s="2">
        <v>0</v>
      </c>
      <c r="AN235" s="2">
        <v>0</v>
      </c>
      <c r="AO235" s="2">
        <v>0</v>
      </c>
      <c r="AP235" s="2">
        <v>0</v>
      </c>
      <c r="AQ235" s="2">
        <v>0</v>
      </c>
      <c r="AR235" s="2">
        <v>0</v>
      </c>
      <c r="AS235" s="2">
        <v>0</v>
      </c>
      <c r="AT235" s="2">
        <v>0</v>
      </c>
      <c r="AU235" s="2">
        <v>0</v>
      </c>
      <c r="AV235" s="2">
        <v>0</v>
      </c>
      <c r="AW235" s="2">
        <v>0</v>
      </c>
      <c r="AX235" s="2">
        <v>0</v>
      </c>
      <c r="AY235" s="2">
        <v>0</v>
      </c>
      <c r="AZ235" s="2">
        <v>0</v>
      </c>
    </row>
    <row r="236" spans="1:52">
      <c r="A236" s="2">
        <v>235</v>
      </c>
      <c r="B236" s="2" t="s">
        <v>47</v>
      </c>
      <c r="C236" s="2" t="s">
        <v>47</v>
      </c>
      <c r="D236" s="2">
        <v>2E-3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2">
        <v>0.99199999999999999</v>
      </c>
      <c r="P236" s="2">
        <v>6.0000000000000001E-3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  <c r="AQ236" s="2">
        <v>0</v>
      </c>
      <c r="AR236" s="2">
        <v>0</v>
      </c>
      <c r="AS236" s="2">
        <v>0</v>
      </c>
      <c r="AT236" s="2">
        <v>0</v>
      </c>
      <c r="AU236" s="2">
        <v>0</v>
      </c>
      <c r="AV236" s="2">
        <v>0</v>
      </c>
      <c r="AW236" s="2">
        <v>0</v>
      </c>
      <c r="AX236" s="2">
        <v>0</v>
      </c>
      <c r="AY236" s="2">
        <v>0</v>
      </c>
      <c r="AZ236" s="2">
        <v>0</v>
      </c>
    </row>
    <row r="237" spans="1:52">
      <c r="A237" s="2">
        <v>236</v>
      </c>
      <c r="B237" s="2" t="s">
        <v>22</v>
      </c>
      <c r="C237" s="2" t="s">
        <v>22</v>
      </c>
      <c r="D237" s="2">
        <v>0</v>
      </c>
      <c r="E237" s="2">
        <v>0</v>
      </c>
      <c r="F237" s="2">
        <v>0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6.7000000000000004E-2</v>
      </c>
      <c r="Y237" s="2">
        <v>0.57299999999999995</v>
      </c>
      <c r="Z237" s="2">
        <v>0.28100000000000003</v>
      </c>
      <c r="AA237" s="2">
        <v>7.9000000000000001E-2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2">
        <v>0</v>
      </c>
      <c r="AP237" s="2">
        <v>0</v>
      </c>
      <c r="AQ237" s="2">
        <v>0</v>
      </c>
      <c r="AR237" s="2">
        <v>0</v>
      </c>
      <c r="AS237" s="2">
        <v>0</v>
      </c>
      <c r="AT237" s="2">
        <v>0</v>
      </c>
      <c r="AU237" s="2">
        <v>0</v>
      </c>
      <c r="AV237" s="2">
        <v>0</v>
      </c>
      <c r="AW237" s="2">
        <v>0</v>
      </c>
      <c r="AX237" s="2">
        <v>0</v>
      </c>
      <c r="AY237" s="2">
        <v>0</v>
      </c>
      <c r="AZ237" s="2">
        <v>0</v>
      </c>
    </row>
    <row r="238" spans="1:52">
      <c r="A238" s="2">
        <v>237</v>
      </c>
      <c r="B238" s="2" t="s">
        <v>269</v>
      </c>
      <c r="C238" s="2" t="s">
        <v>269</v>
      </c>
      <c r="D238" s="2">
        <v>0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1</v>
      </c>
      <c r="AQ238" s="2">
        <v>0</v>
      </c>
      <c r="AR238" s="2">
        <v>0</v>
      </c>
      <c r="AS238" s="2">
        <v>0</v>
      </c>
      <c r="AT238" s="2">
        <v>0</v>
      </c>
      <c r="AU238" s="2">
        <v>0</v>
      </c>
      <c r="AV238" s="2">
        <v>0</v>
      </c>
      <c r="AW238" s="2">
        <v>0</v>
      </c>
      <c r="AX238" s="2">
        <v>0</v>
      </c>
      <c r="AY238" s="2">
        <v>0</v>
      </c>
      <c r="AZ238" s="2">
        <v>0</v>
      </c>
    </row>
    <row r="239" spans="1:52">
      <c r="A239" s="2">
        <v>238</v>
      </c>
      <c r="B239" s="2" t="s">
        <v>31</v>
      </c>
      <c r="C239" s="2" t="s">
        <v>31</v>
      </c>
      <c r="D239" s="2">
        <v>0</v>
      </c>
      <c r="E239" s="2">
        <v>0</v>
      </c>
      <c r="F239" s="2">
        <v>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1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2">
        <v>0</v>
      </c>
      <c r="AP239" s="2">
        <v>0</v>
      </c>
      <c r="AQ239" s="2">
        <v>0</v>
      </c>
      <c r="AR239" s="2">
        <v>0</v>
      </c>
      <c r="AS239" s="2">
        <v>0</v>
      </c>
      <c r="AT239" s="2">
        <v>0</v>
      </c>
      <c r="AU239" s="2">
        <v>0</v>
      </c>
      <c r="AV239" s="2">
        <v>0</v>
      </c>
      <c r="AW239" s="2">
        <v>0</v>
      </c>
      <c r="AX239" s="2">
        <v>0</v>
      </c>
      <c r="AY239" s="2">
        <v>0</v>
      </c>
      <c r="AZ239" s="2">
        <v>0</v>
      </c>
    </row>
    <row r="240" spans="1:52">
      <c r="A240" s="2">
        <v>239</v>
      </c>
      <c r="B240" s="2" t="s">
        <v>56</v>
      </c>
      <c r="C240" s="2" t="s">
        <v>56</v>
      </c>
      <c r="D240" s="2">
        <v>0</v>
      </c>
      <c r="E240" s="2">
        <v>0</v>
      </c>
      <c r="F240" s="2">
        <v>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1E-3</v>
      </c>
      <c r="AA240" s="2">
        <v>0.999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2">
        <v>0</v>
      </c>
      <c r="AP240" s="2">
        <v>0</v>
      </c>
      <c r="AQ240" s="2">
        <v>0</v>
      </c>
      <c r="AR240" s="2">
        <v>0</v>
      </c>
      <c r="AS240" s="2">
        <v>0</v>
      </c>
      <c r="AT240" s="2">
        <v>0</v>
      </c>
      <c r="AU240" s="2">
        <v>0</v>
      </c>
      <c r="AV240" s="2">
        <v>0</v>
      </c>
      <c r="AW240" s="2">
        <v>0</v>
      </c>
      <c r="AX240" s="2">
        <v>0</v>
      </c>
      <c r="AY240" s="2">
        <v>0</v>
      </c>
      <c r="AZ240" s="2">
        <v>0</v>
      </c>
    </row>
    <row r="241" spans="1:52">
      <c r="A241" s="2">
        <v>240</v>
      </c>
      <c r="B241" s="2" t="s">
        <v>28</v>
      </c>
      <c r="C241" s="2" t="s">
        <v>28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0.28000000000000003</v>
      </c>
      <c r="Y241" s="2">
        <v>0</v>
      </c>
      <c r="Z241" s="2">
        <v>0.72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2">
        <v>0</v>
      </c>
      <c r="AP241" s="2">
        <v>0</v>
      </c>
      <c r="AQ241" s="2">
        <v>0</v>
      </c>
      <c r="AR241" s="2">
        <v>0</v>
      </c>
      <c r="AS241" s="2">
        <v>0</v>
      </c>
      <c r="AT241" s="2">
        <v>0</v>
      </c>
      <c r="AU241" s="2">
        <v>0</v>
      </c>
      <c r="AV241" s="2">
        <v>0</v>
      </c>
      <c r="AW241" s="2">
        <v>0</v>
      </c>
      <c r="AX241" s="2">
        <v>0</v>
      </c>
      <c r="AY241" s="2">
        <v>0</v>
      </c>
      <c r="AZ241" s="2">
        <v>0</v>
      </c>
    </row>
    <row r="242" spans="1:52">
      <c r="A242" s="2">
        <v>241</v>
      </c>
      <c r="B242" s="2" t="s">
        <v>91</v>
      </c>
      <c r="C242" s="2" t="s">
        <v>91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1E-3</v>
      </c>
      <c r="N242" s="2">
        <v>0</v>
      </c>
      <c r="O242" s="2">
        <v>0</v>
      </c>
      <c r="P242" s="2">
        <v>0</v>
      </c>
      <c r="Q242" s="2">
        <v>1E-3</v>
      </c>
      <c r="R242" s="2">
        <v>0</v>
      </c>
      <c r="S242" s="2">
        <v>0</v>
      </c>
      <c r="T242" s="2">
        <v>0</v>
      </c>
      <c r="U242" s="2">
        <v>1E-3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0.96399999999999997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3.2000000000000001E-2</v>
      </c>
      <c r="AL242" s="2">
        <v>0</v>
      </c>
      <c r="AM242" s="2">
        <v>0</v>
      </c>
      <c r="AN242" s="2">
        <v>0</v>
      </c>
      <c r="AO242" s="2">
        <v>0</v>
      </c>
      <c r="AP242" s="2">
        <v>0</v>
      </c>
      <c r="AQ242" s="2">
        <v>0</v>
      </c>
      <c r="AR242" s="2">
        <v>0</v>
      </c>
      <c r="AS242" s="2">
        <v>0</v>
      </c>
      <c r="AT242" s="2">
        <v>0</v>
      </c>
      <c r="AU242" s="2">
        <v>1E-3</v>
      </c>
      <c r="AV242" s="2">
        <v>0</v>
      </c>
      <c r="AW242" s="2">
        <v>0</v>
      </c>
      <c r="AX242" s="2">
        <v>0</v>
      </c>
      <c r="AY242" s="2">
        <v>0</v>
      </c>
      <c r="AZ242" s="2">
        <v>0</v>
      </c>
    </row>
    <row r="243" spans="1:52">
      <c r="A243" s="2">
        <v>242</v>
      </c>
      <c r="B243" s="2" t="s">
        <v>47</v>
      </c>
      <c r="C243" s="2" t="s">
        <v>47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2">
        <v>0</v>
      </c>
      <c r="AD243" s="2">
        <v>0</v>
      </c>
      <c r="AE243" s="2">
        <v>0</v>
      </c>
      <c r="AF243" s="2">
        <v>0</v>
      </c>
      <c r="AG243" s="2">
        <v>0</v>
      </c>
      <c r="AH243" s="2">
        <v>0</v>
      </c>
      <c r="AI243" s="2">
        <v>0</v>
      </c>
      <c r="AJ243" s="2">
        <v>0</v>
      </c>
      <c r="AK243" s="2">
        <v>0</v>
      </c>
      <c r="AL243" s="2">
        <v>0</v>
      </c>
      <c r="AM243" s="2">
        <v>0</v>
      </c>
      <c r="AN243" s="2">
        <v>0</v>
      </c>
      <c r="AO243" s="2">
        <v>0</v>
      </c>
      <c r="AP243" s="2">
        <v>0</v>
      </c>
      <c r="AQ243" s="2">
        <v>0</v>
      </c>
      <c r="AR243" s="2">
        <v>0</v>
      </c>
      <c r="AS243" s="2">
        <v>0</v>
      </c>
      <c r="AT243" s="2">
        <v>0</v>
      </c>
      <c r="AU243" s="2">
        <v>0</v>
      </c>
      <c r="AV243" s="2">
        <v>0</v>
      </c>
      <c r="AW243" s="2">
        <v>0</v>
      </c>
      <c r="AX243" s="2">
        <v>0</v>
      </c>
      <c r="AY243" s="2">
        <v>0</v>
      </c>
      <c r="AZ243" s="2">
        <v>0</v>
      </c>
    </row>
    <row r="244" spans="1:52">
      <c r="A244" s="2">
        <v>243</v>
      </c>
      <c r="B244" s="2" t="s">
        <v>41</v>
      </c>
      <c r="C244" s="2" t="s">
        <v>41</v>
      </c>
      <c r="D244" s="2">
        <v>0</v>
      </c>
      <c r="E244" s="2">
        <v>0</v>
      </c>
      <c r="F244" s="2">
        <v>0</v>
      </c>
      <c r="G244" s="2">
        <v>1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2">
        <v>0</v>
      </c>
      <c r="AD244" s="2"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</v>
      </c>
      <c r="AK244" s="2">
        <v>0</v>
      </c>
      <c r="AL244" s="2">
        <v>0</v>
      </c>
      <c r="AM244" s="2">
        <v>0</v>
      </c>
      <c r="AN244" s="2">
        <v>0</v>
      </c>
      <c r="AO244" s="2">
        <v>0</v>
      </c>
      <c r="AP244" s="2">
        <v>0</v>
      </c>
      <c r="AQ244" s="2">
        <v>0</v>
      </c>
      <c r="AR244" s="2">
        <v>0</v>
      </c>
      <c r="AS244" s="2">
        <v>0</v>
      </c>
      <c r="AT244" s="2">
        <v>0</v>
      </c>
      <c r="AU244" s="2">
        <v>0</v>
      </c>
      <c r="AV244" s="2">
        <v>0</v>
      </c>
      <c r="AW244" s="2">
        <v>0</v>
      </c>
      <c r="AX244" s="2">
        <v>0</v>
      </c>
      <c r="AY244" s="2">
        <v>0</v>
      </c>
      <c r="AZ244" s="2">
        <v>0</v>
      </c>
    </row>
    <row r="245" spans="1:52">
      <c r="A245" s="2">
        <v>244</v>
      </c>
      <c r="B245" s="2" t="s">
        <v>191</v>
      </c>
      <c r="C245" s="2" t="s">
        <v>191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0.26100000000000001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0.73899999999999999</v>
      </c>
      <c r="AL245" s="2">
        <v>0</v>
      </c>
      <c r="AM245" s="2">
        <v>0</v>
      </c>
      <c r="AN245" s="2">
        <v>0</v>
      </c>
      <c r="AO245" s="2">
        <v>0</v>
      </c>
      <c r="AP245" s="2">
        <v>0</v>
      </c>
      <c r="AQ245" s="2">
        <v>0</v>
      </c>
      <c r="AR245" s="2">
        <v>0</v>
      </c>
      <c r="AS245" s="2">
        <v>0</v>
      </c>
      <c r="AT245" s="2">
        <v>0</v>
      </c>
      <c r="AU245" s="2">
        <v>0</v>
      </c>
      <c r="AV245" s="2">
        <v>0</v>
      </c>
      <c r="AW245" s="2">
        <v>0</v>
      </c>
      <c r="AX245" s="2">
        <v>0</v>
      </c>
      <c r="AY245" s="2">
        <v>0</v>
      </c>
      <c r="AZ245" s="2">
        <v>0</v>
      </c>
    </row>
    <row r="246" spans="1:52">
      <c r="A246" s="2">
        <v>245</v>
      </c>
      <c r="B246" s="2" t="s">
        <v>207</v>
      </c>
      <c r="C246" s="2" t="s">
        <v>207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1E-3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2">
        <v>0</v>
      </c>
      <c r="AP246" s="2">
        <v>0</v>
      </c>
      <c r="AQ246" s="2">
        <v>0</v>
      </c>
      <c r="AR246" s="2">
        <v>0</v>
      </c>
      <c r="AS246" s="2">
        <v>0</v>
      </c>
      <c r="AT246" s="2">
        <v>0</v>
      </c>
      <c r="AU246" s="2">
        <v>0</v>
      </c>
      <c r="AV246" s="2">
        <v>0.999</v>
      </c>
      <c r="AW246" s="2">
        <v>0</v>
      </c>
      <c r="AX246" s="2">
        <v>0</v>
      </c>
      <c r="AY246" s="2">
        <v>0</v>
      </c>
      <c r="AZ246" s="2">
        <v>0</v>
      </c>
    </row>
    <row r="247" spans="1:52">
      <c r="A247" s="2">
        <v>246</v>
      </c>
      <c r="B247" s="2" t="s">
        <v>163</v>
      </c>
      <c r="C247" s="2" t="s">
        <v>163</v>
      </c>
      <c r="D247" s="2">
        <v>0.85199999999999998</v>
      </c>
      <c r="E247" s="2">
        <v>0</v>
      </c>
      <c r="F247" s="2">
        <v>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0.14799999999999999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2">
        <v>0</v>
      </c>
      <c r="AP247" s="2">
        <v>0</v>
      </c>
      <c r="AQ247" s="2">
        <v>0</v>
      </c>
      <c r="AR247" s="2">
        <v>0</v>
      </c>
      <c r="AS247" s="2">
        <v>0</v>
      </c>
      <c r="AT247" s="2">
        <v>0</v>
      </c>
      <c r="AU247" s="2">
        <v>0</v>
      </c>
      <c r="AV247" s="2">
        <v>0</v>
      </c>
      <c r="AW247" s="2">
        <v>0</v>
      </c>
      <c r="AX247" s="2">
        <v>0</v>
      </c>
      <c r="AY247" s="2">
        <v>0</v>
      </c>
      <c r="AZ247" s="2">
        <v>0</v>
      </c>
    </row>
    <row r="248" spans="1:52">
      <c r="A248" s="2">
        <v>247</v>
      </c>
      <c r="B248" s="2" t="s">
        <v>278</v>
      </c>
      <c r="C248" s="2" t="s">
        <v>278</v>
      </c>
      <c r="D248" s="2">
        <v>0</v>
      </c>
      <c r="E248" s="2">
        <v>0</v>
      </c>
      <c r="F248" s="2">
        <v>0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4.2999999999999997E-2</v>
      </c>
      <c r="AG248" s="2">
        <v>0.89800000000000002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2">
        <v>0</v>
      </c>
      <c r="AP248" s="2">
        <v>0</v>
      </c>
      <c r="AQ248" s="2">
        <v>0</v>
      </c>
      <c r="AR248" s="2">
        <v>0</v>
      </c>
      <c r="AS248" s="2">
        <v>0</v>
      </c>
      <c r="AT248" s="2">
        <v>0</v>
      </c>
      <c r="AU248" s="2">
        <v>0</v>
      </c>
      <c r="AV248" s="2">
        <v>0</v>
      </c>
      <c r="AW248" s="2">
        <v>0</v>
      </c>
      <c r="AX248" s="2">
        <v>1E-3</v>
      </c>
      <c r="AY248" s="2">
        <v>0</v>
      </c>
      <c r="AZ248" s="2">
        <v>5.8000000000000003E-2</v>
      </c>
    </row>
    <row r="249" spans="1:52">
      <c r="A249" s="2">
        <v>248</v>
      </c>
      <c r="B249" s="2" t="s">
        <v>47</v>
      </c>
      <c r="C249" s="2" t="s">
        <v>47</v>
      </c>
      <c r="D249" s="2">
        <v>0</v>
      </c>
      <c r="E249" s="2">
        <v>0</v>
      </c>
      <c r="F249" s="2">
        <v>0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1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2">
        <v>0</v>
      </c>
      <c r="AP249" s="2">
        <v>0</v>
      </c>
      <c r="AQ249" s="2">
        <v>0</v>
      </c>
      <c r="AR249" s="2">
        <v>0</v>
      </c>
      <c r="AS249" s="2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2">
        <v>0</v>
      </c>
      <c r="AZ249" s="2">
        <v>0</v>
      </c>
    </row>
    <row r="250" spans="1:52">
      <c r="A250" s="2">
        <v>249</v>
      </c>
      <c r="B250" s="2" t="s">
        <v>56</v>
      </c>
      <c r="C250" s="2" t="s">
        <v>56</v>
      </c>
      <c r="D250" s="2">
        <v>0</v>
      </c>
      <c r="E250" s="2">
        <v>0</v>
      </c>
      <c r="F250" s="2">
        <v>0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0.19400000000000001</v>
      </c>
      <c r="Z250" s="2">
        <v>0.214</v>
      </c>
      <c r="AA250" s="2">
        <v>0.59199999999999997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2">
        <v>0</v>
      </c>
      <c r="AP250" s="2">
        <v>0</v>
      </c>
      <c r="AQ250" s="2">
        <v>0</v>
      </c>
      <c r="AR250" s="2">
        <v>0</v>
      </c>
      <c r="AS250" s="2">
        <v>0</v>
      </c>
      <c r="AT250" s="2">
        <v>0</v>
      </c>
      <c r="AU250" s="2">
        <v>0</v>
      </c>
      <c r="AV250" s="2">
        <v>0</v>
      </c>
      <c r="AW250" s="2">
        <v>0</v>
      </c>
      <c r="AX250" s="2">
        <v>0</v>
      </c>
      <c r="AY250" s="2">
        <v>0</v>
      </c>
      <c r="AZ250" s="2">
        <v>0</v>
      </c>
    </row>
    <row r="251" spans="1:52">
      <c r="A251" s="2">
        <v>250</v>
      </c>
      <c r="B251" s="2" t="s">
        <v>56</v>
      </c>
      <c r="C251" s="2" t="s">
        <v>56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0.33900000000000002</v>
      </c>
      <c r="Z251" s="2">
        <v>1E-3</v>
      </c>
      <c r="AA251" s="2">
        <v>0.66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2">
        <v>0</v>
      </c>
      <c r="AP251" s="2">
        <v>0</v>
      </c>
      <c r="AQ251" s="2">
        <v>0</v>
      </c>
      <c r="AR251" s="2">
        <v>0</v>
      </c>
      <c r="AS251" s="2">
        <v>0</v>
      </c>
      <c r="AT251" s="2">
        <v>0</v>
      </c>
      <c r="AU251" s="2">
        <v>0</v>
      </c>
      <c r="AV251" s="2">
        <v>0</v>
      </c>
      <c r="AW251" s="2">
        <v>0</v>
      </c>
      <c r="AX251" s="2">
        <v>0</v>
      </c>
      <c r="AY251" s="2">
        <v>0</v>
      </c>
      <c r="AZ251" s="2">
        <v>0</v>
      </c>
    </row>
    <row r="252" spans="1:52">
      <c r="A252" s="2">
        <v>251</v>
      </c>
      <c r="B252" s="2" t="s">
        <v>136</v>
      </c>
      <c r="C252" s="2" t="s">
        <v>136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0.98399999999999999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1.6E-2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2">
        <v>0</v>
      </c>
      <c r="AP252" s="2">
        <v>0</v>
      </c>
      <c r="AQ252" s="2">
        <v>0</v>
      </c>
      <c r="AR252" s="2">
        <v>0</v>
      </c>
      <c r="AS252" s="2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2">
        <v>0</v>
      </c>
      <c r="AZ252" s="2">
        <v>0</v>
      </c>
    </row>
    <row r="253" spans="1:52">
      <c r="A253" s="2">
        <v>252</v>
      </c>
      <c r="B253" s="2" t="s">
        <v>22</v>
      </c>
      <c r="C253" s="2" t="s">
        <v>22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1E-3</v>
      </c>
      <c r="Y253" s="2">
        <v>0.86899999999999999</v>
      </c>
      <c r="Z253" s="2">
        <v>0.123</v>
      </c>
      <c r="AA253" s="2">
        <v>7.0000000000000001E-3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2">
        <v>0</v>
      </c>
      <c r="AP253" s="2">
        <v>0</v>
      </c>
      <c r="AQ253" s="2">
        <v>0</v>
      </c>
      <c r="AR253" s="2">
        <v>0</v>
      </c>
      <c r="AS253" s="2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2">
        <v>0</v>
      </c>
      <c r="AZ253" s="2">
        <v>0</v>
      </c>
    </row>
    <row r="254" spans="1:52">
      <c r="A254" s="2">
        <v>253</v>
      </c>
      <c r="B254" s="2" t="s">
        <v>41</v>
      </c>
      <c r="C254" s="2" t="s">
        <v>41</v>
      </c>
      <c r="D254" s="2">
        <v>0</v>
      </c>
      <c r="E254" s="2">
        <v>0</v>
      </c>
      <c r="F254" s="2">
        <v>0</v>
      </c>
      <c r="G254" s="2">
        <v>1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2">
        <v>0</v>
      </c>
      <c r="AP254" s="2">
        <v>0</v>
      </c>
      <c r="AQ254" s="2">
        <v>0</v>
      </c>
      <c r="AR254" s="2">
        <v>0</v>
      </c>
      <c r="AS254" s="2">
        <v>0</v>
      </c>
      <c r="AT254" s="2">
        <v>0</v>
      </c>
      <c r="AU254" s="2">
        <v>0</v>
      </c>
      <c r="AV254" s="2">
        <v>0</v>
      </c>
      <c r="AW254" s="2">
        <v>0</v>
      </c>
      <c r="AX254" s="2">
        <v>0</v>
      </c>
      <c r="AY254" s="2">
        <v>0</v>
      </c>
      <c r="AZ254" s="2">
        <v>0</v>
      </c>
    </row>
    <row r="255" spans="1:52">
      <c r="A255" s="2">
        <v>254</v>
      </c>
      <c r="B255" s="2" t="s">
        <v>41</v>
      </c>
      <c r="C255" s="2" t="s">
        <v>41</v>
      </c>
      <c r="D255" s="2">
        <v>0</v>
      </c>
      <c r="E255" s="2">
        <v>0</v>
      </c>
      <c r="F255" s="2">
        <v>0</v>
      </c>
      <c r="G255" s="2">
        <v>1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2">
        <v>0</v>
      </c>
      <c r="AP255" s="2">
        <v>0</v>
      </c>
      <c r="AQ255" s="2">
        <v>0</v>
      </c>
      <c r="AR255" s="2">
        <v>0</v>
      </c>
      <c r="AS255" s="2">
        <v>0</v>
      </c>
      <c r="AT255" s="2">
        <v>0</v>
      </c>
      <c r="AU255" s="2">
        <v>0</v>
      </c>
      <c r="AV255" s="2">
        <v>0</v>
      </c>
      <c r="AW255" s="2">
        <v>0</v>
      </c>
      <c r="AX255" s="2">
        <v>0</v>
      </c>
      <c r="AY255" s="2">
        <v>0</v>
      </c>
      <c r="AZ255" s="2">
        <v>0</v>
      </c>
    </row>
    <row r="256" spans="1:52">
      <c r="A256" s="2">
        <v>255</v>
      </c>
      <c r="B256" s="2" t="s">
        <v>26</v>
      </c>
      <c r="C256" s="2" t="s">
        <v>26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s="2">
        <v>6.2E-2</v>
      </c>
      <c r="W256" s="2">
        <v>0.93700000000000006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1E-3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2">
        <v>0</v>
      </c>
      <c r="AP256" s="2">
        <v>0</v>
      </c>
      <c r="AQ256" s="2">
        <v>0</v>
      </c>
      <c r="AR256" s="2">
        <v>0</v>
      </c>
      <c r="AS256" s="2">
        <v>0</v>
      </c>
      <c r="AT256" s="2">
        <v>0</v>
      </c>
      <c r="AU256" s="2">
        <v>0</v>
      </c>
      <c r="AV256" s="2">
        <v>0</v>
      </c>
      <c r="AW256" s="2">
        <v>0</v>
      </c>
      <c r="AX256" s="2">
        <v>0</v>
      </c>
      <c r="AY256" s="2">
        <v>0</v>
      </c>
      <c r="AZ256" s="2">
        <v>0</v>
      </c>
    </row>
    <row r="257" spans="1:52">
      <c r="A257" s="2">
        <v>256</v>
      </c>
      <c r="B257" s="2" t="s">
        <v>36</v>
      </c>
      <c r="C257" s="2" t="s">
        <v>36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1</v>
      </c>
      <c r="AK257" s="2">
        <v>0</v>
      </c>
      <c r="AL257" s="2">
        <v>0</v>
      </c>
      <c r="AM257" s="2">
        <v>0</v>
      </c>
      <c r="AN257" s="2">
        <v>0</v>
      </c>
      <c r="AO257" s="2">
        <v>0</v>
      </c>
      <c r="AP257" s="2">
        <v>0</v>
      </c>
      <c r="AQ257" s="2">
        <v>0</v>
      </c>
      <c r="AR257" s="2">
        <v>0</v>
      </c>
      <c r="AS257" s="2">
        <v>0</v>
      </c>
      <c r="AT257" s="2">
        <v>0</v>
      </c>
      <c r="AU257" s="2">
        <v>0</v>
      </c>
      <c r="AV257" s="2">
        <v>0</v>
      </c>
      <c r="AW257" s="2">
        <v>0</v>
      </c>
      <c r="AX257" s="2">
        <v>0</v>
      </c>
      <c r="AY257" s="2">
        <v>0</v>
      </c>
      <c r="AZ257" s="2">
        <v>0</v>
      </c>
    </row>
    <row r="258" spans="1:52">
      <c r="A258" s="2">
        <v>257</v>
      </c>
      <c r="B258" s="2" t="s">
        <v>225</v>
      </c>
      <c r="C258" s="2" t="s">
        <v>225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0.73199999999999998</v>
      </c>
      <c r="Y258" s="2">
        <v>8.1000000000000003E-2</v>
      </c>
      <c r="Z258" s="2">
        <v>0.182</v>
      </c>
      <c r="AA258" s="2">
        <v>5.0000000000000001E-3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2">
        <v>0</v>
      </c>
      <c r="AP258" s="2">
        <v>0</v>
      </c>
      <c r="AQ258" s="2">
        <v>0</v>
      </c>
      <c r="AR258" s="2">
        <v>0</v>
      </c>
      <c r="AS258" s="2">
        <v>0</v>
      </c>
      <c r="AT258" s="2">
        <v>0</v>
      </c>
      <c r="AU258" s="2">
        <v>0</v>
      </c>
      <c r="AV258" s="2">
        <v>0</v>
      </c>
      <c r="AW258" s="2">
        <v>0</v>
      </c>
      <c r="AX258" s="2">
        <v>0</v>
      </c>
      <c r="AY258" s="2">
        <v>0</v>
      </c>
      <c r="AZ258" s="2">
        <v>0</v>
      </c>
    </row>
    <row r="259" spans="1:52">
      <c r="A259" s="2">
        <v>258</v>
      </c>
      <c r="B259" s="2" t="s">
        <v>22</v>
      </c>
      <c r="C259" s="2" t="s">
        <v>22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0.89200000000000002</v>
      </c>
      <c r="Z259" s="2">
        <v>6.0000000000000001E-3</v>
      </c>
      <c r="AA259" s="2">
        <v>0.10199999999999999</v>
      </c>
      <c r="AB259" s="2">
        <v>0</v>
      </c>
      <c r="AC259" s="2">
        <v>0</v>
      </c>
      <c r="AD259" s="2">
        <v>0</v>
      </c>
      <c r="AE259" s="2">
        <v>0</v>
      </c>
      <c r="AF259" s="2">
        <v>0</v>
      </c>
      <c r="AG259" s="2">
        <v>0</v>
      </c>
      <c r="AH259" s="2">
        <v>0</v>
      </c>
      <c r="AI259" s="2">
        <v>0</v>
      </c>
      <c r="AJ259" s="2">
        <v>0</v>
      </c>
      <c r="AK259" s="2">
        <v>0</v>
      </c>
      <c r="AL259" s="2">
        <v>0</v>
      </c>
      <c r="AM259" s="2">
        <v>0</v>
      </c>
      <c r="AN259" s="2">
        <v>0</v>
      </c>
      <c r="AO259" s="2">
        <v>0</v>
      </c>
      <c r="AP259" s="2">
        <v>0</v>
      </c>
      <c r="AQ259" s="2">
        <v>0</v>
      </c>
      <c r="AR259" s="2">
        <v>0</v>
      </c>
      <c r="AS259" s="2">
        <v>0</v>
      </c>
      <c r="AT259" s="2">
        <v>0</v>
      </c>
      <c r="AU259" s="2">
        <v>0</v>
      </c>
      <c r="AV259" s="2">
        <v>0</v>
      </c>
      <c r="AW259" s="2">
        <v>0</v>
      </c>
      <c r="AX259" s="2">
        <v>0</v>
      </c>
      <c r="AY259" s="2">
        <v>0</v>
      </c>
      <c r="AZ259" s="2">
        <v>0</v>
      </c>
    </row>
    <row r="260" spans="1:52">
      <c r="A260" s="2">
        <v>259</v>
      </c>
      <c r="B260" s="2" t="s">
        <v>36</v>
      </c>
      <c r="C260" s="2" t="s">
        <v>36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1</v>
      </c>
      <c r="AK260" s="2">
        <v>0</v>
      </c>
      <c r="AL260" s="2">
        <v>0</v>
      </c>
      <c r="AM260" s="2">
        <v>0</v>
      </c>
      <c r="AN260" s="2">
        <v>0</v>
      </c>
      <c r="AO260" s="2">
        <v>0</v>
      </c>
      <c r="AP260" s="2">
        <v>0</v>
      </c>
      <c r="AQ260" s="2">
        <v>0</v>
      </c>
      <c r="AR260" s="2">
        <v>0</v>
      </c>
      <c r="AS260" s="2">
        <v>0</v>
      </c>
      <c r="AT260" s="2">
        <v>0</v>
      </c>
      <c r="AU260" s="2">
        <v>0</v>
      </c>
      <c r="AV260" s="2">
        <v>0</v>
      </c>
      <c r="AW260" s="2">
        <v>0</v>
      </c>
      <c r="AX260" s="2">
        <v>0</v>
      </c>
      <c r="AY260" s="2">
        <v>0</v>
      </c>
      <c r="AZ260" s="2">
        <v>0</v>
      </c>
    </row>
    <row r="261" spans="1:52">
      <c r="A261" s="2">
        <v>260</v>
      </c>
      <c r="B261" s="2" t="s">
        <v>191</v>
      </c>
      <c r="C261" s="2" t="s">
        <v>191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0.26900000000000002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0.73099999999999998</v>
      </c>
      <c r="AL261" s="2">
        <v>0</v>
      </c>
      <c r="AM261" s="2">
        <v>0</v>
      </c>
      <c r="AN261" s="2">
        <v>0</v>
      </c>
      <c r="AO261" s="2">
        <v>0</v>
      </c>
      <c r="AP261" s="2">
        <v>0</v>
      </c>
      <c r="AQ261" s="2">
        <v>0</v>
      </c>
      <c r="AR261" s="2">
        <v>0</v>
      </c>
      <c r="AS261" s="2">
        <v>0</v>
      </c>
      <c r="AT261" s="2">
        <v>0</v>
      </c>
      <c r="AU261" s="2">
        <v>0</v>
      </c>
      <c r="AV261" s="2">
        <v>0</v>
      </c>
      <c r="AW261" s="2">
        <v>0</v>
      </c>
      <c r="AX261" s="2">
        <v>0</v>
      </c>
      <c r="AY261" s="2">
        <v>0</v>
      </c>
      <c r="AZ261" s="2">
        <v>0</v>
      </c>
    </row>
    <row r="262" spans="1:52">
      <c r="A262" s="2">
        <v>261</v>
      </c>
      <c r="B262" s="2" t="s">
        <v>22</v>
      </c>
      <c r="C262" s="2" t="s">
        <v>22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0.96699999999999997</v>
      </c>
      <c r="Z262" s="2">
        <v>7.0000000000000001E-3</v>
      </c>
      <c r="AA262" s="2">
        <v>2.5999999999999999E-2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2">
        <v>0</v>
      </c>
      <c r="AP262" s="2">
        <v>0</v>
      </c>
      <c r="AQ262" s="2">
        <v>0</v>
      </c>
      <c r="AR262" s="2">
        <v>0</v>
      </c>
      <c r="AS262" s="2">
        <v>0</v>
      </c>
      <c r="AT262" s="2">
        <v>0</v>
      </c>
      <c r="AU262" s="2">
        <v>0</v>
      </c>
      <c r="AV262" s="2">
        <v>0</v>
      </c>
      <c r="AW262" s="2">
        <v>0</v>
      </c>
      <c r="AX262" s="2">
        <v>0</v>
      </c>
      <c r="AY262" s="2">
        <v>0</v>
      </c>
      <c r="AZ262" s="2">
        <v>0</v>
      </c>
    </row>
    <row r="263" spans="1:52">
      <c r="A263" s="2">
        <v>262</v>
      </c>
      <c r="B263" s="2" t="s">
        <v>74</v>
      </c>
      <c r="C263" s="2" t="s">
        <v>74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2">
        <v>0</v>
      </c>
      <c r="AB263" s="2">
        <v>0</v>
      </c>
      <c r="AC263" s="2">
        <v>0</v>
      </c>
      <c r="AD263" s="2">
        <v>0</v>
      </c>
      <c r="AE263" s="2">
        <v>0</v>
      </c>
      <c r="AF263" s="2">
        <v>0</v>
      </c>
      <c r="AG263" s="2">
        <v>0</v>
      </c>
      <c r="AH263" s="2">
        <v>0</v>
      </c>
      <c r="AI263" s="2">
        <v>0</v>
      </c>
      <c r="AJ263" s="2">
        <v>0</v>
      </c>
      <c r="AK263" s="2">
        <v>0</v>
      </c>
      <c r="AL263" s="2">
        <v>0</v>
      </c>
      <c r="AM263" s="2">
        <v>0</v>
      </c>
      <c r="AN263" s="2">
        <v>0</v>
      </c>
      <c r="AO263" s="2">
        <v>0</v>
      </c>
      <c r="AP263" s="2">
        <v>0</v>
      </c>
      <c r="AQ263" s="2">
        <v>0</v>
      </c>
      <c r="AR263" s="2">
        <v>0</v>
      </c>
      <c r="AS263" s="2">
        <v>0.222</v>
      </c>
      <c r="AT263" s="2">
        <v>0</v>
      </c>
      <c r="AU263" s="2">
        <v>0.77800000000000002</v>
      </c>
      <c r="AV263" s="2">
        <v>0</v>
      </c>
      <c r="AW263" s="2">
        <v>0</v>
      </c>
      <c r="AX263" s="2">
        <v>0</v>
      </c>
      <c r="AY263" s="2">
        <v>0</v>
      </c>
      <c r="AZ263" s="2">
        <v>0</v>
      </c>
    </row>
    <row r="264" spans="1:52">
      <c r="A264" s="2">
        <v>263</v>
      </c>
      <c r="B264" s="2" t="s">
        <v>43</v>
      </c>
      <c r="C264" s="2" t="s">
        <v>43</v>
      </c>
      <c r="D264" s="2">
        <v>0</v>
      </c>
      <c r="E264" s="2">
        <v>0</v>
      </c>
      <c r="F264" s="2">
        <v>0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0.96699999999999997</v>
      </c>
      <c r="V264" s="2">
        <v>0</v>
      </c>
      <c r="W264" s="2">
        <v>3.3000000000000002E-2</v>
      </c>
      <c r="X264" s="2">
        <v>0</v>
      </c>
      <c r="Y264" s="2">
        <v>0</v>
      </c>
      <c r="Z264" s="2">
        <v>0</v>
      </c>
      <c r="AA264" s="2">
        <v>0</v>
      </c>
      <c r="AB264" s="2">
        <v>0</v>
      </c>
      <c r="AC264" s="2">
        <v>0</v>
      </c>
      <c r="AD264" s="2">
        <v>0</v>
      </c>
      <c r="AE264" s="2">
        <v>0</v>
      </c>
      <c r="AF264" s="2">
        <v>0</v>
      </c>
      <c r="AG264" s="2">
        <v>0</v>
      </c>
      <c r="AH264" s="2">
        <v>0</v>
      </c>
      <c r="AI264" s="2">
        <v>0</v>
      </c>
      <c r="AJ264" s="2">
        <v>0</v>
      </c>
      <c r="AK264" s="2">
        <v>0</v>
      </c>
      <c r="AL264" s="2">
        <v>0</v>
      </c>
      <c r="AM264" s="2">
        <v>0</v>
      </c>
      <c r="AN264" s="2">
        <v>0</v>
      </c>
      <c r="AO264" s="2">
        <v>0</v>
      </c>
      <c r="AP264" s="2">
        <v>0</v>
      </c>
      <c r="AQ264" s="2">
        <v>0</v>
      </c>
      <c r="AR264" s="2">
        <v>0</v>
      </c>
      <c r="AS264" s="2">
        <v>0</v>
      </c>
      <c r="AT264" s="2">
        <v>0</v>
      </c>
      <c r="AU264" s="2">
        <v>0</v>
      </c>
      <c r="AV264" s="2">
        <v>0</v>
      </c>
      <c r="AW264" s="2">
        <v>0</v>
      </c>
      <c r="AX264" s="2">
        <v>0</v>
      </c>
      <c r="AY264" s="2">
        <v>0</v>
      </c>
      <c r="AZ264" s="2">
        <v>0</v>
      </c>
    </row>
    <row r="265" spans="1:52">
      <c r="A265" s="2">
        <v>264</v>
      </c>
      <c r="B265" s="2" t="s">
        <v>41</v>
      </c>
      <c r="C265" s="2" t="s">
        <v>41</v>
      </c>
      <c r="D265" s="2">
        <v>0</v>
      </c>
      <c r="E265" s="2">
        <v>0</v>
      </c>
      <c r="F265" s="2">
        <v>0</v>
      </c>
      <c r="G265" s="2">
        <v>0.999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0</v>
      </c>
      <c r="S265" s="2">
        <v>1E-3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2">
        <v>0</v>
      </c>
      <c r="AB265" s="2">
        <v>0</v>
      </c>
      <c r="AC265" s="2">
        <v>0</v>
      </c>
      <c r="AD265" s="2">
        <v>0</v>
      </c>
      <c r="AE265" s="2">
        <v>0</v>
      </c>
      <c r="AF265" s="2">
        <v>0</v>
      </c>
      <c r="AG265" s="2">
        <v>0</v>
      </c>
      <c r="AH265" s="2">
        <v>0</v>
      </c>
      <c r="AI265" s="2">
        <v>0</v>
      </c>
      <c r="AJ265" s="2">
        <v>0</v>
      </c>
      <c r="AK265" s="2">
        <v>0</v>
      </c>
      <c r="AL265" s="2">
        <v>0</v>
      </c>
      <c r="AM265" s="2">
        <v>0</v>
      </c>
      <c r="AN265" s="2">
        <v>0</v>
      </c>
      <c r="AO265" s="2">
        <v>0</v>
      </c>
      <c r="AP265" s="2">
        <v>0</v>
      </c>
      <c r="AQ265" s="2">
        <v>0</v>
      </c>
      <c r="AR265" s="2">
        <v>0</v>
      </c>
      <c r="AS265" s="2">
        <v>0</v>
      </c>
      <c r="AT265" s="2">
        <v>0</v>
      </c>
      <c r="AU265" s="2">
        <v>0</v>
      </c>
      <c r="AV265" s="2">
        <v>0</v>
      </c>
      <c r="AW265" s="2">
        <v>0</v>
      </c>
      <c r="AX265" s="2">
        <v>0</v>
      </c>
      <c r="AY265" s="2">
        <v>0</v>
      </c>
      <c r="AZ265" s="2">
        <v>0</v>
      </c>
    </row>
    <row r="266" spans="1:52">
      <c r="A266" s="2">
        <v>265</v>
      </c>
      <c r="B266" s="2" t="s">
        <v>47</v>
      </c>
      <c r="C266" s="2" t="s">
        <v>47</v>
      </c>
      <c r="D266" s="2">
        <v>0</v>
      </c>
      <c r="E266" s="2">
        <v>0</v>
      </c>
      <c r="F266" s="2">
        <v>0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2">
        <v>1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2">
        <v>0</v>
      </c>
      <c r="AP266" s="2">
        <v>0</v>
      </c>
      <c r="AQ266" s="2">
        <v>0</v>
      </c>
      <c r="AR266" s="2">
        <v>0</v>
      </c>
      <c r="AS266" s="2">
        <v>0</v>
      </c>
      <c r="AT266" s="2">
        <v>0</v>
      </c>
      <c r="AU266" s="2">
        <v>0</v>
      </c>
      <c r="AV266" s="2">
        <v>0</v>
      </c>
      <c r="AW266" s="2">
        <v>0</v>
      </c>
      <c r="AX266" s="2">
        <v>0</v>
      </c>
      <c r="AY266" s="2">
        <v>0</v>
      </c>
      <c r="AZ266" s="2">
        <v>0</v>
      </c>
    </row>
    <row r="267" spans="1:52">
      <c r="A267" s="2">
        <v>266</v>
      </c>
      <c r="B267" s="2" t="s">
        <v>191</v>
      </c>
      <c r="C267" s="2" t="s">
        <v>191</v>
      </c>
      <c r="D267" s="2">
        <v>0</v>
      </c>
      <c r="E267" s="2">
        <v>0</v>
      </c>
      <c r="F267" s="2">
        <v>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6.7000000000000004E-2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0.93300000000000005</v>
      </c>
      <c r="AL267" s="2">
        <v>0</v>
      </c>
      <c r="AM267" s="2">
        <v>0</v>
      </c>
      <c r="AN267" s="2">
        <v>0</v>
      </c>
      <c r="AO267" s="2">
        <v>0</v>
      </c>
      <c r="AP267" s="2">
        <v>0</v>
      </c>
      <c r="AQ267" s="2">
        <v>0</v>
      </c>
      <c r="AR267" s="2">
        <v>0</v>
      </c>
      <c r="AS267" s="2">
        <v>0</v>
      </c>
      <c r="AT267" s="2">
        <v>0</v>
      </c>
      <c r="AU267" s="2">
        <v>0</v>
      </c>
      <c r="AV267" s="2">
        <v>0</v>
      </c>
      <c r="AW267" s="2">
        <v>0</v>
      </c>
      <c r="AX267" s="2">
        <v>0</v>
      </c>
      <c r="AY267" s="2">
        <v>0</v>
      </c>
      <c r="AZ267" s="2">
        <v>0</v>
      </c>
    </row>
    <row r="268" spans="1:52">
      <c r="A268" s="2">
        <v>267</v>
      </c>
      <c r="B268" s="2" t="s">
        <v>41</v>
      </c>
      <c r="C268" s="2" t="s">
        <v>41</v>
      </c>
      <c r="D268" s="2">
        <v>0</v>
      </c>
      <c r="E268" s="2">
        <v>0</v>
      </c>
      <c r="F268" s="2">
        <v>0</v>
      </c>
      <c r="G268" s="2">
        <v>0.83099999999999996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2">
        <v>0</v>
      </c>
      <c r="AB268" s="2">
        <v>0</v>
      </c>
      <c r="AC268" s="2">
        <v>0</v>
      </c>
      <c r="AD268" s="2">
        <v>0</v>
      </c>
      <c r="AE268" s="2">
        <v>0</v>
      </c>
      <c r="AF268" s="2">
        <v>0</v>
      </c>
      <c r="AG268" s="2">
        <v>0</v>
      </c>
      <c r="AH268" s="2">
        <v>0</v>
      </c>
      <c r="AI268" s="2">
        <v>0</v>
      </c>
      <c r="AJ268" s="2">
        <v>0</v>
      </c>
      <c r="AK268" s="2">
        <v>0</v>
      </c>
      <c r="AL268" s="2">
        <v>0</v>
      </c>
      <c r="AM268" s="2">
        <v>0</v>
      </c>
      <c r="AN268" s="2">
        <v>0</v>
      </c>
      <c r="AO268" s="2">
        <v>0</v>
      </c>
      <c r="AP268" s="2">
        <v>0</v>
      </c>
      <c r="AQ268" s="2">
        <v>0</v>
      </c>
      <c r="AR268" s="2">
        <v>0</v>
      </c>
      <c r="AS268" s="2">
        <v>0</v>
      </c>
      <c r="AT268" s="2">
        <v>0</v>
      </c>
      <c r="AU268" s="2">
        <v>0</v>
      </c>
      <c r="AV268" s="2">
        <v>0</v>
      </c>
      <c r="AW268" s="2">
        <v>0</v>
      </c>
      <c r="AX268" s="2">
        <v>0</v>
      </c>
      <c r="AY268" s="2">
        <v>0.16900000000000001</v>
      </c>
      <c r="AZ268" s="2">
        <v>0</v>
      </c>
    </row>
    <row r="269" spans="1:52">
      <c r="A269" s="2">
        <v>268</v>
      </c>
      <c r="B269" s="2" t="s">
        <v>129</v>
      </c>
      <c r="C269" s="2" t="s">
        <v>129</v>
      </c>
      <c r="D269" s="2">
        <v>0</v>
      </c>
      <c r="E269" s="2">
        <v>0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1</v>
      </c>
      <c r="O269" s="2">
        <v>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2">
        <v>0</v>
      </c>
      <c r="AB269" s="2">
        <v>0</v>
      </c>
      <c r="AC269" s="2">
        <v>0</v>
      </c>
      <c r="AD269" s="2">
        <v>0</v>
      </c>
      <c r="AE269" s="2">
        <v>0</v>
      </c>
      <c r="AF269" s="2">
        <v>0</v>
      </c>
      <c r="AG269" s="2">
        <v>0</v>
      </c>
      <c r="AH269" s="2">
        <v>0</v>
      </c>
      <c r="AI269" s="2">
        <v>0</v>
      </c>
      <c r="AJ269" s="2">
        <v>0</v>
      </c>
      <c r="AK269" s="2">
        <v>0</v>
      </c>
      <c r="AL269" s="2">
        <v>0</v>
      </c>
      <c r="AM269" s="2">
        <v>0</v>
      </c>
      <c r="AN269" s="2">
        <v>0</v>
      </c>
      <c r="AO269" s="2">
        <v>0</v>
      </c>
      <c r="AP269" s="2">
        <v>0</v>
      </c>
      <c r="AQ269" s="2">
        <v>0</v>
      </c>
      <c r="AR269" s="2">
        <v>0</v>
      </c>
      <c r="AS269" s="2">
        <v>0</v>
      </c>
      <c r="AT269" s="2">
        <v>0</v>
      </c>
      <c r="AU269" s="2">
        <v>0</v>
      </c>
      <c r="AV269" s="2">
        <v>0</v>
      </c>
      <c r="AW269" s="2">
        <v>0</v>
      </c>
      <c r="AX269" s="2">
        <v>0</v>
      </c>
      <c r="AY269" s="2">
        <v>0</v>
      </c>
      <c r="AZ269" s="2">
        <v>0</v>
      </c>
    </row>
    <row r="270" spans="1:52">
      <c r="A270" s="2">
        <v>269</v>
      </c>
      <c r="B270" s="2" t="s">
        <v>47</v>
      </c>
      <c r="C270" s="2" t="s">
        <v>47</v>
      </c>
      <c r="D270" s="2">
        <v>0</v>
      </c>
      <c r="E270" s="2">
        <v>0</v>
      </c>
      <c r="F270" s="2">
        <v>0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1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2">
        <v>0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2">
        <v>0</v>
      </c>
      <c r="AP270" s="2">
        <v>0</v>
      </c>
      <c r="AQ270" s="2">
        <v>0</v>
      </c>
      <c r="AR270" s="2">
        <v>0</v>
      </c>
      <c r="AS270" s="2">
        <v>0</v>
      </c>
      <c r="AT270" s="2">
        <v>0</v>
      </c>
      <c r="AU270" s="2">
        <v>0</v>
      </c>
      <c r="AV270" s="2">
        <v>0</v>
      </c>
      <c r="AW270" s="2">
        <v>0</v>
      </c>
      <c r="AX270" s="2">
        <v>0</v>
      </c>
      <c r="AY270" s="2">
        <v>0</v>
      </c>
      <c r="AZ270" s="2">
        <v>0</v>
      </c>
    </row>
    <row r="271" spans="1:52">
      <c r="A271" s="2">
        <v>270</v>
      </c>
      <c r="B271" s="2" t="s">
        <v>41</v>
      </c>
      <c r="C271" s="2" t="s">
        <v>41</v>
      </c>
      <c r="D271" s="2">
        <v>0</v>
      </c>
      <c r="E271" s="2">
        <v>0</v>
      </c>
      <c r="F271" s="2">
        <v>0</v>
      </c>
      <c r="G271" s="2">
        <v>1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2">
        <v>0</v>
      </c>
      <c r="AP271" s="2">
        <v>0</v>
      </c>
      <c r="AQ271" s="2">
        <v>0</v>
      </c>
      <c r="AR271" s="2">
        <v>0</v>
      </c>
      <c r="AS271" s="2">
        <v>0</v>
      </c>
      <c r="AT271" s="2">
        <v>0</v>
      </c>
      <c r="AU271" s="2">
        <v>0</v>
      </c>
      <c r="AV271" s="2">
        <v>0</v>
      </c>
      <c r="AW271" s="2">
        <v>0</v>
      </c>
      <c r="AX271" s="2">
        <v>0</v>
      </c>
      <c r="AY271" s="2">
        <v>0</v>
      </c>
      <c r="AZ271" s="2">
        <v>0</v>
      </c>
    </row>
    <row r="272" spans="1:52">
      <c r="A272" s="2">
        <v>271</v>
      </c>
      <c r="B272" s="2" t="s">
        <v>139</v>
      </c>
      <c r="C272" s="2" t="s">
        <v>139</v>
      </c>
      <c r="D272" s="2">
        <v>0</v>
      </c>
      <c r="E272" s="2">
        <v>0</v>
      </c>
      <c r="F272" s="2">
        <v>0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0.98199999999999998</v>
      </c>
      <c r="AO272" s="2">
        <v>1.7999999999999999E-2</v>
      </c>
      <c r="AP272" s="2">
        <v>0</v>
      </c>
      <c r="AQ272" s="2">
        <v>0</v>
      </c>
      <c r="AR272" s="2">
        <v>0</v>
      </c>
      <c r="AS272" s="2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2">
        <v>0</v>
      </c>
      <c r="AZ272" s="2">
        <v>0</v>
      </c>
    </row>
    <row r="273" spans="1:52">
      <c r="A273" s="2">
        <v>272</v>
      </c>
      <c r="B273" s="2" t="s">
        <v>269</v>
      </c>
      <c r="C273" s="2" t="s">
        <v>269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6.0000000000000001E-3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2E-3</v>
      </c>
      <c r="X273" s="2">
        <v>0</v>
      </c>
      <c r="Y273" s="2">
        <v>0</v>
      </c>
      <c r="Z273" s="2">
        <v>0</v>
      </c>
      <c r="AA273" s="2">
        <v>0</v>
      </c>
      <c r="AB273" s="2">
        <v>1E-3</v>
      </c>
      <c r="AC273" s="2">
        <v>0</v>
      </c>
      <c r="AD273" s="2">
        <v>0</v>
      </c>
      <c r="AE273" s="2">
        <v>4.0000000000000001E-3</v>
      </c>
      <c r="AF273" s="2">
        <v>0</v>
      </c>
      <c r="AG273" s="2">
        <v>0</v>
      </c>
      <c r="AH273" s="2">
        <v>0</v>
      </c>
      <c r="AI273" s="2">
        <v>1E-3</v>
      </c>
      <c r="AJ273" s="2">
        <v>0</v>
      </c>
      <c r="AK273" s="2">
        <v>0</v>
      </c>
      <c r="AL273" s="2">
        <v>0</v>
      </c>
      <c r="AM273" s="2">
        <v>1E-3</v>
      </c>
      <c r="AN273" s="2">
        <v>0</v>
      </c>
      <c r="AO273" s="2">
        <v>0</v>
      </c>
      <c r="AP273" s="2">
        <v>0.97899999999999998</v>
      </c>
      <c r="AQ273" s="2">
        <v>1E-3</v>
      </c>
      <c r="AR273" s="2">
        <v>0</v>
      </c>
      <c r="AS273" s="2">
        <v>1E-3</v>
      </c>
      <c r="AT273" s="2">
        <v>0</v>
      </c>
      <c r="AU273" s="2">
        <v>1E-3</v>
      </c>
      <c r="AV273" s="2">
        <v>1E-3</v>
      </c>
      <c r="AW273" s="2">
        <v>0</v>
      </c>
      <c r="AX273" s="2">
        <v>2E-3</v>
      </c>
      <c r="AY273" s="2">
        <v>0</v>
      </c>
      <c r="AZ273" s="2">
        <v>0</v>
      </c>
    </row>
    <row r="274" spans="1:52">
      <c r="A274" s="2">
        <v>273</v>
      </c>
      <c r="B274" s="2" t="s">
        <v>136</v>
      </c>
      <c r="C274" s="2" t="s">
        <v>136</v>
      </c>
      <c r="D274" s="2">
        <v>0</v>
      </c>
      <c r="E274" s="2">
        <v>0</v>
      </c>
      <c r="F274" s="2">
        <v>0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0.997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3.0000000000000001E-3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2">
        <v>0</v>
      </c>
      <c r="AP274" s="2">
        <v>0</v>
      </c>
      <c r="AQ274" s="2">
        <v>0</v>
      </c>
      <c r="AR274" s="2">
        <v>0</v>
      </c>
      <c r="AS274" s="2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2">
        <v>0</v>
      </c>
      <c r="AZ274" s="2">
        <v>0</v>
      </c>
    </row>
    <row r="275" spans="1:52">
      <c r="A275" s="2">
        <v>274</v>
      </c>
      <c r="B275" s="2" t="s">
        <v>22</v>
      </c>
      <c r="C275" s="2" t="s">
        <v>22</v>
      </c>
      <c r="D275" s="2">
        <v>0</v>
      </c>
      <c r="E275" s="2">
        <v>0</v>
      </c>
      <c r="F275" s="2">
        <v>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1E-3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0.999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2">
        <v>0</v>
      </c>
      <c r="AP275" s="2">
        <v>0</v>
      </c>
      <c r="AQ275" s="2">
        <v>0</v>
      </c>
      <c r="AR275" s="2">
        <v>0</v>
      </c>
      <c r="AS275" s="2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2">
        <v>0</v>
      </c>
      <c r="AZ275" s="2">
        <v>0</v>
      </c>
    </row>
    <row r="276" spans="1:52">
      <c r="A276" s="2">
        <v>275</v>
      </c>
      <c r="B276" s="2" t="s">
        <v>339</v>
      </c>
      <c r="C276" s="2" t="s">
        <v>339</v>
      </c>
      <c r="D276" s="2">
        <v>0</v>
      </c>
      <c r="E276" s="2">
        <v>0</v>
      </c>
      <c r="F276" s="2">
        <v>0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0.95099999999999996</v>
      </c>
      <c r="S276" s="2">
        <v>0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2">
        <v>0</v>
      </c>
      <c r="AB276" s="2">
        <v>0</v>
      </c>
      <c r="AC276" s="2">
        <v>0</v>
      </c>
      <c r="AD276" s="2">
        <v>0</v>
      </c>
      <c r="AE276" s="2">
        <v>0</v>
      </c>
      <c r="AF276" s="2">
        <v>0</v>
      </c>
      <c r="AG276" s="2">
        <v>0</v>
      </c>
      <c r="AH276" s="2">
        <v>0</v>
      </c>
      <c r="AI276" s="2">
        <v>0</v>
      </c>
      <c r="AJ276" s="2">
        <v>0</v>
      </c>
      <c r="AK276" s="2">
        <v>0</v>
      </c>
      <c r="AL276" s="2">
        <v>0</v>
      </c>
      <c r="AM276" s="2">
        <v>1.4999999999999999E-2</v>
      </c>
      <c r="AN276" s="2">
        <v>0</v>
      </c>
      <c r="AO276" s="2">
        <v>3.4000000000000002E-2</v>
      </c>
      <c r="AP276" s="2">
        <v>0</v>
      </c>
      <c r="AQ276" s="2">
        <v>0</v>
      </c>
      <c r="AR276" s="2">
        <v>0</v>
      </c>
      <c r="AS276" s="2">
        <v>0</v>
      </c>
      <c r="AT276" s="2">
        <v>0</v>
      </c>
      <c r="AU276" s="2">
        <v>0</v>
      </c>
      <c r="AV276" s="2">
        <v>0</v>
      </c>
      <c r="AW276" s="2">
        <v>0</v>
      </c>
      <c r="AX276" s="2">
        <v>0</v>
      </c>
      <c r="AY276" s="2">
        <v>0</v>
      </c>
      <c r="AZ276" s="2">
        <v>0</v>
      </c>
    </row>
    <row r="277" spans="1:52">
      <c r="A277" s="2">
        <v>276</v>
      </c>
      <c r="B277" s="2" t="s">
        <v>261</v>
      </c>
      <c r="C277" s="2" t="s">
        <v>261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4.0000000000000001E-3</v>
      </c>
      <c r="W277" s="2">
        <v>7.1999999999999995E-2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0.92400000000000004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2">
        <v>0</v>
      </c>
      <c r="AP277" s="2">
        <v>0</v>
      </c>
      <c r="AQ277" s="2">
        <v>0</v>
      </c>
      <c r="AR277" s="2">
        <v>0</v>
      </c>
      <c r="AS277" s="2">
        <v>0</v>
      </c>
      <c r="AT277" s="2">
        <v>0</v>
      </c>
      <c r="AU277" s="2">
        <v>0</v>
      </c>
      <c r="AV277" s="2">
        <v>0</v>
      </c>
      <c r="AW277" s="2">
        <v>0</v>
      </c>
      <c r="AX277" s="2">
        <v>0</v>
      </c>
      <c r="AY277" s="2">
        <v>0</v>
      </c>
      <c r="AZ277" s="2">
        <v>0</v>
      </c>
    </row>
    <row r="278" spans="1:52">
      <c r="A278" s="2">
        <v>277</v>
      </c>
      <c r="B278" s="2" t="s">
        <v>84</v>
      </c>
      <c r="C278" s="2" t="s">
        <v>84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1E-3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0.999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2">
        <v>0</v>
      </c>
      <c r="AP278" s="2">
        <v>0</v>
      </c>
      <c r="AQ278" s="2">
        <v>0</v>
      </c>
      <c r="AR278" s="2">
        <v>0</v>
      </c>
      <c r="AS278" s="2">
        <v>0</v>
      </c>
      <c r="AT278" s="2">
        <v>0</v>
      </c>
      <c r="AU278" s="2">
        <v>0</v>
      </c>
      <c r="AV278" s="2">
        <v>0</v>
      </c>
      <c r="AW278" s="2">
        <v>0</v>
      </c>
      <c r="AX278" s="2">
        <v>0</v>
      </c>
      <c r="AY278" s="2">
        <v>0</v>
      </c>
      <c r="AZ278" s="2">
        <v>0</v>
      </c>
    </row>
    <row r="279" spans="1:52">
      <c r="A279" s="2">
        <v>278</v>
      </c>
      <c r="B279" s="2" t="s">
        <v>47</v>
      </c>
      <c r="C279" s="2" t="s">
        <v>47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1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2">
        <v>0</v>
      </c>
      <c r="AP279" s="2">
        <v>0</v>
      </c>
      <c r="AQ279" s="2">
        <v>0</v>
      </c>
      <c r="AR279" s="2">
        <v>0</v>
      </c>
      <c r="AS279" s="2">
        <v>0</v>
      </c>
      <c r="AT279" s="2">
        <v>0</v>
      </c>
      <c r="AU279" s="2">
        <v>0</v>
      </c>
      <c r="AV279" s="2">
        <v>0</v>
      </c>
      <c r="AW279" s="2">
        <v>0</v>
      </c>
      <c r="AX279" s="2">
        <v>0</v>
      </c>
      <c r="AY279" s="2">
        <v>0</v>
      </c>
      <c r="AZ279" s="2">
        <v>0</v>
      </c>
    </row>
    <row r="280" spans="1:52">
      <c r="A280" s="2">
        <v>279</v>
      </c>
      <c r="B280" s="2" t="s">
        <v>47</v>
      </c>
      <c r="C280" s="2" t="s">
        <v>47</v>
      </c>
      <c r="D280" s="2">
        <v>3.7999999999999999E-2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0.89900000000000002</v>
      </c>
      <c r="P280" s="2">
        <v>6.3E-2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2">
        <v>0</v>
      </c>
      <c r="AP280" s="2">
        <v>0</v>
      </c>
      <c r="AQ280" s="2">
        <v>0</v>
      </c>
      <c r="AR280" s="2">
        <v>0</v>
      </c>
      <c r="AS280" s="2">
        <v>0</v>
      </c>
      <c r="AT280" s="2">
        <v>0</v>
      </c>
      <c r="AU280" s="2">
        <v>0</v>
      </c>
      <c r="AV280" s="2">
        <v>0</v>
      </c>
      <c r="AW280" s="2">
        <v>0</v>
      </c>
      <c r="AX280" s="2">
        <v>0</v>
      </c>
      <c r="AY280" s="2">
        <v>0</v>
      </c>
      <c r="AZ280" s="2">
        <v>0</v>
      </c>
    </row>
    <row r="281" spans="1:52">
      <c r="A281" s="2">
        <v>280</v>
      </c>
      <c r="B281" s="2" t="s">
        <v>225</v>
      </c>
      <c r="C281" s="2" t="s">
        <v>225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1E-3</v>
      </c>
      <c r="J281" s="2">
        <v>0</v>
      </c>
      <c r="K281" s="2">
        <v>0</v>
      </c>
      <c r="L281" s="2">
        <v>3.0000000000000001E-3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2E-3</v>
      </c>
      <c r="X281" s="2">
        <v>0.97499999999999998</v>
      </c>
      <c r="Y281" s="2">
        <v>0.01</v>
      </c>
      <c r="Z281" s="2">
        <v>5.0000000000000001E-3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3.0000000000000001E-3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2">
        <v>0</v>
      </c>
      <c r="AP281" s="2">
        <v>0</v>
      </c>
      <c r="AQ281" s="2">
        <v>0</v>
      </c>
      <c r="AR281" s="2">
        <v>0</v>
      </c>
      <c r="AS281" s="2">
        <v>0</v>
      </c>
      <c r="AT281" s="2">
        <v>0</v>
      </c>
      <c r="AU281" s="2">
        <v>0</v>
      </c>
      <c r="AV281" s="2">
        <v>0</v>
      </c>
      <c r="AW281" s="2">
        <v>1E-3</v>
      </c>
      <c r="AX281" s="2">
        <v>0</v>
      </c>
      <c r="AY281" s="2">
        <v>0</v>
      </c>
      <c r="AZ281" s="2">
        <v>0</v>
      </c>
    </row>
    <row r="282" spans="1:52">
      <c r="A282" s="2">
        <v>281</v>
      </c>
      <c r="B282" s="2" t="s">
        <v>129</v>
      </c>
      <c r="C282" s="2" t="s">
        <v>129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2">
        <v>0</v>
      </c>
      <c r="J282" s="2">
        <v>2E-3</v>
      </c>
      <c r="K282" s="2">
        <v>0</v>
      </c>
      <c r="L282" s="2">
        <v>0</v>
      </c>
      <c r="M282" s="2">
        <v>0</v>
      </c>
      <c r="N282" s="2">
        <v>0.998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2">
        <v>0</v>
      </c>
      <c r="AP282" s="2">
        <v>0</v>
      </c>
      <c r="AQ282" s="2">
        <v>0</v>
      </c>
      <c r="AR282" s="2">
        <v>0</v>
      </c>
      <c r="AS282" s="2">
        <v>0</v>
      </c>
      <c r="AT282" s="2">
        <v>0</v>
      </c>
      <c r="AU282" s="2">
        <v>0</v>
      </c>
      <c r="AV282" s="2">
        <v>0</v>
      </c>
      <c r="AW282" s="2">
        <v>0</v>
      </c>
      <c r="AX282" s="2">
        <v>0</v>
      </c>
      <c r="AY282" s="2">
        <v>0</v>
      </c>
      <c r="AZ282" s="2">
        <v>0</v>
      </c>
    </row>
    <row r="283" spans="1:52">
      <c r="A283" s="2">
        <v>282</v>
      </c>
      <c r="B283" s="2" t="s">
        <v>41</v>
      </c>
      <c r="C283" s="2" t="s">
        <v>41</v>
      </c>
      <c r="D283" s="2">
        <v>0</v>
      </c>
      <c r="E283" s="2">
        <v>0</v>
      </c>
      <c r="F283" s="2">
        <v>0</v>
      </c>
      <c r="G283" s="2">
        <v>1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2">
        <v>0</v>
      </c>
      <c r="AP283" s="2">
        <v>0</v>
      </c>
      <c r="AQ283" s="2">
        <v>0</v>
      </c>
      <c r="AR283" s="2">
        <v>0</v>
      </c>
      <c r="AS283" s="2">
        <v>0</v>
      </c>
      <c r="AT283" s="2">
        <v>0</v>
      </c>
      <c r="AU283" s="2">
        <v>0</v>
      </c>
      <c r="AV283" s="2">
        <v>0</v>
      </c>
      <c r="AW283" s="2">
        <v>0</v>
      </c>
      <c r="AX283" s="2">
        <v>0</v>
      </c>
      <c r="AY283" s="2">
        <v>0</v>
      </c>
      <c r="AZ283" s="2">
        <v>0</v>
      </c>
    </row>
    <row r="284" spans="1:52">
      <c r="A284" s="2">
        <v>283</v>
      </c>
      <c r="B284" s="2" t="s">
        <v>136</v>
      </c>
      <c r="C284" s="2" t="s">
        <v>136</v>
      </c>
      <c r="D284" s="2">
        <v>0</v>
      </c>
      <c r="E284" s="2">
        <v>0</v>
      </c>
      <c r="F284" s="2">
        <v>0</v>
      </c>
      <c r="G284" s="2">
        <v>0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1E-3</v>
      </c>
      <c r="R284" s="2">
        <v>0</v>
      </c>
      <c r="S284" s="2">
        <v>0.90400000000000003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2">
        <v>0</v>
      </c>
      <c r="AB284" s="2">
        <v>0</v>
      </c>
      <c r="AC284" s="2">
        <v>9.5000000000000001E-2</v>
      </c>
      <c r="AD284" s="2">
        <v>0</v>
      </c>
      <c r="AE284" s="2">
        <v>0</v>
      </c>
      <c r="AF284" s="2">
        <v>0</v>
      </c>
      <c r="AG284" s="2">
        <v>0</v>
      </c>
      <c r="AH284" s="2">
        <v>0</v>
      </c>
      <c r="AI284" s="2">
        <v>0</v>
      </c>
      <c r="AJ284" s="2">
        <v>0</v>
      </c>
      <c r="AK284" s="2">
        <v>0</v>
      </c>
      <c r="AL284" s="2">
        <v>0</v>
      </c>
      <c r="AM284" s="2">
        <v>0</v>
      </c>
      <c r="AN284" s="2">
        <v>0</v>
      </c>
      <c r="AO284" s="2">
        <v>0</v>
      </c>
      <c r="AP284" s="2">
        <v>0</v>
      </c>
      <c r="AQ284" s="2">
        <v>0</v>
      </c>
      <c r="AR284" s="2">
        <v>0</v>
      </c>
      <c r="AS284" s="2">
        <v>0</v>
      </c>
      <c r="AT284" s="2">
        <v>0</v>
      </c>
      <c r="AU284" s="2">
        <v>0</v>
      </c>
      <c r="AV284" s="2">
        <v>0</v>
      </c>
      <c r="AW284" s="2">
        <v>0</v>
      </c>
      <c r="AX284" s="2">
        <v>0</v>
      </c>
      <c r="AY284" s="2">
        <v>0</v>
      </c>
      <c r="AZ284" s="2">
        <v>0</v>
      </c>
    </row>
    <row r="285" spans="1:52">
      <c r="A285" s="2">
        <v>284</v>
      </c>
      <c r="B285" s="2" t="s">
        <v>28</v>
      </c>
      <c r="C285" s="2" t="s">
        <v>28</v>
      </c>
      <c r="D285" s="2">
        <v>0</v>
      </c>
      <c r="E285" s="2">
        <v>0</v>
      </c>
      <c r="F285" s="2">
        <v>0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0</v>
      </c>
      <c r="V285" s="2">
        <v>0</v>
      </c>
      <c r="W285" s="2">
        <v>0</v>
      </c>
      <c r="X285" s="2">
        <v>0</v>
      </c>
      <c r="Y285" s="2">
        <v>0.32800000000000001</v>
      </c>
      <c r="Z285" s="2">
        <v>0.67100000000000004</v>
      </c>
      <c r="AA285" s="2">
        <v>0</v>
      </c>
      <c r="AB285" s="2">
        <v>1E-3</v>
      </c>
      <c r="AC285" s="2">
        <v>0</v>
      </c>
      <c r="AD285" s="2">
        <v>0</v>
      </c>
      <c r="AE285" s="2">
        <v>0</v>
      </c>
      <c r="AF285" s="2">
        <v>0</v>
      </c>
      <c r="AG285" s="2">
        <v>0</v>
      </c>
      <c r="AH285" s="2">
        <v>0</v>
      </c>
      <c r="AI285" s="2">
        <v>0</v>
      </c>
      <c r="AJ285" s="2">
        <v>0</v>
      </c>
      <c r="AK285" s="2">
        <v>0</v>
      </c>
      <c r="AL285" s="2">
        <v>0</v>
      </c>
      <c r="AM285" s="2">
        <v>0</v>
      </c>
      <c r="AN285" s="2">
        <v>0</v>
      </c>
      <c r="AO285" s="2">
        <v>0</v>
      </c>
      <c r="AP285" s="2">
        <v>0</v>
      </c>
      <c r="AQ285" s="2">
        <v>0</v>
      </c>
      <c r="AR285" s="2">
        <v>0</v>
      </c>
      <c r="AS285" s="2">
        <v>0</v>
      </c>
      <c r="AT285" s="2">
        <v>0</v>
      </c>
      <c r="AU285" s="2">
        <v>0</v>
      </c>
      <c r="AV285" s="2">
        <v>0</v>
      </c>
      <c r="AW285" s="2">
        <v>0</v>
      </c>
      <c r="AX285" s="2">
        <v>0</v>
      </c>
      <c r="AY285" s="2">
        <v>0</v>
      </c>
      <c r="AZ285" s="2">
        <v>0</v>
      </c>
    </row>
    <row r="286" spans="1:52">
      <c r="A286" s="2">
        <v>285</v>
      </c>
      <c r="B286" s="2" t="s">
        <v>28</v>
      </c>
      <c r="C286" s="2" t="s">
        <v>28</v>
      </c>
      <c r="D286" s="2">
        <v>0</v>
      </c>
      <c r="E286" s="2">
        <v>0</v>
      </c>
      <c r="F286" s="2">
        <v>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0.36099999999999999</v>
      </c>
      <c r="Z286" s="2">
        <v>0.63900000000000001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2">
        <v>0</v>
      </c>
      <c r="AP286" s="2">
        <v>0</v>
      </c>
      <c r="AQ286" s="2">
        <v>0</v>
      </c>
      <c r="AR286" s="2">
        <v>0</v>
      </c>
      <c r="AS286" s="2">
        <v>0</v>
      </c>
      <c r="AT286" s="2">
        <v>0</v>
      </c>
      <c r="AU286" s="2">
        <v>0</v>
      </c>
      <c r="AV286" s="2">
        <v>0</v>
      </c>
      <c r="AW286" s="2">
        <v>0</v>
      </c>
      <c r="AX286" s="2">
        <v>0</v>
      </c>
      <c r="AY286" s="2">
        <v>0</v>
      </c>
      <c r="AZ286" s="2">
        <v>0</v>
      </c>
    </row>
    <row r="287" spans="1:52">
      <c r="A287" s="2">
        <v>286</v>
      </c>
      <c r="B287" s="2" t="s">
        <v>117</v>
      </c>
      <c r="C287" s="2" t="s">
        <v>117</v>
      </c>
      <c r="D287" s="2">
        <v>0</v>
      </c>
      <c r="E287" s="2">
        <v>0</v>
      </c>
      <c r="F287" s="2">
        <v>0</v>
      </c>
      <c r="G287" s="2">
        <v>0</v>
      </c>
      <c r="H287" s="2">
        <v>0</v>
      </c>
      <c r="I287" s="2">
        <v>0</v>
      </c>
      <c r="J287" s="2">
        <v>3.0000000000000001E-3</v>
      </c>
      <c r="K287" s="2">
        <v>0.88600000000000001</v>
      </c>
      <c r="L287" s="2">
        <v>0</v>
      </c>
      <c r="M287" s="2">
        <v>0</v>
      </c>
      <c r="N287" s="2">
        <v>5.0000000000000001E-3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0.106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2">
        <v>0</v>
      </c>
      <c r="AP287" s="2">
        <v>0</v>
      </c>
      <c r="AQ287" s="2">
        <v>0</v>
      </c>
      <c r="AR287" s="2">
        <v>0</v>
      </c>
      <c r="AS287" s="2">
        <v>0</v>
      </c>
      <c r="AT287" s="2">
        <v>0</v>
      </c>
      <c r="AU287" s="2">
        <v>0</v>
      </c>
      <c r="AV287" s="2">
        <v>0</v>
      </c>
      <c r="AW287" s="2">
        <v>0</v>
      </c>
      <c r="AX287" s="2">
        <v>0</v>
      </c>
      <c r="AY287" s="2">
        <v>0</v>
      </c>
      <c r="AZ287" s="2">
        <v>0</v>
      </c>
    </row>
    <row r="288" spans="1:52">
      <c r="A288" s="2">
        <v>287</v>
      </c>
      <c r="B288" s="2" t="s">
        <v>180</v>
      </c>
      <c r="C288" s="2" t="s">
        <v>180</v>
      </c>
      <c r="D288" s="2">
        <v>0</v>
      </c>
      <c r="E288" s="2">
        <v>0</v>
      </c>
      <c r="F288" s="2">
        <v>0.33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</v>
      </c>
      <c r="V288" s="2">
        <v>0</v>
      </c>
      <c r="W288" s="2">
        <v>0</v>
      </c>
      <c r="X288" s="2">
        <v>1E-3</v>
      </c>
      <c r="Y288" s="2">
        <v>0</v>
      </c>
      <c r="Z288" s="2">
        <v>0</v>
      </c>
      <c r="AA288" s="2">
        <v>0</v>
      </c>
      <c r="AB288" s="2">
        <v>0</v>
      </c>
      <c r="AC288" s="2">
        <v>0</v>
      </c>
      <c r="AD288" s="2">
        <v>0</v>
      </c>
      <c r="AE288" s="2">
        <v>0</v>
      </c>
      <c r="AF288" s="2">
        <v>0</v>
      </c>
      <c r="AG288" s="2">
        <v>0</v>
      </c>
      <c r="AH288" s="2">
        <v>0</v>
      </c>
      <c r="AI288" s="2">
        <v>0</v>
      </c>
      <c r="AJ288" s="2">
        <v>0</v>
      </c>
      <c r="AK288" s="2">
        <v>0</v>
      </c>
      <c r="AL288" s="2">
        <v>0</v>
      </c>
      <c r="AM288" s="2">
        <v>0</v>
      </c>
      <c r="AN288" s="2">
        <v>0</v>
      </c>
      <c r="AO288" s="2">
        <v>0</v>
      </c>
      <c r="AP288" s="2">
        <v>0</v>
      </c>
      <c r="AQ288" s="2">
        <v>0</v>
      </c>
      <c r="AR288" s="2">
        <v>0</v>
      </c>
      <c r="AS288" s="2">
        <v>0</v>
      </c>
      <c r="AT288" s="2">
        <v>0</v>
      </c>
      <c r="AU288" s="2">
        <v>0</v>
      </c>
      <c r="AV288" s="2">
        <v>0</v>
      </c>
      <c r="AW288" s="2">
        <v>0.66900000000000004</v>
      </c>
      <c r="AX288" s="2">
        <v>0</v>
      </c>
      <c r="AY288" s="2">
        <v>0</v>
      </c>
      <c r="AZ288" s="2">
        <v>0</v>
      </c>
    </row>
    <row r="289" spans="1:52">
      <c r="A289" s="2">
        <v>288</v>
      </c>
      <c r="B289" s="2" t="s">
        <v>43</v>
      </c>
      <c r="C289" s="2" t="s">
        <v>43</v>
      </c>
      <c r="D289" s="2">
        <v>0</v>
      </c>
      <c r="E289" s="2">
        <v>0</v>
      </c>
      <c r="F289" s="2">
        <v>0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0.69299999999999995</v>
      </c>
      <c r="V289" s="2">
        <v>1E-3</v>
      </c>
      <c r="W289" s="2">
        <v>0.30599999999999999</v>
      </c>
      <c r="X289" s="2">
        <v>0</v>
      </c>
      <c r="Y289" s="2">
        <v>0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2">
        <v>0</v>
      </c>
      <c r="AP289" s="2">
        <v>0</v>
      </c>
      <c r="AQ289" s="2">
        <v>0</v>
      </c>
      <c r="AR289" s="2">
        <v>0</v>
      </c>
      <c r="AS289" s="2">
        <v>0</v>
      </c>
      <c r="AT289" s="2">
        <v>0</v>
      </c>
      <c r="AU289" s="2">
        <v>0</v>
      </c>
      <c r="AV289" s="2">
        <v>0</v>
      </c>
      <c r="AW289" s="2">
        <v>0</v>
      </c>
      <c r="AX289" s="2">
        <v>0</v>
      </c>
      <c r="AY289" s="2">
        <v>0</v>
      </c>
      <c r="AZ289" s="2">
        <v>0</v>
      </c>
    </row>
    <row r="290" spans="1:52">
      <c r="A290" s="2">
        <v>289</v>
      </c>
      <c r="B290" s="2" t="s">
        <v>117</v>
      </c>
      <c r="C290" s="2" t="s">
        <v>117</v>
      </c>
      <c r="D290" s="2">
        <v>0</v>
      </c>
      <c r="E290" s="2">
        <v>0</v>
      </c>
      <c r="F290" s="2">
        <v>0</v>
      </c>
      <c r="G290" s="2">
        <v>1E-3</v>
      </c>
      <c r="H290" s="2">
        <v>0.10100000000000001</v>
      </c>
      <c r="I290" s="2">
        <v>0</v>
      </c>
      <c r="J290" s="2">
        <v>0.01</v>
      </c>
      <c r="K290" s="2">
        <v>0.86499999999999999</v>
      </c>
      <c r="L290" s="2">
        <v>0</v>
      </c>
      <c r="M290" s="2">
        <v>0</v>
      </c>
      <c r="N290" s="2">
        <v>2E-3</v>
      </c>
      <c r="O290" s="2">
        <v>0</v>
      </c>
      <c r="P290" s="2">
        <v>0</v>
      </c>
      <c r="Q290" s="2">
        <v>0</v>
      </c>
      <c r="R290" s="2">
        <v>0</v>
      </c>
      <c r="S290" s="2">
        <v>0</v>
      </c>
      <c r="T290" s="2">
        <v>1.7000000000000001E-2</v>
      </c>
      <c r="U290" s="2">
        <v>0</v>
      </c>
      <c r="V290" s="2">
        <v>1E-3</v>
      </c>
      <c r="W290" s="2">
        <v>0</v>
      </c>
      <c r="X290" s="2">
        <v>0</v>
      </c>
      <c r="Y290" s="2">
        <v>0</v>
      </c>
      <c r="Z290" s="2">
        <v>0</v>
      </c>
      <c r="AA290" s="2">
        <v>0</v>
      </c>
      <c r="AB290" s="2">
        <v>2E-3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2">
        <v>0</v>
      </c>
      <c r="AP290" s="2">
        <v>0</v>
      </c>
      <c r="AQ290" s="2">
        <v>0</v>
      </c>
      <c r="AR290" s="2">
        <v>0</v>
      </c>
      <c r="AS290" s="2">
        <v>0</v>
      </c>
      <c r="AT290" s="2">
        <v>0</v>
      </c>
      <c r="AU290" s="2">
        <v>0</v>
      </c>
      <c r="AV290" s="2">
        <v>0</v>
      </c>
      <c r="AW290" s="2">
        <v>0</v>
      </c>
      <c r="AX290" s="2">
        <v>1E-3</v>
      </c>
      <c r="AY290" s="2">
        <v>0</v>
      </c>
      <c r="AZ290" s="2">
        <v>0</v>
      </c>
    </row>
    <row r="291" spans="1:52">
      <c r="A291" s="2">
        <v>290</v>
      </c>
      <c r="B291" s="2" t="s">
        <v>36</v>
      </c>
      <c r="C291" s="2" t="s">
        <v>36</v>
      </c>
      <c r="D291" s="2">
        <v>0</v>
      </c>
      <c r="E291" s="2">
        <v>0</v>
      </c>
      <c r="F291" s="2">
        <v>0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1</v>
      </c>
      <c r="AK291" s="2">
        <v>0</v>
      </c>
      <c r="AL291" s="2">
        <v>0</v>
      </c>
      <c r="AM291" s="2">
        <v>0</v>
      </c>
      <c r="AN291" s="2">
        <v>0</v>
      </c>
      <c r="AO291" s="2">
        <v>0</v>
      </c>
      <c r="AP291" s="2">
        <v>0</v>
      </c>
      <c r="AQ291" s="2">
        <v>0</v>
      </c>
      <c r="AR291" s="2">
        <v>0</v>
      </c>
      <c r="AS291" s="2">
        <v>0</v>
      </c>
      <c r="AT291" s="2">
        <v>0</v>
      </c>
      <c r="AU291" s="2">
        <v>0</v>
      </c>
      <c r="AV291" s="2">
        <v>0</v>
      </c>
      <c r="AW291" s="2">
        <v>0</v>
      </c>
      <c r="AX291" s="2">
        <v>0</v>
      </c>
      <c r="AY291" s="2">
        <v>0</v>
      </c>
      <c r="AZ291" s="2">
        <v>0</v>
      </c>
    </row>
    <row r="292" spans="1:52">
      <c r="A292" s="2">
        <v>291</v>
      </c>
      <c r="B292" s="2" t="s">
        <v>26</v>
      </c>
      <c r="C292" s="2" t="s">
        <v>26</v>
      </c>
      <c r="D292" s="2">
        <v>0</v>
      </c>
      <c r="E292" s="2">
        <v>0</v>
      </c>
      <c r="F292" s="2">
        <v>0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1E-3</v>
      </c>
      <c r="V292" s="2">
        <v>0</v>
      </c>
      <c r="W292" s="2">
        <v>0.999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2">
        <v>0</v>
      </c>
      <c r="AP292" s="2">
        <v>0</v>
      </c>
      <c r="AQ292" s="2">
        <v>0</v>
      </c>
      <c r="AR292" s="2">
        <v>0</v>
      </c>
      <c r="AS292" s="2">
        <v>0</v>
      </c>
      <c r="AT292" s="2">
        <v>0</v>
      </c>
      <c r="AU292" s="2">
        <v>0</v>
      </c>
      <c r="AV292" s="2">
        <v>0</v>
      </c>
      <c r="AW292" s="2">
        <v>0</v>
      </c>
      <c r="AX292" s="2">
        <v>0</v>
      </c>
      <c r="AY292" s="2">
        <v>0</v>
      </c>
      <c r="AZ292" s="2">
        <v>0</v>
      </c>
    </row>
    <row r="293" spans="1:52">
      <c r="A293" s="2">
        <v>292</v>
      </c>
      <c r="B293" s="2" t="s">
        <v>168</v>
      </c>
      <c r="C293" s="2" t="s">
        <v>168</v>
      </c>
      <c r="D293" s="2">
        <v>0</v>
      </c>
      <c r="E293" s="2">
        <v>0</v>
      </c>
      <c r="F293" s="2">
        <v>0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2">
        <v>0</v>
      </c>
      <c r="AP293" s="2">
        <v>0</v>
      </c>
      <c r="AQ293" s="2">
        <v>0</v>
      </c>
      <c r="AR293" s="2">
        <v>0</v>
      </c>
      <c r="AS293" s="2">
        <v>0</v>
      </c>
      <c r="AT293" s="2">
        <v>1</v>
      </c>
      <c r="AU293" s="2">
        <v>0</v>
      </c>
      <c r="AV293" s="2">
        <v>0</v>
      </c>
      <c r="AW293" s="2">
        <v>0</v>
      </c>
      <c r="AX293" s="2">
        <v>0</v>
      </c>
      <c r="AY293" s="2">
        <v>0</v>
      </c>
      <c r="AZ293" s="2">
        <v>0</v>
      </c>
    </row>
    <row r="294" spans="1:52">
      <c r="A294" s="2">
        <v>293</v>
      </c>
      <c r="B294" s="2" t="s">
        <v>41</v>
      </c>
      <c r="C294" s="2" t="s">
        <v>41</v>
      </c>
      <c r="D294" s="2">
        <v>0</v>
      </c>
      <c r="E294" s="2">
        <v>0</v>
      </c>
      <c r="F294" s="2">
        <v>0</v>
      </c>
      <c r="G294" s="2">
        <v>1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2">
        <v>0</v>
      </c>
      <c r="AP294" s="2">
        <v>0</v>
      </c>
      <c r="AQ294" s="2">
        <v>0</v>
      </c>
      <c r="AR294" s="2">
        <v>0</v>
      </c>
      <c r="AS294" s="2">
        <v>0</v>
      </c>
      <c r="AT294" s="2">
        <v>0</v>
      </c>
      <c r="AU294" s="2">
        <v>0</v>
      </c>
      <c r="AV294" s="2">
        <v>0</v>
      </c>
      <c r="AW294" s="2">
        <v>0</v>
      </c>
      <c r="AX294" s="2">
        <v>0</v>
      </c>
      <c r="AY294" s="2">
        <v>0</v>
      </c>
      <c r="AZ294" s="2">
        <v>0</v>
      </c>
    </row>
    <row r="295" spans="1:52">
      <c r="A295" s="2">
        <v>294</v>
      </c>
      <c r="B295" s="2" t="s">
        <v>26</v>
      </c>
      <c r="C295" s="2" t="s">
        <v>26</v>
      </c>
      <c r="D295" s="2">
        <v>0</v>
      </c>
      <c r="E295" s="2">
        <v>0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1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2">
        <v>0</v>
      </c>
      <c r="AP295" s="2">
        <v>0</v>
      </c>
      <c r="AQ295" s="2">
        <v>0</v>
      </c>
      <c r="AR295" s="2">
        <v>0</v>
      </c>
      <c r="AS295" s="2">
        <v>0</v>
      </c>
      <c r="AT295" s="2">
        <v>0</v>
      </c>
      <c r="AU295" s="2">
        <v>0</v>
      </c>
      <c r="AV295" s="2">
        <v>0</v>
      </c>
      <c r="AW295" s="2">
        <v>0</v>
      </c>
      <c r="AX295" s="2">
        <v>0</v>
      </c>
      <c r="AY295" s="2">
        <v>0</v>
      </c>
      <c r="AZ295" s="2">
        <v>0</v>
      </c>
    </row>
    <row r="296" spans="1:52">
      <c r="A296" s="2">
        <v>295</v>
      </c>
      <c r="B296" s="2" t="s">
        <v>91</v>
      </c>
      <c r="C296" s="2" t="s">
        <v>91</v>
      </c>
      <c r="D296" s="2">
        <v>0</v>
      </c>
      <c r="E296" s="2">
        <v>0</v>
      </c>
      <c r="F296" s="2">
        <v>0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2">
        <v>0</v>
      </c>
      <c r="AB296" s="2">
        <v>0.86399999999999999</v>
      </c>
      <c r="AC296" s="2">
        <v>0</v>
      </c>
      <c r="AD296" s="2">
        <v>0</v>
      </c>
      <c r="AE296" s="2">
        <v>0</v>
      </c>
      <c r="AF296" s="2">
        <v>0</v>
      </c>
      <c r="AG296" s="2">
        <v>0</v>
      </c>
      <c r="AH296" s="2">
        <v>0</v>
      </c>
      <c r="AI296" s="2">
        <v>0</v>
      </c>
      <c r="AJ296" s="2">
        <v>0</v>
      </c>
      <c r="AK296" s="2">
        <v>0.13600000000000001</v>
      </c>
      <c r="AL296" s="2">
        <v>0</v>
      </c>
      <c r="AM296" s="2">
        <v>0</v>
      </c>
      <c r="AN296" s="2">
        <v>0</v>
      </c>
      <c r="AO296" s="2">
        <v>0</v>
      </c>
      <c r="AP296" s="2">
        <v>0</v>
      </c>
      <c r="AQ296" s="2">
        <v>0</v>
      </c>
      <c r="AR296" s="2">
        <v>0</v>
      </c>
      <c r="AS296" s="2">
        <v>0</v>
      </c>
      <c r="AT296" s="2">
        <v>0</v>
      </c>
      <c r="AU296" s="2">
        <v>0</v>
      </c>
      <c r="AV296" s="2">
        <v>0</v>
      </c>
      <c r="AW296" s="2">
        <v>0</v>
      </c>
      <c r="AX296" s="2">
        <v>0</v>
      </c>
      <c r="AY296" s="2">
        <v>0</v>
      </c>
      <c r="AZ296" s="2">
        <v>0</v>
      </c>
    </row>
    <row r="297" spans="1:52">
      <c r="A297" s="2">
        <v>296</v>
      </c>
      <c r="B297" s="2" t="s">
        <v>214</v>
      </c>
      <c r="C297" s="2" t="s">
        <v>214</v>
      </c>
      <c r="D297" s="2">
        <v>0</v>
      </c>
      <c r="E297" s="2">
        <v>0</v>
      </c>
      <c r="F297" s="2">
        <v>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0.12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0.115</v>
      </c>
      <c r="AN297" s="2">
        <v>0</v>
      </c>
      <c r="AO297" s="2">
        <v>0.76500000000000001</v>
      </c>
      <c r="AP297" s="2">
        <v>0</v>
      </c>
      <c r="AQ297" s="2">
        <v>0</v>
      </c>
      <c r="AR297" s="2">
        <v>0</v>
      </c>
      <c r="AS297" s="2">
        <v>0</v>
      </c>
      <c r="AT297" s="2">
        <v>0</v>
      </c>
      <c r="AU297" s="2">
        <v>0</v>
      </c>
      <c r="AV297" s="2">
        <v>0</v>
      </c>
      <c r="AW297" s="2">
        <v>0</v>
      </c>
      <c r="AX297" s="2">
        <v>0</v>
      </c>
      <c r="AY297" s="2">
        <v>0</v>
      </c>
      <c r="AZ297" s="2">
        <v>0</v>
      </c>
    </row>
    <row r="298" spans="1:52">
      <c r="A298" s="2">
        <v>297</v>
      </c>
      <c r="B298" s="2" t="s">
        <v>56</v>
      </c>
      <c r="C298" s="2" t="s">
        <v>56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3.7999999999999999E-2</v>
      </c>
      <c r="Z298" s="2">
        <v>2.5999999999999999E-2</v>
      </c>
      <c r="AA298" s="2">
        <v>0.93600000000000005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2">
        <v>0</v>
      </c>
      <c r="AP298" s="2">
        <v>0</v>
      </c>
      <c r="AQ298" s="2">
        <v>0</v>
      </c>
      <c r="AR298" s="2">
        <v>0</v>
      </c>
      <c r="AS298" s="2">
        <v>0</v>
      </c>
      <c r="AT298" s="2">
        <v>0</v>
      </c>
      <c r="AU298" s="2">
        <v>0</v>
      </c>
      <c r="AV298" s="2">
        <v>0</v>
      </c>
      <c r="AW298" s="2">
        <v>0</v>
      </c>
      <c r="AX298" s="2">
        <v>0</v>
      </c>
      <c r="AY298" s="2">
        <v>0</v>
      </c>
      <c r="AZ298" s="2">
        <v>0</v>
      </c>
    </row>
    <row r="299" spans="1:52">
      <c r="A299" s="2">
        <v>298</v>
      </c>
      <c r="B299" s="2" t="s">
        <v>41</v>
      </c>
      <c r="C299" s="2" t="s">
        <v>41</v>
      </c>
      <c r="D299" s="2">
        <v>0</v>
      </c>
      <c r="E299" s="2">
        <v>0</v>
      </c>
      <c r="F299" s="2">
        <v>0</v>
      </c>
      <c r="G299" s="2">
        <v>1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2">
        <v>0</v>
      </c>
      <c r="AP299" s="2">
        <v>0</v>
      </c>
      <c r="AQ299" s="2">
        <v>0</v>
      </c>
      <c r="AR299" s="2">
        <v>0</v>
      </c>
      <c r="AS299" s="2">
        <v>0</v>
      </c>
      <c r="AT299" s="2">
        <v>0</v>
      </c>
      <c r="AU299" s="2">
        <v>0</v>
      </c>
      <c r="AV299" s="2">
        <v>0</v>
      </c>
      <c r="AW299" s="2">
        <v>0</v>
      </c>
      <c r="AX299" s="2">
        <v>0</v>
      </c>
      <c r="AY299" s="2">
        <v>0</v>
      </c>
      <c r="AZ299" s="2">
        <v>0</v>
      </c>
    </row>
    <row r="300" spans="1:52">
      <c r="A300" s="2">
        <v>299</v>
      </c>
      <c r="B300" s="2" t="s">
        <v>41</v>
      </c>
      <c r="C300" s="2" t="s">
        <v>41</v>
      </c>
      <c r="D300" s="2">
        <v>0</v>
      </c>
      <c r="E300" s="2">
        <v>0</v>
      </c>
      <c r="F300" s="2">
        <v>0</v>
      </c>
      <c r="G300" s="2">
        <v>1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2">
        <v>0</v>
      </c>
      <c r="AP300" s="2">
        <v>0</v>
      </c>
      <c r="AQ300" s="2">
        <v>0</v>
      </c>
      <c r="AR300" s="2">
        <v>0</v>
      </c>
      <c r="AS300" s="2">
        <v>0</v>
      </c>
      <c r="AT300" s="2">
        <v>0</v>
      </c>
      <c r="AU300" s="2">
        <v>0</v>
      </c>
      <c r="AV300" s="2">
        <v>0</v>
      </c>
      <c r="AW300" s="2">
        <v>0</v>
      </c>
      <c r="AX300" s="2">
        <v>0</v>
      </c>
      <c r="AY300" s="2">
        <v>0</v>
      </c>
      <c r="AZ300" s="2">
        <v>0</v>
      </c>
    </row>
    <row r="301" spans="1:52">
      <c r="A301" s="2">
        <v>300</v>
      </c>
      <c r="B301" s="2" t="s">
        <v>225</v>
      </c>
      <c r="C301" s="2" t="s">
        <v>225</v>
      </c>
      <c r="D301" s="2">
        <v>0</v>
      </c>
      <c r="E301" s="2">
        <v>0</v>
      </c>
      <c r="F301" s="2">
        <v>0</v>
      </c>
      <c r="G301" s="2">
        <v>0</v>
      </c>
      <c r="H301" s="2">
        <v>0</v>
      </c>
      <c r="I301" s="2">
        <v>1E-3</v>
      </c>
      <c r="J301" s="2">
        <v>0</v>
      </c>
      <c r="K301" s="2">
        <v>0</v>
      </c>
      <c r="L301" s="2">
        <v>8.0000000000000002E-3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3.0000000000000001E-3</v>
      </c>
      <c r="X301" s="2">
        <v>0.95799999999999996</v>
      </c>
      <c r="Y301" s="2">
        <v>1.7999999999999999E-2</v>
      </c>
      <c r="Z301" s="2">
        <v>5.0000000000000001E-3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3.0000000000000001E-3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2">
        <v>0</v>
      </c>
      <c r="AP301" s="2">
        <v>0</v>
      </c>
      <c r="AQ301" s="2">
        <v>1E-3</v>
      </c>
      <c r="AR301" s="2">
        <v>0</v>
      </c>
      <c r="AS301" s="2">
        <v>0</v>
      </c>
      <c r="AT301" s="2">
        <v>0</v>
      </c>
      <c r="AU301" s="2">
        <v>0</v>
      </c>
      <c r="AV301" s="2">
        <v>0</v>
      </c>
      <c r="AW301" s="2">
        <v>1E-3</v>
      </c>
      <c r="AX301" s="2">
        <v>0</v>
      </c>
      <c r="AY301" s="2">
        <v>0</v>
      </c>
      <c r="AZ301" s="2">
        <v>2E-3</v>
      </c>
    </row>
    <row r="302" spans="1:52">
      <c r="A302" s="2">
        <v>301</v>
      </c>
      <c r="B302" s="2" t="s">
        <v>41</v>
      </c>
      <c r="C302" s="2" t="s">
        <v>41</v>
      </c>
      <c r="D302" s="2">
        <v>0</v>
      </c>
      <c r="E302" s="2">
        <v>0</v>
      </c>
      <c r="F302" s="2">
        <v>0</v>
      </c>
      <c r="G302" s="2">
        <v>1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2">
        <v>0</v>
      </c>
      <c r="AP302" s="2">
        <v>0</v>
      </c>
      <c r="AQ302" s="2">
        <v>0</v>
      </c>
      <c r="AR302" s="2">
        <v>0</v>
      </c>
      <c r="AS302" s="2">
        <v>0</v>
      </c>
      <c r="AT302" s="2">
        <v>0</v>
      </c>
      <c r="AU302" s="2">
        <v>0</v>
      </c>
      <c r="AV302" s="2">
        <v>0</v>
      </c>
      <c r="AW302" s="2">
        <v>0</v>
      </c>
      <c r="AX302" s="2">
        <v>0</v>
      </c>
      <c r="AY302" s="2">
        <v>0</v>
      </c>
      <c r="AZ302" s="2">
        <v>0</v>
      </c>
    </row>
    <row r="303" spans="1:52">
      <c r="A303" s="2">
        <v>302</v>
      </c>
      <c r="B303" s="2" t="s">
        <v>191</v>
      </c>
      <c r="C303" s="2" t="s">
        <v>191</v>
      </c>
      <c r="D303" s="2">
        <v>0</v>
      </c>
      <c r="E303" s="2">
        <v>0</v>
      </c>
      <c r="F303" s="2">
        <v>0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0.28199999999999997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0.71799999999999997</v>
      </c>
      <c r="AL303" s="2">
        <v>0</v>
      </c>
      <c r="AM303" s="2">
        <v>0</v>
      </c>
      <c r="AN303" s="2">
        <v>0</v>
      </c>
      <c r="AO303" s="2">
        <v>0</v>
      </c>
      <c r="AP303" s="2">
        <v>0</v>
      </c>
      <c r="AQ303" s="2">
        <v>0</v>
      </c>
      <c r="AR303" s="2">
        <v>0</v>
      </c>
      <c r="AS303" s="2">
        <v>0</v>
      </c>
      <c r="AT303" s="2">
        <v>0</v>
      </c>
      <c r="AU303" s="2">
        <v>0</v>
      </c>
      <c r="AV303" s="2">
        <v>0</v>
      </c>
      <c r="AW303" s="2">
        <v>0</v>
      </c>
      <c r="AX303" s="2">
        <v>0</v>
      </c>
      <c r="AY303" s="2">
        <v>0</v>
      </c>
      <c r="AZ303" s="2">
        <v>0</v>
      </c>
    </row>
    <row r="304" spans="1:52">
      <c r="A304" s="2">
        <v>303</v>
      </c>
      <c r="B304" s="2" t="s">
        <v>74</v>
      </c>
      <c r="C304" s="2" t="s">
        <v>74</v>
      </c>
      <c r="D304" s="2">
        <v>0</v>
      </c>
      <c r="E304" s="2">
        <v>0</v>
      </c>
      <c r="F304" s="2">
        <v>0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0</v>
      </c>
      <c r="AG304" s="2">
        <v>0</v>
      </c>
      <c r="AH304" s="2">
        <v>0</v>
      </c>
      <c r="AI304" s="2">
        <v>0</v>
      </c>
      <c r="AJ304" s="2">
        <v>0</v>
      </c>
      <c r="AK304" s="2">
        <v>0</v>
      </c>
      <c r="AL304" s="2">
        <v>0</v>
      </c>
      <c r="AM304" s="2">
        <v>0</v>
      </c>
      <c r="AN304" s="2">
        <v>0</v>
      </c>
      <c r="AO304" s="2">
        <v>0</v>
      </c>
      <c r="AP304" s="2">
        <v>0</v>
      </c>
      <c r="AQ304" s="2">
        <v>0</v>
      </c>
      <c r="AR304" s="2">
        <v>0</v>
      </c>
      <c r="AS304" s="2">
        <v>1E-3</v>
      </c>
      <c r="AT304" s="2">
        <v>0</v>
      </c>
      <c r="AU304" s="2">
        <v>0.999</v>
      </c>
      <c r="AV304" s="2">
        <v>0</v>
      </c>
      <c r="AW304" s="2">
        <v>0</v>
      </c>
      <c r="AX304" s="2">
        <v>0</v>
      </c>
      <c r="AY304" s="2">
        <v>0</v>
      </c>
      <c r="AZ304" s="2">
        <v>0</v>
      </c>
    </row>
    <row r="305" spans="1:52">
      <c r="A305" s="2">
        <v>304</v>
      </c>
      <c r="B305" s="2" t="s">
        <v>117</v>
      </c>
      <c r="C305" s="2" t="s">
        <v>117</v>
      </c>
      <c r="D305" s="2">
        <v>0</v>
      </c>
      <c r="E305" s="2">
        <v>0</v>
      </c>
      <c r="F305" s="2">
        <v>0</v>
      </c>
      <c r="G305" s="2">
        <v>1E-3</v>
      </c>
      <c r="H305" s="2">
        <v>5.0000000000000001E-3</v>
      </c>
      <c r="I305" s="2">
        <v>0</v>
      </c>
      <c r="J305" s="2">
        <v>0</v>
      </c>
      <c r="K305" s="2">
        <v>0.91800000000000004</v>
      </c>
      <c r="L305" s="2">
        <v>3.0000000000000001E-3</v>
      </c>
      <c r="M305" s="2">
        <v>0</v>
      </c>
      <c r="N305" s="2">
        <v>4.0000000000000001E-3</v>
      </c>
      <c r="O305" s="2">
        <v>0</v>
      </c>
      <c r="P305" s="2">
        <v>0</v>
      </c>
      <c r="Q305" s="2">
        <v>0</v>
      </c>
      <c r="R305" s="2">
        <v>0</v>
      </c>
      <c r="S305" s="2">
        <v>0</v>
      </c>
      <c r="T305" s="2">
        <v>6.6000000000000003E-2</v>
      </c>
      <c r="U305" s="2">
        <v>0</v>
      </c>
      <c r="V305" s="2">
        <v>0</v>
      </c>
      <c r="W305" s="2">
        <v>1E-3</v>
      </c>
      <c r="X305" s="2">
        <v>0</v>
      </c>
      <c r="Y305" s="2">
        <v>0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  <c r="AF305" s="2">
        <v>0</v>
      </c>
      <c r="AG305" s="2">
        <v>0</v>
      </c>
      <c r="AH305" s="2">
        <v>0</v>
      </c>
      <c r="AI305" s="2">
        <v>0</v>
      </c>
      <c r="AJ305" s="2">
        <v>0</v>
      </c>
      <c r="AK305" s="2">
        <v>0</v>
      </c>
      <c r="AL305" s="2">
        <v>0</v>
      </c>
      <c r="AM305" s="2">
        <v>0</v>
      </c>
      <c r="AN305" s="2">
        <v>1E-3</v>
      </c>
      <c r="AO305" s="2">
        <v>0</v>
      </c>
      <c r="AP305" s="2">
        <v>0</v>
      </c>
      <c r="AQ305" s="2">
        <v>0</v>
      </c>
      <c r="AR305" s="2">
        <v>0</v>
      </c>
      <c r="AS305" s="2">
        <v>0</v>
      </c>
      <c r="AT305" s="2">
        <v>0</v>
      </c>
      <c r="AU305" s="2">
        <v>0</v>
      </c>
      <c r="AV305" s="2">
        <v>0</v>
      </c>
      <c r="AW305" s="2">
        <v>0</v>
      </c>
      <c r="AX305" s="2">
        <v>1E-3</v>
      </c>
      <c r="AY305" s="2">
        <v>0</v>
      </c>
      <c r="AZ305" s="2">
        <v>0</v>
      </c>
    </row>
    <row r="306" spans="1:52">
      <c r="A306" s="2">
        <v>305</v>
      </c>
      <c r="B306" s="2" t="s">
        <v>47</v>
      </c>
      <c r="C306" s="2" t="s">
        <v>47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1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2">
        <v>0</v>
      </c>
      <c r="AP306" s="2">
        <v>0</v>
      </c>
      <c r="AQ306" s="2">
        <v>0</v>
      </c>
      <c r="AR306" s="2">
        <v>0</v>
      </c>
      <c r="AS306" s="2">
        <v>0</v>
      </c>
      <c r="AT306" s="2">
        <v>0</v>
      </c>
      <c r="AU306" s="2">
        <v>0</v>
      </c>
      <c r="AV306" s="2">
        <v>0</v>
      </c>
      <c r="AW306" s="2">
        <v>0</v>
      </c>
      <c r="AX306" s="2">
        <v>0</v>
      </c>
      <c r="AY306" s="2">
        <v>0</v>
      </c>
      <c r="AZ306" s="2">
        <v>0</v>
      </c>
    </row>
    <row r="307" spans="1:52">
      <c r="A307" s="2">
        <v>306</v>
      </c>
      <c r="B307" s="2" t="s">
        <v>47</v>
      </c>
      <c r="C307" s="2" t="s">
        <v>47</v>
      </c>
      <c r="D307" s="2">
        <v>2.1000000000000001E-2</v>
      </c>
      <c r="E307" s="2">
        <v>0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0.96399999999999997</v>
      </c>
      <c r="P307" s="2">
        <v>1.4999999999999999E-2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2">
        <v>0</v>
      </c>
      <c r="AP307" s="2">
        <v>0</v>
      </c>
      <c r="AQ307" s="2">
        <v>0</v>
      </c>
      <c r="AR307" s="2">
        <v>0</v>
      </c>
      <c r="AS307" s="2">
        <v>0</v>
      </c>
      <c r="AT307" s="2">
        <v>0</v>
      </c>
      <c r="AU307" s="2">
        <v>0</v>
      </c>
      <c r="AV307" s="2">
        <v>0</v>
      </c>
      <c r="AW307" s="2">
        <v>0</v>
      </c>
      <c r="AX307" s="2">
        <v>0</v>
      </c>
      <c r="AY307" s="2">
        <v>0</v>
      </c>
      <c r="AZ307" s="2">
        <v>0</v>
      </c>
    </row>
    <row r="308" spans="1:52">
      <c r="A308" s="2">
        <v>307</v>
      </c>
      <c r="B308" s="2" t="s">
        <v>136</v>
      </c>
      <c r="C308" s="2" t="s">
        <v>136</v>
      </c>
      <c r="D308" s="2">
        <v>0</v>
      </c>
      <c r="E308" s="2">
        <v>0</v>
      </c>
      <c r="F308" s="2">
        <v>0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">
        <v>0</v>
      </c>
      <c r="S308" s="2">
        <v>0.91700000000000004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2">
        <v>0</v>
      </c>
      <c r="AB308" s="2">
        <v>0</v>
      </c>
      <c r="AC308" s="2">
        <v>8.3000000000000004E-2</v>
      </c>
      <c r="AD308" s="2">
        <v>0</v>
      </c>
      <c r="AE308" s="2">
        <v>0</v>
      </c>
      <c r="AF308" s="2">
        <v>0</v>
      </c>
      <c r="AG308" s="2">
        <v>0</v>
      </c>
      <c r="AH308" s="2">
        <v>0</v>
      </c>
      <c r="AI308" s="2">
        <v>0</v>
      </c>
      <c r="AJ308" s="2">
        <v>0</v>
      </c>
      <c r="AK308" s="2">
        <v>0</v>
      </c>
      <c r="AL308" s="2">
        <v>0</v>
      </c>
      <c r="AM308" s="2">
        <v>0</v>
      </c>
      <c r="AN308" s="2">
        <v>0</v>
      </c>
      <c r="AO308" s="2">
        <v>0</v>
      </c>
      <c r="AP308" s="2">
        <v>0</v>
      </c>
      <c r="AQ308" s="2">
        <v>0</v>
      </c>
      <c r="AR308" s="2">
        <v>0</v>
      </c>
      <c r="AS308" s="2">
        <v>0</v>
      </c>
      <c r="AT308" s="2">
        <v>0</v>
      </c>
      <c r="AU308" s="2">
        <v>0</v>
      </c>
      <c r="AV308" s="2">
        <v>0</v>
      </c>
      <c r="AW308" s="2">
        <v>0</v>
      </c>
      <c r="AX308" s="2">
        <v>0</v>
      </c>
      <c r="AY308" s="2">
        <v>0</v>
      </c>
      <c r="AZ308" s="2">
        <v>0</v>
      </c>
    </row>
    <row r="309" spans="1:52">
      <c r="A309" s="2">
        <v>308</v>
      </c>
      <c r="B309" s="2" t="s">
        <v>22</v>
      </c>
      <c r="C309" s="2" t="s">
        <v>22</v>
      </c>
      <c r="D309" s="2">
        <v>0</v>
      </c>
      <c r="E309" s="2">
        <v>0</v>
      </c>
      <c r="F309" s="2">
        <v>0</v>
      </c>
      <c r="G309" s="2">
        <v>0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2">
        <v>0.92400000000000004</v>
      </c>
      <c r="Z309" s="2">
        <v>4.9000000000000002E-2</v>
      </c>
      <c r="AA309" s="2">
        <v>2.7E-2</v>
      </c>
      <c r="AB309" s="2">
        <v>0</v>
      </c>
      <c r="AC309" s="2">
        <v>0</v>
      </c>
      <c r="AD309" s="2">
        <v>0</v>
      </c>
      <c r="AE309" s="2">
        <v>0</v>
      </c>
      <c r="AF309" s="2">
        <v>0</v>
      </c>
      <c r="AG309" s="2">
        <v>0</v>
      </c>
      <c r="AH309" s="2">
        <v>0</v>
      </c>
      <c r="AI309" s="2">
        <v>0</v>
      </c>
      <c r="AJ309" s="2">
        <v>0</v>
      </c>
      <c r="AK309" s="2">
        <v>0</v>
      </c>
      <c r="AL309" s="2">
        <v>0</v>
      </c>
      <c r="AM309" s="2">
        <v>0</v>
      </c>
      <c r="AN309" s="2">
        <v>0</v>
      </c>
      <c r="AO309" s="2">
        <v>0</v>
      </c>
      <c r="AP309" s="2">
        <v>0</v>
      </c>
      <c r="AQ309" s="2">
        <v>0</v>
      </c>
      <c r="AR309" s="2">
        <v>0</v>
      </c>
      <c r="AS309" s="2">
        <v>0</v>
      </c>
      <c r="AT309" s="2">
        <v>0</v>
      </c>
      <c r="AU309" s="2">
        <v>0</v>
      </c>
      <c r="AV309" s="2">
        <v>0</v>
      </c>
      <c r="AW309" s="2">
        <v>0</v>
      </c>
      <c r="AX309" s="2">
        <v>0</v>
      </c>
      <c r="AY309" s="2">
        <v>0</v>
      </c>
      <c r="AZ309" s="2">
        <v>0</v>
      </c>
    </row>
    <row r="310" spans="1:52">
      <c r="A310" s="2">
        <v>309</v>
      </c>
      <c r="B310" s="2" t="s">
        <v>22</v>
      </c>
      <c r="C310" s="2" t="s">
        <v>22</v>
      </c>
      <c r="D310" s="2">
        <v>0</v>
      </c>
      <c r="E310" s="2">
        <v>0</v>
      </c>
      <c r="F310" s="2">
        <v>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 s="2">
        <v>0.94099999999999995</v>
      </c>
      <c r="Z310" s="2">
        <v>1.4999999999999999E-2</v>
      </c>
      <c r="AA310" s="2">
        <v>4.3999999999999997E-2</v>
      </c>
      <c r="AB310" s="2">
        <v>0</v>
      </c>
      <c r="AC310" s="2">
        <v>0</v>
      </c>
      <c r="AD310" s="2">
        <v>0</v>
      </c>
      <c r="AE310" s="2">
        <v>0</v>
      </c>
      <c r="AF310" s="2">
        <v>0</v>
      </c>
      <c r="AG310" s="2">
        <v>0</v>
      </c>
      <c r="AH310" s="2">
        <v>0</v>
      </c>
      <c r="AI310" s="2">
        <v>0</v>
      </c>
      <c r="AJ310" s="2">
        <v>0</v>
      </c>
      <c r="AK310" s="2">
        <v>0</v>
      </c>
      <c r="AL310" s="2">
        <v>0</v>
      </c>
      <c r="AM310" s="2">
        <v>0</v>
      </c>
      <c r="AN310" s="2">
        <v>0</v>
      </c>
      <c r="AO310" s="2">
        <v>0</v>
      </c>
      <c r="AP310" s="2">
        <v>0</v>
      </c>
      <c r="AQ310" s="2">
        <v>0</v>
      </c>
      <c r="AR310" s="2">
        <v>0</v>
      </c>
      <c r="AS310" s="2">
        <v>0</v>
      </c>
      <c r="AT310" s="2">
        <v>0</v>
      </c>
      <c r="AU310" s="2">
        <v>0</v>
      </c>
      <c r="AV310" s="2">
        <v>0</v>
      </c>
      <c r="AW310" s="2">
        <v>0</v>
      </c>
      <c r="AX310" s="2">
        <v>0</v>
      </c>
      <c r="AY310" s="2">
        <v>0</v>
      </c>
      <c r="AZ310" s="2">
        <v>0</v>
      </c>
    </row>
    <row r="311" spans="1:52">
      <c r="A311" s="2">
        <v>310</v>
      </c>
      <c r="B311" s="2" t="s">
        <v>56</v>
      </c>
      <c r="C311" s="2" t="s">
        <v>56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0.06</v>
      </c>
      <c r="Z311" s="2">
        <v>0.127</v>
      </c>
      <c r="AA311" s="2">
        <v>0.81299999999999994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2">
        <v>0</v>
      </c>
      <c r="AP311" s="2">
        <v>0</v>
      </c>
      <c r="AQ311" s="2">
        <v>0</v>
      </c>
      <c r="AR311" s="2">
        <v>0</v>
      </c>
      <c r="AS311" s="2">
        <v>0</v>
      </c>
      <c r="AT311" s="2">
        <v>0</v>
      </c>
      <c r="AU311" s="2">
        <v>0</v>
      </c>
      <c r="AV311" s="2">
        <v>0</v>
      </c>
      <c r="AW311" s="2">
        <v>0</v>
      </c>
      <c r="AX311" s="2">
        <v>0</v>
      </c>
      <c r="AY311" s="2">
        <v>0</v>
      </c>
      <c r="AZ311" s="2">
        <v>0</v>
      </c>
    </row>
    <row r="312" spans="1:52">
      <c r="A312" s="2">
        <v>311</v>
      </c>
      <c r="B312" s="2" t="s">
        <v>41</v>
      </c>
      <c r="C312" s="2" t="s">
        <v>41</v>
      </c>
      <c r="D312" s="2">
        <v>0</v>
      </c>
      <c r="E312" s="2">
        <v>0</v>
      </c>
      <c r="F312" s="2">
        <v>0</v>
      </c>
      <c r="G312" s="2">
        <v>1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2">
        <v>0</v>
      </c>
      <c r="AP312" s="2">
        <v>0</v>
      </c>
      <c r="AQ312" s="2">
        <v>0</v>
      </c>
      <c r="AR312" s="2">
        <v>0</v>
      </c>
      <c r="AS312" s="2">
        <v>0</v>
      </c>
      <c r="AT312" s="2">
        <v>0</v>
      </c>
      <c r="AU312" s="2">
        <v>0</v>
      </c>
      <c r="AV312" s="2">
        <v>0</v>
      </c>
      <c r="AW312" s="2">
        <v>0</v>
      </c>
      <c r="AX312" s="2">
        <v>0</v>
      </c>
      <c r="AY312" s="2">
        <v>0</v>
      </c>
      <c r="AZ312" s="2">
        <v>0</v>
      </c>
    </row>
    <row r="313" spans="1:52">
      <c r="A313" s="2">
        <v>312</v>
      </c>
      <c r="B313" s="2" t="s">
        <v>41</v>
      </c>
      <c r="C313" s="2" t="s">
        <v>41</v>
      </c>
      <c r="D313" s="2">
        <v>0</v>
      </c>
      <c r="E313" s="2">
        <v>0</v>
      </c>
      <c r="F313" s="2">
        <v>0</v>
      </c>
      <c r="G313" s="2">
        <v>1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2">
        <v>0</v>
      </c>
      <c r="AP313" s="2">
        <v>0</v>
      </c>
      <c r="AQ313" s="2">
        <v>0</v>
      </c>
      <c r="AR313" s="2">
        <v>0</v>
      </c>
      <c r="AS313" s="2">
        <v>0</v>
      </c>
      <c r="AT313" s="2">
        <v>0</v>
      </c>
      <c r="AU313" s="2">
        <v>0</v>
      </c>
      <c r="AV313" s="2">
        <v>0</v>
      </c>
      <c r="AW313" s="2">
        <v>0</v>
      </c>
      <c r="AX313" s="2">
        <v>0</v>
      </c>
      <c r="AY313" s="2">
        <v>0</v>
      </c>
      <c r="AZ313" s="2">
        <v>0</v>
      </c>
    </row>
    <row r="314" spans="1:52">
      <c r="A314" s="2">
        <v>313</v>
      </c>
      <c r="B314" s="2" t="s">
        <v>56</v>
      </c>
      <c r="C314" s="2" t="s">
        <v>56</v>
      </c>
      <c r="D314" s="2">
        <v>0</v>
      </c>
      <c r="E314" s="2">
        <v>0</v>
      </c>
      <c r="F314" s="2">
        <v>0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1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2">
        <v>0</v>
      </c>
      <c r="AP314" s="2">
        <v>0</v>
      </c>
      <c r="AQ314" s="2">
        <v>0</v>
      </c>
      <c r="AR314" s="2">
        <v>0</v>
      </c>
      <c r="AS314" s="2">
        <v>0</v>
      </c>
      <c r="AT314" s="2">
        <v>0</v>
      </c>
      <c r="AU314" s="2">
        <v>0</v>
      </c>
      <c r="AV314" s="2">
        <v>0</v>
      </c>
      <c r="AW314" s="2">
        <v>0</v>
      </c>
      <c r="AX314" s="2">
        <v>0</v>
      </c>
      <c r="AY314" s="2">
        <v>0</v>
      </c>
      <c r="AZ314" s="2">
        <v>0</v>
      </c>
    </row>
    <row r="315" spans="1:52">
      <c r="A315" s="2">
        <v>314</v>
      </c>
      <c r="B315" s="2" t="s">
        <v>91</v>
      </c>
      <c r="C315" s="2" t="s">
        <v>91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0.85799999999999998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0.14199999999999999</v>
      </c>
      <c r="AL315" s="2">
        <v>0</v>
      </c>
      <c r="AM315" s="2">
        <v>0</v>
      </c>
      <c r="AN315" s="2">
        <v>0</v>
      </c>
      <c r="AO315" s="2">
        <v>0</v>
      </c>
      <c r="AP315" s="2">
        <v>0</v>
      </c>
      <c r="AQ315" s="2">
        <v>0</v>
      </c>
      <c r="AR315" s="2">
        <v>0</v>
      </c>
      <c r="AS315" s="2">
        <v>0</v>
      </c>
      <c r="AT315" s="2">
        <v>0</v>
      </c>
      <c r="AU315" s="2">
        <v>0</v>
      </c>
      <c r="AV315" s="2">
        <v>0</v>
      </c>
      <c r="AW315" s="2">
        <v>0</v>
      </c>
      <c r="AX315" s="2">
        <v>0</v>
      </c>
      <c r="AY315" s="2">
        <v>0</v>
      </c>
      <c r="AZ315" s="2">
        <v>0</v>
      </c>
    </row>
    <row r="316" spans="1:52">
      <c r="A316" s="2">
        <v>315</v>
      </c>
      <c r="B316" s="2" t="s">
        <v>269</v>
      </c>
      <c r="C316" s="2" t="s">
        <v>269</v>
      </c>
      <c r="D316" s="2">
        <v>0</v>
      </c>
      <c r="E316" s="2">
        <v>0</v>
      </c>
      <c r="F316" s="2">
        <v>0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 s="2">
        <v>0</v>
      </c>
      <c r="AD316" s="2">
        <v>0</v>
      </c>
      <c r="AE316" s="2">
        <v>0</v>
      </c>
      <c r="AF316" s="2">
        <v>0</v>
      </c>
      <c r="AG316" s="2">
        <v>0</v>
      </c>
      <c r="AH316" s="2">
        <v>0</v>
      </c>
      <c r="AI316" s="2">
        <v>0</v>
      </c>
      <c r="AJ316" s="2">
        <v>0</v>
      </c>
      <c r="AK316" s="2">
        <v>0</v>
      </c>
      <c r="AL316" s="2">
        <v>0</v>
      </c>
      <c r="AM316" s="2">
        <v>0</v>
      </c>
      <c r="AN316" s="2">
        <v>0</v>
      </c>
      <c r="AO316" s="2">
        <v>0</v>
      </c>
      <c r="AP316" s="2">
        <v>1</v>
      </c>
      <c r="AQ316" s="2">
        <v>0</v>
      </c>
      <c r="AR316" s="2">
        <v>0</v>
      </c>
      <c r="AS316" s="2">
        <v>0</v>
      </c>
      <c r="AT316" s="2">
        <v>0</v>
      </c>
      <c r="AU316" s="2">
        <v>0</v>
      </c>
      <c r="AV316" s="2">
        <v>0</v>
      </c>
      <c r="AW316" s="2">
        <v>0</v>
      </c>
      <c r="AX316" s="2">
        <v>0</v>
      </c>
      <c r="AY316" s="2">
        <v>0</v>
      </c>
      <c r="AZ316" s="2">
        <v>0</v>
      </c>
    </row>
    <row r="317" spans="1:52">
      <c r="A317" s="2">
        <v>316</v>
      </c>
      <c r="B317" s="2" t="s">
        <v>100</v>
      </c>
      <c r="C317" s="2" t="s">
        <v>100</v>
      </c>
      <c r="D317" s="2">
        <v>0</v>
      </c>
      <c r="E317" s="2">
        <v>1</v>
      </c>
      <c r="F317" s="2">
        <v>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2">
        <v>0</v>
      </c>
      <c r="AP317" s="2">
        <v>0</v>
      </c>
      <c r="AQ317" s="2">
        <v>0</v>
      </c>
      <c r="AR317" s="2">
        <v>0</v>
      </c>
      <c r="AS317" s="2">
        <v>0</v>
      </c>
      <c r="AT317" s="2">
        <v>0</v>
      </c>
      <c r="AU317" s="2">
        <v>0</v>
      </c>
      <c r="AV317" s="2">
        <v>0</v>
      </c>
      <c r="AW317" s="2">
        <v>0</v>
      </c>
      <c r="AX317" s="2">
        <v>0</v>
      </c>
      <c r="AY317" s="2">
        <v>0</v>
      </c>
      <c r="AZ317" s="2">
        <v>0</v>
      </c>
    </row>
    <row r="318" spans="1:52">
      <c r="A318" s="2">
        <v>317</v>
      </c>
      <c r="B318" s="2" t="s">
        <v>28</v>
      </c>
      <c r="C318" s="2" t="s">
        <v>28</v>
      </c>
      <c r="D318" s="2">
        <v>0</v>
      </c>
      <c r="E318" s="2">
        <v>0</v>
      </c>
      <c r="F318" s="2">
        <v>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1.6E-2</v>
      </c>
      <c r="Y318" s="2">
        <v>0.19700000000000001</v>
      </c>
      <c r="Z318" s="2">
        <v>0.78700000000000003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2">
        <v>0</v>
      </c>
      <c r="AP318" s="2">
        <v>0</v>
      </c>
      <c r="AQ318" s="2">
        <v>0</v>
      </c>
      <c r="AR318" s="2">
        <v>0</v>
      </c>
      <c r="AS318" s="2">
        <v>0</v>
      </c>
      <c r="AT318" s="2">
        <v>0</v>
      </c>
      <c r="AU318" s="2">
        <v>0</v>
      </c>
      <c r="AV318" s="2">
        <v>0</v>
      </c>
      <c r="AW318" s="2">
        <v>0</v>
      </c>
      <c r="AX318" s="2">
        <v>0</v>
      </c>
      <c r="AY318" s="2">
        <v>0</v>
      </c>
      <c r="AZ318" s="2">
        <v>0</v>
      </c>
    </row>
    <row r="319" spans="1:52">
      <c r="A319" s="2">
        <v>318</v>
      </c>
      <c r="B319" s="2" t="s">
        <v>117</v>
      </c>
      <c r="C319" s="2" t="s">
        <v>117</v>
      </c>
      <c r="D319" s="2">
        <v>0</v>
      </c>
      <c r="E319" s="2">
        <v>0</v>
      </c>
      <c r="F319" s="2">
        <v>0</v>
      </c>
      <c r="G319" s="2">
        <v>0</v>
      </c>
      <c r="H319" s="2">
        <v>0</v>
      </c>
      <c r="I319" s="2">
        <v>0</v>
      </c>
      <c r="J319" s="2">
        <v>0</v>
      </c>
      <c r="K319" s="2">
        <v>1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2">
        <v>0</v>
      </c>
      <c r="AP319" s="2">
        <v>0</v>
      </c>
      <c r="AQ319" s="2">
        <v>0</v>
      </c>
      <c r="AR319" s="2">
        <v>0</v>
      </c>
      <c r="AS319" s="2">
        <v>0</v>
      </c>
      <c r="AT319" s="2">
        <v>0</v>
      </c>
      <c r="AU319" s="2">
        <v>0</v>
      </c>
      <c r="AV319" s="2">
        <v>0</v>
      </c>
      <c r="AW319" s="2">
        <v>0</v>
      </c>
      <c r="AX319" s="2">
        <v>0</v>
      </c>
      <c r="AY319" s="2">
        <v>0</v>
      </c>
      <c r="AZ319" s="2">
        <v>0</v>
      </c>
    </row>
    <row r="320" spans="1:52">
      <c r="A320" s="2">
        <v>319</v>
      </c>
      <c r="B320" s="2" t="s">
        <v>41</v>
      </c>
      <c r="C320" s="2" t="s">
        <v>41</v>
      </c>
      <c r="D320" s="2">
        <v>0</v>
      </c>
      <c r="E320" s="2">
        <v>0</v>
      </c>
      <c r="F320" s="2">
        <v>0</v>
      </c>
      <c r="G320" s="2">
        <v>1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2">
        <v>0</v>
      </c>
      <c r="AP320" s="2">
        <v>0</v>
      </c>
      <c r="AQ320" s="2">
        <v>0</v>
      </c>
      <c r="AR320" s="2">
        <v>0</v>
      </c>
      <c r="AS320" s="2">
        <v>0</v>
      </c>
      <c r="AT320" s="2">
        <v>0</v>
      </c>
      <c r="AU320" s="2">
        <v>0</v>
      </c>
      <c r="AV320" s="2">
        <v>0</v>
      </c>
      <c r="AW320" s="2">
        <v>0</v>
      </c>
      <c r="AX320" s="2">
        <v>0</v>
      </c>
      <c r="AY320" s="2">
        <v>0</v>
      </c>
      <c r="AZ320" s="2">
        <v>0</v>
      </c>
    </row>
    <row r="321" spans="1:52">
      <c r="A321" s="2">
        <v>320</v>
      </c>
      <c r="B321" s="2" t="s">
        <v>376</v>
      </c>
      <c r="C321" s="2" t="s">
        <v>376</v>
      </c>
      <c r="D321" s="2">
        <v>0</v>
      </c>
      <c r="E321" s="2">
        <v>0</v>
      </c>
      <c r="F321" s="2">
        <v>0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1E-3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2E-3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2">
        <v>0</v>
      </c>
      <c r="AP321" s="2">
        <v>0</v>
      </c>
      <c r="AQ321" s="2">
        <v>0.96399999999999997</v>
      </c>
      <c r="AR321" s="2">
        <v>3.3000000000000002E-2</v>
      </c>
      <c r="AS321" s="2">
        <v>0</v>
      </c>
      <c r="AT321" s="2">
        <v>0</v>
      </c>
      <c r="AU321" s="2">
        <v>0</v>
      </c>
      <c r="AV321" s="2">
        <v>0</v>
      </c>
      <c r="AW321" s="2">
        <v>0</v>
      </c>
      <c r="AX321" s="2">
        <v>0</v>
      </c>
      <c r="AY321" s="2">
        <v>0</v>
      </c>
      <c r="AZ321" s="2">
        <v>0</v>
      </c>
    </row>
    <row r="322" spans="1:52">
      <c r="A322" s="2">
        <v>321</v>
      </c>
      <c r="B322" s="2" t="s">
        <v>28</v>
      </c>
      <c r="C322" s="2" t="s">
        <v>28</v>
      </c>
      <c r="D322" s="2">
        <v>0</v>
      </c>
      <c r="E322" s="2">
        <v>0</v>
      </c>
      <c r="F322" s="2">
        <v>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1E-3</v>
      </c>
      <c r="Y322" s="2">
        <v>2E-3</v>
      </c>
      <c r="Z322" s="2">
        <v>0.997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2">
        <v>0</v>
      </c>
      <c r="AP322" s="2">
        <v>0</v>
      </c>
      <c r="AQ322" s="2">
        <v>0</v>
      </c>
      <c r="AR322" s="2">
        <v>0</v>
      </c>
      <c r="AS322" s="2">
        <v>0</v>
      </c>
      <c r="AT322" s="2">
        <v>0</v>
      </c>
      <c r="AU322" s="2">
        <v>0</v>
      </c>
      <c r="AV322" s="2">
        <v>0</v>
      </c>
      <c r="AW322" s="2">
        <v>0</v>
      </c>
      <c r="AX322" s="2">
        <v>0</v>
      </c>
      <c r="AY322" s="2">
        <v>0</v>
      </c>
      <c r="AZ322" s="2">
        <v>0</v>
      </c>
    </row>
    <row r="323" spans="1:52">
      <c r="A323" s="2">
        <v>322</v>
      </c>
      <c r="B323" s="2" t="s">
        <v>207</v>
      </c>
      <c r="C323" s="2" t="s">
        <v>207</v>
      </c>
      <c r="D323" s="2">
        <v>0</v>
      </c>
      <c r="E323" s="2">
        <v>0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3.0000000000000001E-3</v>
      </c>
      <c r="M323" s="2">
        <v>1E-3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7.0000000000000001E-3</v>
      </c>
      <c r="Y323" s="2">
        <v>0</v>
      </c>
      <c r="Z323" s="2">
        <v>2E-3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1E-3</v>
      </c>
      <c r="AK323" s="2">
        <v>0</v>
      </c>
      <c r="AL323" s="2">
        <v>1E-3</v>
      </c>
      <c r="AM323" s="2">
        <v>0</v>
      </c>
      <c r="AN323" s="2">
        <v>0</v>
      </c>
      <c r="AO323" s="2">
        <v>0</v>
      </c>
      <c r="AP323" s="2">
        <v>0</v>
      </c>
      <c r="AQ323" s="2">
        <v>0</v>
      </c>
      <c r="AR323" s="2">
        <v>1E-3</v>
      </c>
      <c r="AS323" s="2">
        <v>0</v>
      </c>
      <c r="AT323" s="2">
        <v>0</v>
      </c>
      <c r="AU323" s="2">
        <v>0</v>
      </c>
      <c r="AV323" s="2">
        <v>0.98399999999999999</v>
      </c>
      <c r="AW323" s="2">
        <v>0</v>
      </c>
      <c r="AX323" s="2">
        <v>0</v>
      </c>
      <c r="AY323" s="2">
        <v>0</v>
      </c>
      <c r="AZ323" s="2">
        <v>0</v>
      </c>
    </row>
    <row r="324" spans="1:52">
      <c r="A324" s="2">
        <v>323</v>
      </c>
      <c r="B324" s="2" t="s">
        <v>26</v>
      </c>
      <c r="C324" s="2" t="s">
        <v>26</v>
      </c>
      <c r="D324" s="2">
        <v>0</v>
      </c>
      <c r="E324" s="2">
        <v>0</v>
      </c>
      <c r="F324" s="2">
        <v>0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0</v>
      </c>
      <c r="V324" s="2">
        <v>0</v>
      </c>
      <c r="W324" s="2">
        <v>0.99299999999999999</v>
      </c>
      <c r="X324" s="2">
        <v>0</v>
      </c>
      <c r="Y324" s="2">
        <v>0</v>
      </c>
      <c r="Z324" s="2">
        <v>0</v>
      </c>
      <c r="AA324" s="2">
        <v>0</v>
      </c>
      <c r="AB324" s="2">
        <v>0</v>
      </c>
      <c r="AC324" s="2">
        <v>0</v>
      </c>
      <c r="AD324" s="2">
        <v>0</v>
      </c>
      <c r="AE324" s="2">
        <v>0</v>
      </c>
      <c r="AF324" s="2">
        <v>0</v>
      </c>
      <c r="AG324" s="2">
        <v>0</v>
      </c>
      <c r="AH324" s="2">
        <v>7.0000000000000001E-3</v>
      </c>
      <c r="AI324" s="2">
        <v>0</v>
      </c>
      <c r="AJ324" s="2">
        <v>0</v>
      </c>
      <c r="AK324" s="2">
        <v>0</v>
      </c>
      <c r="AL324" s="2">
        <v>0</v>
      </c>
      <c r="AM324" s="2">
        <v>0</v>
      </c>
      <c r="AN324" s="2">
        <v>0</v>
      </c>
      <c r="AO324" s="2">
        <v>0</v>
      </c>
      <c r="AP324" s="2">
        <v>0</v>
      </c>
      <c r="AQ324" s="2">
        <v>0</v>
      </c>
      <c r="AR324" s="2">
        <v>0</v>
      </c>
      <c r="AS324" s="2">
        <v>0</v>
      </c>
      <c r="AT324" s="2">
        <v>0</v>
      </c>
      <c r="AU324" s="2">
        <v>0</v>
      </c>
      <c r="AV324" s="2">
        <v>0</v>
      </c>
      <c r="AW324" s="2">
        <v>0</v>
      </c>
      <c r="AX324" s="2">
        <v>0</v>
      </c>
      <c r="AY324" s="2">
        <v>0</v>
      </c>
      <c r="AZ324" s="2">
        <v>0</v>
      </c>
    </row>
    <row r="325" spans="1:52">
      <c r="A325" s="2">
        <v>324</v>
      </c>
      <c r="B325" s="2" t="s">
        <v>41</v>
      </c>
      <c r="C325" s="2" t="s">
        <v>41</v>
      </c>
      <c r="D325" s="2">
        <v>0</v>
      </c>
      <c r="E325" s="2">
        <v>0</v>
      </c>
      <c r="F325" s="2">
        <v>0</v>
      </c>
      <c r="G325" s="2">
        <v>1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2">
        <v>0</v>
      </c>
      <c r="AB325" s="2">
        <v>0</v>
      </c>
      <c r="AC325" s="2">
        <v>0</v>
      </c>
      <c r="AD325" s="2">
        <v>0</v>
      </c>
      <c r="AE325" s="2">
        <v>0</v>
      </c>
      <c r="AF325" s="2">
        <v>0</v>
      </c>
      <c r="AG325" s="2">
        <v>0</v>
      </c>
      <c r="AH325" s="2">
        <v>0</v>
      </c>
      <c r="AI325" s="2">
        <v>0</v>
      </c>
      <c r="AJ325" s="2">
        <v>0</v>
      </c>
      <c r="AK325" s="2">
        <v>0</v>
      </c>
      <c r="AL325" s="2">
        <v>0</v>
      </c>
      <c r="AM325" s="2">
        <v>0</v>
      </c>
      <c r="AN325" s="2">
        <v>0</v>
      </c>
      <c r="AO325" s="2">
        <v>0</v>
      </c>
      <c r="AP325" s="2">
        <v>0</v>
      </c>
      <c r="AQ325" s="2">
        <v>0</v>
      </c>
      <c r="AR325" s="2">
        <v>0</v>
      </c>
      <c r="AS325" s="2">
        <v>0</v>
      </c>
      <c r="AT325" s="2">
        <v>0</v>
      </c>
      <c r="AU325" s="2">
        <v>0</v>
      </c>
      <c r="AV325" s="2">
        <v>0</v>
      </c>
      <c r="AW325" s="2">
        <v>0</v>
      </c>
      <c r="AX325" s="2">
        <v>0</v>
      </c>
      <c r="AY325" s="2">
        <v>0</v>
      </c>
      <c r="AZ325" s="2">
        <v>0</v>
      </c>
    </row>
    <row r="326" spans="1:52">
      <c r="A326" s="2">
        <v>325</v>
      </c>
      <c r="B326" s="2" t="s">
        <v>129</v>
      </c>
      <c r="C326" s="2" t="s">
        <v>129</v>
      </c>
      <c r="D326" s="2">
        <v>0</v>
      </c>
      <c r="E326" s="2">
        <v>0</v>
      </c>
      <c r="F326" s="2">
        <v>0</v>
      </c>
      <c r="G326" s="2">
        <v>0</v>
      </c>
      <c r="H326" s="2">
        <v>1E-3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0.91</v>
      </c>
      <c r="O326" s="2">
        <v>0</v>
      </c>
      <c r="P326" s="2">
        <v>0</v>
      </c>
      <c r="Q326" s="2">
        <v>0</v>
      </c>
      <c r="R326" s="2">
        <v>0</v>
      </c>
      <c r="S326" s="2">
        <v>0</v>
      </c>
      <c r="T326" s="2">
        <v>8.8999999999999996E-2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2">
        <v>0</v>
      </c>
      <c r="AP326" s="2">
        <v>0</v>
      </c>
      <c r="AQ326" s="2">
        <v>0</v>
      </c>
      <c r="AR326" s="2">
        <v>0</v>
      </c>
      <c r="AS326" s="2">
        <v>0</v>
      </c>
      <c r="AT326" s="2">
        <v>0</v>
      </c>
      <c r="AU326" s="2">
        <v>0</v>
      </c>
      <c r="AV326" s="2">
        <v>0</v>
      </c>
      <c r="AW326" s="2">
        <v>0</v>
      </c>
      <c r="AX326" s="2">
        <v>0</v>
      </c>
      <c r="AY326" s="2">
        <v>0</v>
      </c>
      <c r="AZ326" s="2">
        <v>0</v>
      </c>
    </row>
    <row r="327" spans="1:52">
      <c r="A327" s="2">
        <v>326</v>
      </c>
      <c r="B327" s="2" t="s">
        <v>91</v>
      </c>
      <c r="C327" s="2" t="s">
        <v>91</v>
      </c>
      <c r="D327" s="2">
        <v>0</v>
      </c>
      <c r="E327" s="2">
        <v>1E-3</v>
      </c>
      <c r="F327" s="2">
        <v>0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0.67800000000000005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0.32100000000000001</v>
      </c>
      <c r="AL327" s="2">
        <v>0</v>
      </c>
      <c r="AM327" s="2">
        <v>0</v>
      </c>
      <c r="AN327" s="2">
        <v>0</v>
      </c>
      <c r="AO327" s="2">
        <v>0</v>
      </c>
      <c r="AP327" s="2">
        <v>0</v>
      </c>
      <c r="AQ327" s="2">
        <v>0</v>
      </c>
      <c r="AR327" s="2">
        <v>0</v>
      </c>
      <c r="AS327" s="2">
        <v>0</v>
      </c>
      <c r="AT327" s="2">
        <v>0</v>
      </c>
      <c r="AU327" s="2">
        <v>0</v>
      </c>
      <c r="AV327" s="2">
        <v>0</v>
      </c>
      <c r="AW327" s="2">
        <v>0</v>
      </c>
      <c r="AX327" s="2">
        <v>0</v>
      </c>
      <c r="AY327" s="2">
        <v>0</v>
      </c>
      <c r="AZ327" s="2">
        <v>0</v>
      </c>
    </row>
    <row r="328" spans="1:52">
      <c r="A328" s="2">
        <v>327</v>
      </c>
      <c r="B328" s="2" t="s">
        <v>47</v>
      </c>
      <c r="C328" s="2" t="s">
        <v>47</v>
      </c>
      <c r="D328" s="2">
        <v>0</v>
      </c>
      <c r="E328" s="2">
        <v>0</v>
      </c>
      <c r="F328" s="2">
        <v>0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1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0</v>
      </c>
      <c r="V328" s="2">
        <v>0</v>
      </c>
      <c r="W328" s="2">
        <v>0</v>
      </c>
      <c r="X328" s="2">
        <v>0</v>
      </c>
      <c r="Y328" s="2">
        <v>0</v>
      </c>
      <c r="Z328" s="2">
        <v>0</v>
      </c>
      <c r="AA328" s="2">
        <v>0</v>
      </c>
      <c r="AB328" s="2">
        <v>0</v>
      </c>
      <c r="AC328" s="2">
        <v>0</v>
      </c>
      <c r="AD328" s="2">
        <v>0</v>
      </c>
      <c r="AE328" s="2">
        <v>0</v>
      </c>
      <c r="AF328" s="2">
        <v>0</v>
      </c>
      <c r="AG328" s="2">
        <v>0</v>
      </c>
      <c r="AH328" s="2">
        <v>0</v>
      </c>
      <c r="AI328" s="2">
        <v>0</v>
      </c>
      <c r="AJ328" s="2">
        <v>0</v>
      </c>
      <c r="AK328" s="2">
        <v>0</v>
      </c>
      <c r="AL328" s="2">
        <v>0</v>
      </c>
      <c r="AM328" s="2">
        <v>0</v>
      </c>
      <c r="AN328" s="2">
        <v>0</v>
      </c>
      <c r="AO328" s="2">
        <v>0</v>
      </c>
      <c r="AP328" s="2">
        <v>0</v>
      </c>
      <c r="AQ328" s="2">
        <v>0</v>
      </c>
      <c r="AR328" s="2">
        <v>0</v>
      </c>
      <c r="AS328" s="2">
        <v>0</v>
      </c>
      <c r="AT328" s="2">
        <v>0</v>
      </c>
      <c r="AU328" s="2">
        <v>0</v>
      </c>
      <c r="AV328" s="2">
        <v>0</v>
      </c>
      <c r="AW328" s="2">
        <v>0</v>
      </c>
      <c r="AX328" s="2">
        <v>0</v>
      </c>
      <c r="AY328" s="2">
        <v>0</v>
      </c>
      <c r="AZ328" s="2">
        <v>0</v>
      </c>
    </row>
    <row r="329" spans="1:52">
      <c r="A329" s="2">
        <v>328</v>
      </c>
      <c r="B329" s="2" t="s">
        <v>298</v>
      </c>
      <c r="C329" s="2" t="s">
        <v>298</v>
      </c>
      <c r="D329" s="2">
        <v>0</v>
      </c>
      <c r="E329" s="2">
        <v>0</v>
      </c>
      <c r="F329" s="2">
        <v>0</v>
      </c>
      <c r="G329" s="2">
        <v>0</v>
      </c>
      <c r="H329" s="2">
        <v>0</v>
      </c>
      <c r="I329" s="2">
        <v>0.999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2">
        <v>0</v>
      </c>
      <c r="AB329" s="2">
        <v>0</v>
      </c>
      <c r="AC329" s="2">
        <v>0</v>
      </c>
      <c r="AD329" s="2">
        <v>0</v>
      </c>
      <c r="AE329" s="2">
        <v>0</v>
      </c>
      <c r="AF329" s="2">
        <v>0</v>
      </c>
      <c r="AG329" s="2">
        <v>0</v>
      </c>
      <c r="AH329" s="2">
        <v>0</v>
      </c>
      <c r="AI329" s="2">
        <v>0</v>
      </c>
      <c r="AJ329" s="2">
        <v>0</v>
      </c>
      <c r="AK329" s="2">
        <v>0</v>
      </c>
      <c r="AL329" s="2">
        <v>0</v>
      </c>
      <c r="AM329" s="2">
        <v>0</v>
      </c>
      <c r="AN329" s="2">
        <v>0</v>
      </c>
      <c r="AO329" s="2">
        <v>0</v>
      </c>
      <c r="AP329" s="2">
        <v>0</v>
      </c>
      <c r="AQ329" s="2">
        <v>1E-3</v>
      </c>
      <c r="AR329" s="2">
        <v>0</v>
      </c>
      <c r="AS329" s="2">
        <v>0</v>
      </c>
      <c r="AT329" s="2">
        <v>0</v>
      </c>
      <c r="AU329" s="2">
        <v>0</v>
      </c>
      <c r="AV329" s="2">
        <v>0</v>
      </c>
      <c r="AW329" s="2">
        <v>0</v>
      </c>
      <c r="AX329" s="2">
        <v>0</v>
      </c>
      <c r="AY329" s="2">
        <v>0</v>
      </c>
      <c r="AZ329" s="2">
        <v>0</v>
      </c>
    </row>
    <row r="330" spans="1:52">
      <c r="A330" s="2">
        <v>329</v>
      </c>
      <c r="B330" s="2" t="s">
        <v>26</v>
      </c>
      <c r="C330" s="2" t="s">
        <v>26</v>
      </c>
      <c r="D330" s="2">
        <v>0</v>
      </c>
      <c r="E330" s="2">
        <v>0</v>
      </c>
      <c r="F330" s="2">
        <v>0</v>
      </c>
      <c r="G330" s="2">
        <v>0</v>
      </c>
      <c r="H330" s="2">
        <v>0</v>
      </c>
      <c r="I330" s="2">
        <v>7.0000000000000001E-3</v>
      </c>
      <c r="J330" s="2">
        <v>0</v>
      </c>
      <c r="K330" s="2">
        <v>0</v>
      </c>
      <c r="L330" s="2">
        <v>1E-3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0</v>
      </c>
      <c r="V330" s="2">
        <v>0.19500000000000001</v>
      </c>
      <c r="W330" s="2">
        <v>0.78900000000000003</v>
      </c>
      <c r="X330" s="2">
        <v>1E-3</v>
      </c>
      <c r="Y330" s="2">
        <v>0</v>
      </c>
      <c r="Z330" s="2">
        <v>0</v>
      </c>
      <c r="AA330" s="2">
        <v>0</v>
      </c>
      <c r="AB330" s="2">
        <v>0</v>
      </c>
      <c r="AC330" s="2">
        <v>0</v>
      </c>
      <c r="AD330" s="2">
        <v>0</v>
      </c>
      <c r="AE330" s="2">
        <v>7.0000000000000001E-3</v>
      </c>
      <c r="AF330" s="2">
        <v>0</v>
      </c>
      <c r="AG330" s="2">
        <v>0</v>
      </c>
      <c r="AH330" s="2">
        <v>0</v>
      </c>
      <c r="AI330" s="2">
        <v>0</v>
      </c>
      <c r="AJ330" s="2">
        <v>0</v>
      </c>
      <c r="AK330" s="2">
        <v>0</v>
      </c>
      <c r="AL330" s="2">
        <v>0</v>
      </c>
      <c r="AM330" s="2">
        <v>0</v>
      </c>
      <c r="AN330" s="2">
        <v>0</v>
      </c>
      <c r="AO330" s="2">
        <v>0</v>
      </c>
      <c r="AP330" s="2">
        <v>0</v>
      </c>
      <c r="AQ330" s="2">
        <v>0</v>
      </c>
      <c r="AR330" s="2">
        <v>0</v>
      </c>
      <c r="AS330" s="2">
        <v>0</v>
      </c>
      <c r="AT330" s="2">
        <v>0</v>
      </c>
      <c r="AU330" s="2">
        <v>0</v>
      </c>
      <c r="AV330" s="2">
        <v>0</v>
      </c>
      <c r="AW330" s="2">
        <v>0</v>
      </c>
      <c r="AX330" s="2">
        <v>0</v>
      </c>
      <c r="AY330" s="2">
        <v>0</v>
      </c>
      <c r="AZ330" s="2">
        <v>0</v>
      </c>
    </row>
    <row r="331" spans="1:52">
      <c r="A331" s="2">
        <v>330</v>
      </c>
      <c r="B331" s="2" t="s">
        <v>63</v>
      </c>
      <c r="C331" s="2" t="s">
        <v>63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0.96199999999999997</v>
      </c>
      <c r="AG331" s="2">
        <v>1E-3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2">
        <v>0</v>
      </c>
      <c r="AP331" s="2">
        <v>0</v>
      </c>
      <c r="AQ331" s="2">
        <v>0</v>
      </c>
      <c r="AR331" s="2">
        <v>0</v>
      </c>
      <c r="AS331" s="2">
        <v>0</v>
      </c>
      <c r="AT331" s="2">
        <v>0</v>
      </c>
      <c r="AU331" s="2">
        <v>0</v>
      </c>
      <c r="AV331" s="2">
        <v>0</v>
      </c>
      <c r="AW331" s="2">
        <v>0</v>
      </c>
      <c r="AX331" s="2">
        <v>0</v>
      </c>
      <c r="AY331" s="2">
        <v>0</v>
      </c>
      <c r="AZ331" s="2">
        <v>3.6999999999999998E-2</v>
      </c>
    </row>
    <row r="332" spans="1:52">
      <c r="A332" s="2">
        <v>331</v>
      </c>
      <c r="B332" s="2" t="s">
        <v>41</v>
      </c>
      <c r="C332" s="2" t="s">
        <v>41</v>
      </c>
      <c r="D332" s="2">
        <v>0</v>
      </c>
      <c r="E332" s="2">
        <v>0</v>
      </c>
      <c r="F332" s="2">
        <v>0</v>
      </c>
      <c r="G332" s="2">
        <v>1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2">
        <v>0</v>
      </c>
      <c r="AP332" s="2">
        <v>0</v>
      </c>
      <c r="AQ332" s="2">
        <v>0</v>
      </c>
      <c r="AR332" s="2">
        <v>0</v>
      </c>
      <c r="AS332" s="2">
        <v>0</v>
      </c>
      <c r="AT332" s="2">
        <v>0</v>
      </c>
      <c r="AU332" s="2">
        <v>0</v>
      </c>
      <c r="AV332" s="2">
        <v>0</v>
      </c>
      <c r="AW332" s="2">
        <v>0</v>
      </c>
      <c r="AX332" s="2">
        <v>0</v>
      </c>
      <c r="AY332" s="2">
        <v>0</v>
      </c>
      <c r="AZ332" s="2">
        <v>0</v>
      </c>
    </row>
    <row r="333" spans="1:52">
      <c r="A333" s="2">
        <v>332</v>
      </c>
      <c r="B333" s="2" t="s">
        <v>132</v>
      </c>
      <c r="C333" s="2" t="s">
        <v>132</v>
      </c>
      <c r="D333" s="2">
        <v>0</v>
      </c>
      <c r="E333" s="2">
        <v>0</v>
      </c>
      <c r="F333" s="2">
        <v>0</v>
      </c>
      <c r="G333" s="2">
        <v>0</v>
      </c>
      <c r="H333" s="2">
        <v>0</v>
      </c>
      <c r="I333" s="2">
        <v>2E-3</v>
      </c>
      <c r="J333" s="2">
        <v>0</v>
      </c>
      <c r="K333" s="2">
        <v>1E-3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3.0000000000000001E-3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6.0000000000000001E-3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1E-3</v>
      </c>
      <c r="AF333" s="2">
        <v>4.0000000000000001E-3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2">
        <v>0</v>
      </c>
      <c r="AP333" s="2">
        <v>0</v>
      </c>
      <c r="AQ333" s="2">
        <v>0</v>
      </c>
      <c r="AR333" s="2">
        <v>1E-3</v>
      </c>
      <c r="AS333" s="2">
        <v>0</v>
      </c>
      <c r="AT333" s="2">
        <v>0</v>
      </c>
      <c r="AU333" s="2">
        <v>0</v>
      </c>
      <c r="AV333" s="2">
        <v>0</v>
      </c>
      <c r="AW333" s="2">
        <v>1E-3</v>
      </c>
      <c r="AX333" s="2">
        <v>0.98099999999999998</v>
      </c>
      <c r="AY333" s="2">
        <v>0</v>
      </c>
      <c r="AZ333" s="2">
        <v>0</v>
      </c>
    </row>
    <row r="334" spans="1:52">
      <c r="A334" s="2">
        <v>333</v>
      </c>
      <c r="B334" s="2" t="s">
        <v>41</v>
      </c>
      <c r="C334" s="2" t="s">
        <v>41</v>
      </c>
      <c r="D334" s="2">
        <v>0</v>
      </c>
      <c r="E334" s="2">
        <v>0</v>
      </c>
      <c r="F334" s="2">
        <v>0</v>
      </c>
      <c r="G334" s="2">
        <v>1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2">
        <v>0</v>
      </c>
      <c r="AP334" s="2">
        <v>0</v>
      </c>
      <c r="AQ334" s="2">
        <v>0</v>
      </c>
      <c r="AR334" s="2">
        <v>0</v>
      </c>
      <c r="AS334" s="2">
        <v>0</v>
      </c>
      <c r="AT334" s="2">
        <v>0</v>
      </c>
      <c r="AU334" s="2">
        <v>0</v>
      </c>
      <c r="AV334" s="2">
        <v>0</v>
      </c>
      <c r="AW334" s="2">
        <v>0</v>
      </c>
      <c r="AX334" s="2">
        <v>0</v>
      </c>
      <c r="AY334" s="2">
        <v>0</v>
      </c>
      <c r="AZ334" s="2">
        <v>0</v>
      </c>
    </row>
    <row r="335" spans="1:52">
      <c r="A335" s="2">
        <v>334</v>
      </c>
      <c r="B335" s="2" t="s">
        <v>79</v>
      </c>
      <c r="C335" s="2" t="s">
        <v>79</v>
      </c>
      <c r="D335" s="2">
        <v>0</v>
      </c>
      <c r="E335" s="2">
        <v>0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1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2">
        <v>0</v>
      </c>
      <c r="AP335" s="2">
        <v>0</v>
      </c>
      <c r="AQ335" s="2">
        <v>0</v>
      </c>
      <c r="AR335" s="2">
        <v>0</v>
      </c>
      <c r="AS335" s="2">
        <v>0</v>
      </c>
      <c r="AT335" s="2">
        <v>0</v>
      </c>
      <c r="AU335" s="2">
        <v>0</v>
      </c>
      <c r="AV335" s="2">
        <v>0</v>
      </c>
      <c r="AW335" s="2">
        <v>0</v>
      </c>
      <c r="AX335" s="2">
        <v>0</v>
      </c>
      <c r="AY335" s="2">
        <v>0</v>
      </c>
      <c r="AZ335" s="2">
        <v>0</v>
      </c>
    </row>
    <row r="336" spans="1:52">
      <c r="A336" s="2">
        <v>335</v>
      </c>
      <c r="B336" s="2" t="s">
        <v>152</v>
      </c>
      <c r="C336" s="2" t="s">
        <v>152</v>
      </c>
      <c r="D336" s="2">
        <v>0</v>
      </c>
      <c r="E336" s="2">
        <v>0</v>
      </c>
      <c r="F336" s="2">
        <v>0</v>
      </c>
      <c r="G336" s="2">
        <v>0</v>
      </c>
      <c r="H336" s="2">
        <v>0</v>
      </c>
      <c r="I336" s="2">
        <v>0</v>
      </c>
      <c r="J336" s="2">
        <v>0</v>
      </c>
      <c r="K336" s="2">
        <v>0</v>
      </c>
      <c r="L336" s="2">
        <v>3.0000000000000001E-3</v>
      </c>
      <c r="M336" s="2">
        <v>7.0000000000000001E-3</v>
      </c>
      <c r="N336" s="2">
        <v>0</v>
      </c>
      <c r="O336" s="2">
        <v>0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0</v>
      </c>
      <c r="V336" s="2">
        <v>0</v>
      </c>
      <c r="W336" s="2">
        <v>2E-3</v>
      </c>
      <c r="X336" s="2">
        <v>0</v>
      </c>
      <c r="Y336" s="2">
        <v>0</v>
      </c>
      <c r="Z336" s="2">
        <v>0</v>
      </c>
      <c r="AA336" s="2">
        <v>0</v>
      </c>
      <c r="AB336" s="2">
        <v>0</v>
      </c>
      <c r="AC336" s="2">
        <v>0</v>
      </c>
      <c r="AD336" s="2">
        <v>3.5000000000000003E-2</v>
      </c>
      <c r="AE336" s="2">
        <v>0</v>
      </c>
      <c r="AF336" s="2">
        <v>0</v>
      </c>
      <c r="AG336" s="2">
        <v>0</v>
      </c>
      <c r="AH336" s="2">
        <v>0</v>
      </c>
      <c r="AI336" s="2">
        <v>0</v>
      </c>
      <c r="AJ336" s="2">
        <v>0</v>
      </c>
      <c r="AK336" s="2">
        <v>0</v>
      </c>
      <c r="AL336" s="2">
        <v>0.95299999999999996</v>
      </c>
      <c r="AM336" s="2">
        <v>0</v>
      </c>
      <c r="AN336" s="2">
        <v>0</v>
      </c>
      <c r="AO336" s="2">
        <v>0</v>
      </c>
      <c r="AP336" s="2">
        <v>0</v>
      </c>
      <c r="AQ336" s="2">
        <v>0</v>
      </c>
      <c r="AR336" s="2">
        <v>0</v>
      </c>
      <c r="AS336" s="2">
        <v>0</v>
      </c>
      <c r="AT336" s="2">
        <v>0</v>
      </c>
      <c r="AU336" s="2">
        <v>0</v>
      </c>
      <c r="AV336" s="2">
        <v>0</v>
      </c>
      <c r="AW336" s="2">
        <v>0</v>
      </c>
      <c r="AX336" s="2">
        <v>0</v>
      </c>
      <c r="AY336" s="2">
        <v>0</v>
      </c>
      <c r="AZ336" s="2">
        <v>0</v>
      </c>
    </row>
    <row r="337" spans="1:52">
      <c r="A337" s="2">
        <v>336</v>
      </c>
      <c r="B337" s="2" t="s">
        <v>41</v>
      </c>
      <c r="C337" s="2" t="s">
        <v>41</v>
      </c>
      <c r="D337" s="2">
        <v>0</v>
      </c>
      <c r="E337" s="2">
        <v>0</v>
      </c>
      <c r="F337" s="2">
        <v>0</v>
      </c>
      <c r="G337" s="2">
        <v>1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2">
        <v>0</v>
      </c>
      <c r="AP337" s="2">
        <v>0</v>
      </c>
      <c r="AQ337" s="2">
        <v>0</v>
      </c>
      <c r="AR337" s="2">
        <v>0</v>
      </c>
      <c r="AS337" s="2">
        <v>0</v>
      </c>
      <c r="AT337" s="2">
        <v>0</v>
      </c>
      <c r="AU337" s="2">
        <v>0</v>
      </c>
      <c r="AV337" s="2">
        <v>0</v>
      </c>
      <c r="AW337" s="2">
        <v>0</v>
      </c>
      <c r="AX337" s="2">
        <v>0</v>
      </c>
      <c r="AY337" s="2">
        <v>0</v>
      </c>
      <c r="AZ337" s="2">
        <v>0</v>
      </c>
    </row>
    <row r="338" spans="1:52">
      <c r="A338" s="2">
        <v>337</v>
      </c>
      <c r="B338" s="2" t="s">
        <v>79</v>
      </c>
      <c r="C338" s="2" t="s">
        <v>79</v>
      </c>
      <c r="D338" s="2">
        <v>0</v>
      </c>
      <c r="E338" s="2">
        <v>0</v>
      </c>
      <c r="F338" s="2">
        <v>0</v>
      </c>
      <c r="G338" s="2">
        <v>0</v>
      </c>
      <c r="H338" s="2">
        <v>3.5999999999999997E-2</v>
      </c>
      <c r="I338" s="2">
        <v>0</v>
      </c>
      <c r="J338" s="2">
        <v>2E-3</v>
      </c>
      <c r="K338" s="2">
        <v>2.7E-2</v>
      </c>
      <c r="L338" s="2">
        <v>0</v>
      </c>
      <c r="M338" s="2">
        <v>0</v>
      </c>
      <c r="N338" s="2">
        <v>5.0000000000000001E-3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0.93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2">
        <v>0</v>
      </c>
      <c r="AP338" s="2">
        <v>0</v>
      </c>
      <c r="AQ338" s="2">
        <v>0</v>
      </c>
      <c r="AR338" s="2">
        <v>0</v>
      </c>
      <c r="AS338" s="2">
        <v>0</v>
      </c>
      <c r="AT338" s="2">
        <v>0</v>
      </c>
      <c r="AU338" s="2">
        <v>0</v>
      </c>
      <c r="AV338" s="2">
        <v>0</v>
      </c>
      <c r="AW338" s="2">
        <v>0</v>
      </c>
      <c r="AX338" s="2">
        <v>0</v>
      </c>
      <c r="AY338" s="2">
        <v>0</v>
      </c>
      <c r="AZ338" s="2">
        <v>0</v>
      </c>
    </row>
    <row r="339" spans="1:52">
      <c r="A339" s="2">
        <v>338</v>
      </c>
      <c r="B339" s="2" t="s">
        <v>278</v>
      </c>
      <c r="C339" s="2" t="s">
        <v>278</v>
      </c>
      <c r="D339" s="2">
        <v>0</v>
      </c>
      <c r="E339" s="2">
        <v>0</v>
      </c>
      <c r="F339" s="2">
        <v>0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5.0000000000000001E-3</v>
      </c>
      <c r="AG339" s="2">
        <v>0.84399999999999997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2">
        <v>0</v>
      </c>
      <c r="AP339" s="2">
        <v>0</v>
      </c>
      <c r="AQ339" s="2">
        <v>0</v>
      </c>
      <c r="AR339" s="2">
        <v>0</v>
      </c>
      <c r="AS339" s="2">
        <v>0</v>
      </c>
      <c r="AT339" s="2">
        <v>0</v>
      </c>
      <c r="AU339" s="2">
        <v>0</v>
      </c>
      <c r="AV339" s="2">
        <v>0</v>
      </c>
      <c r="AW339" s="2">
        <v>0</v>
      </c>
      <c r="AX339" s="2">
        <v>0</v>
      </c>
      <c r="AY339" s="2">
        <v>0</v>
      </c>
      <c r="AZ339" s="2">
        <v>0.151</v>
      </c>
    </row>
    <row r="340" spans="1:52">
      <c r="A340" s="2">
        <v>339</v>
      </c>
      <c r="B340" s="2" t="s">
        <v>74</v>
      </c>
      <c r="C340" s="2" t="s">
        <v>74</v>
      </c>
      <c r="D340" s="2">
        <v>0</v>
      </c>
      <c r="E340" s="2">
        <v>0</v>
      </c>
      <c r="F340" s="2">
        <v>0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2">
        <v>0</v>
      </c>
      <c r="AP340" s="2">
        <v>0</v>
      </c>
      <c r="AQ340" s="2">
        <v>0</v>
      </c>
      <c r="AR340" s="2">
        <v>0</v>
      </c>
      <c r="AS340" s="2">
        <v>5.0000000000000001E-3</v>
      </c>
      <c r="AT340" s="2">
        <v>8.9999999999999993E-3</v>
      </c>
      <c r="AU340" s="2">
        <v>0.98599999999999999</v>
      </c>
      <c r="AV340" s="2">
        <v>0</v>
      </c>
      <c r="AW340" s="2">
        <v>0</v>
      </c>
      <c r="AX340" s="2">
        <v>0</v>
      </c>
      <c r="AY340" s="2">
        <v>0</v>
      </c>
      <c r="AZ340" s="2">
        <v>0</v>
      </c>
    </row>
    <row r="341" spans="1:52">
      <c r="A341" s="2">
        <v>340</v>
      </c>
      <c r="B341" s="2" t="s">
        <v>207</v>
      </c>
      <c r="C341" s="2" t="s">
        <v>207</v>
      </c>
      <c r="D341" s="2">
        <v>0</v>
      </c>
      <c r="E341" s="2">
        <v>0</v>
      </c>
      <c r="F341" s="2">
        <v>0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3.0000000000000001E-3</v>
      </c>
      <c r="M341" s="2">
        <v>1E-3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6.0000000000000001E-3</v>
      </c>
      <c r="Y341" s="2">
        <v>0</v>
      </c>
      <c r="Z341" s="2">
        <v>2E-3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2">
        <v>0</v>
      </c>
      <c r="AP341" s="2">
        <v>0</v>
      </c>
      <c r="AQ341" s="2">
        <v>0</v>
      </c>
      <c r="AR341" s="2">
        <v>1E-3</v>
      </c>
      <c r="AS341" s="2">
        <v>0</v>
      </c>
      <c r="AT341" s="2">
        <v>0</v>
      </c>
      <c r="AU341" s="2">
        <v>0</v>
      </c>
      <c r="AV341" s="2">
        <v>0.98699999999999999</v>
      </c>
      <c r="AW341" s="2">
        <v>0</v>
      </c>
      <c r="AX341" s="2">
        <v>0</v>
      </c>
      <c r="AY341" s="2">
        <v>0</v>
      </c>
      <c r="AZ341" s="2">
        <v>0</v>
      </c>
    </row>
    <row r="342" spans="1:52">
      <c r="A342" s="2">
        <v>341</v>
      </c>
      <c r="B342" s="2" t="s">
        <v>22</v>
      </c>
      <c r="C342" s="2" t="s">
        <v>22</v>
      </c>
      <c r="D342" s="2">
        <v>0</v>
      </c>
      <c r="E342" s="2">
        <v>0</v>
      </c>
      <c r="F342" s="2">
        <v>0</v>
      </c>
      <c r="G342" s="2">
        <v>1E-3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1E-3</v>
      </c>
      <c r="X342" s="2">
        <v>0.05</v>
      </c>
      <c r="Y342" s="2">
        <v>0.67500000000000004</v>
      </c>
      <c r="Z342" s="2">
        <v>0.26900000000000002</v>
      </c>
      <c r="AA342" s="2">
        <v>4.0000000000000001E-3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2">
        <v>0</v>
      </c>
      <c r="AP342" s="2">
        <v>0</v>
      </c>
      <c r="AQ342" s="2">
        <v>0</v>
      </c>
      <c r="AR342" s="2">
        <v>0</v>
      </c>
      <c r="AS342" s="2">
        <v>0</v>
      </c>
      <c r="AT342" s="2">
        <v>0</v>
      </c>
      <c r="AU342" s="2">
        <v>0</v>
      </c>
      <c r="AV342" s="2">
        <v>0</v>
      </c>
      <c r="AW342" s="2">
        <v>0</v>
      </c>
      <c r="AX342" s="2">
        <v>0</v>
      </c>
      <c r="AY342" s="2">
        <v>0</v>
      </c>
      <c r="AZ342" s="2">
        <v>0</v>
      </c>
    </row>
    <row r="343" spans="1:52">
      <c r="A343" s="2">
        <v>342</v>
      </c>
      <c r="B343" s="2" t="s">
        <v>41</v>
      </c>
      <c r="C343" s="2" t="s">
        <v>41</v>
      </c>
      <c r="D343" s="2">
        <v>0</v>
      </c>
      <c r="E343" s="2">
        <v>0</v>
      </c>
      <c r="F343" s="2">
        <v>0</v>
      </c>
      <c r="G343" s="2">
        <v>0.997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2">
        <v>0</v>
      </c>
      <c r="AP343" s="2">
        <v>0</v>
      </c>
      <c r="AQ343" s="2">
        <v>0</v>
      </c>
      <c r="AR343" s="2">
        <v>0</v>
      </c>
      <c r="AS343" s="2">
        <v>0</v>
      </c>
      <c r="AT343" s="2">
        <v>0</v>
      </c>
      <c r="AU343" s="2">
        <v>0</v>
      </c>
      <c r="AV343" s="2">
        <v>0</v>
      </c>
      <c r="AW343" s="2">
        <v>0</v>
      </c>
      <c r="AX343" s="2">
        <v>0</v>
      </c>
      <c r="AY343" s="2">
        <v>3.0000000000000001E-3</v>
      </c>
      <c r="AZ343" s="2">
        <v>0</v>
      </c>
    </row>
    <row r="344" spans="1:52">
      <c r="A344" s="2">
        <v>343</v>
      </c>
      <c r="B344" s="2" t="s">
        <v>41</v>
      </c>
      <c r="C344" s="2" t="s">
        <v>41</v>
      </c>
      <c r="D344" s="2">
        <v>0</v>
      </c>
      <c r="E344" s="2">
        <v>0</v>
      </c>
      <c r="F344" s="2">
        <v>0</v>
      </c>
      <c r="G344" s="2">
        <v>1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>
        <v>0</v>
      </c>
      <c r="AC344" s="2">
        <v>0</v>
      </c>
      <c r="AD344" s="2">
        <v>0</v>
      </c>
      <c r="AE344" s="2">
        <v>0</v>
      </c>
      <c r="AF344" s="2">
        <v>0</v>
      </c>
      <c r="AG344" s="2">
        <v>0</v>
      </c>
      <c r="AH344" s="2">
        <v>0</v>
      </c>
      <c r="AI344" s="2">
        <v>0</v>
      </c>
      <c r="AJ344" s="2">
        <v>0</v>
      </c>
      <c r="AK344" s="2">
        <v>0</v>
      </c>
      <c r="AL344" s="2">
        <v>0</v>
      </c>
      <c r="AM344" s="2">
        <v>0</v>
      </c>
      <c r="AN344" s="2">
        <v>0</v>
      </c>
      <c r="AO344" s="2">
        <v>0</v>
      </c>
      <c r="AP344" s="2">
        <v>0</v>
      </c>
      <c r="AQ344" s="2">
        <v>0</v>
      </c>
      <c r="AR344" s="2">
        <v>0</v>
      </c>
      <c r="AS344" s="2">
        <v>0</v>
      </c>
      <c r="AT344" s="2">
        <v>0</v>
      </c>
      <c r="AU344" s="2">
        <v>0</v>
      </c>
      <c r="AV344" s="2">
        <v>0</v>
      </c>
      <c r="AW344" s="2">
        <v>0</v>
      </c>
      <c r="AX344" s="2">
        <v>0</v>
      </c>
      <c r="AY344" s="2">
        <v>0</v>
      </c>
      <c r="AZ344" s="2">
        <v>0</v>
      </c>
    </row>
    <row r="345" spans="1:52">
      <c r="A345" s="2">
        <v>344</v>
      </c>
      <c r="B345" s="2" t="s">
        <v>41</v>
      </c>
      <c r="C345" s="2" t="s">
        <v>41</v>
      </c>
      <c r="D345" s="2">
        <v>0</v>
      </c>
      <c r="E345" s="2">
        <v>0</v>
      </c>
      <c r="F345" s="2">
        <v>0</v>
      </c>
      <c r="G345" s="2">
        <v>1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2">
        <v>0</v>
      </c>
      <c r="AB345" s="2">
        <v>0</v>
      </c>
      <c r="AC345" s="2">
        <v>0</v>
      </c>
      <c r="AD345" s="2">
        <v>0</v>
      </c>
      <c r="AE345" s="2">
        <v>0</v>
      </c>
      <c r="AF345" s="2">
        <v>0</v>
      </c>
      <c r="AG345" s="2">
        <v>0</v>
      </c>
      <c r="AH345" s="2">
        <v>0</v>
      </c>
      <c r="AI345" s="2">
        <v>0</v>
      </c>
      <c r="AJ345" s="2">
        <v>0</v>
      </c>
      <c r="AK345" s="2">
        <v>0</v>
      </c>
      <c r="AL345" s="2">
        <v>0</v>
      </c>
      <c r="AM345" s="2">
        <v>0</v>
      </c>
      <c r="AN345" s="2">
        <v>0</v>
      </c>
      <c r="AO345" s="2">
        <v>0</v>
      </c>
      <c r="AP345" s="2">
        <v>0</v>
      </c>
      <c r="AQ345" s="2">
        <v>0</v>
      </c>
      <c r="AR345" s="2">
        <v>0</v>
      </c>
      <c r="AS345" s="2">
        <v>0</v>
      </c>
      <c r="AT345" s="2">
        <v>0</v>
      </c>
      <c r="AU345" s="2">
        <v>0</v>
      </c>
      <c r="AV345" s="2">
        <v>0</v>
      </c>
      <c r="AW345" s="2">
        <v>0</v>
      </c>
      <c r="AX345" s="2">
        <v>0</v>
      </c>
      <c r="AY345" s="2">
        <v>0</v>
      </c>
      <c r="AZ345" s="2">
        <v>0</v>
      </c>
    </row>
    <row r="346" spans="1:52">
      <c r="A346" s="2">
        <v>345</v>
      </c>
      <c r="B346" s="2" t="s">
        <v>207</v>
      </c>
      <c r="C346" s="2" t="s">
        <v>207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2">
        <v>0</v>
      </c>
      <c r="AP346" s="2">
        <v>0</v>
      </c>
      <c r="AQ346" s="2">
        <v>0</v>
      </c>
      <c r="AR346" s="2">
        <v>0</v>
      </c>
      <c r="AS346" s="2">
        <v>0</v>
      </c>
      <c r="AT346" s="2">
        <v>0</v>
      </c>
      <c r="AU346" s="2">
        <v>0</v>
      </c>
      <c r="AV346" s="2">
        <v>1</v>
      </c>
      <c r="AW346" s="2">
        <v>0</v>
      </c>
      <c r="AX346" s="2">
        <v>0</v>
      </c>
      <c r="AY346" s="2">
        <v>0</v>
      </c>
      <c r="AZ346" s="2">
        <v>0</v>
      </c>
    </row>
    <row r="347" spans="1:52">
      <c r="A347" s="2">
        <v>346</v>
      </c>
      <c r="B347" s="2" t="s">
        <v>275</v>
      </c>
      <c r="C347" s="2" t="s">
        <v>275</v>
      </c>
      <c r="D347" s="2">
        <v>0</v>
      </c>
      <c r="E347" s="2">
        <v>0</v>
      </c>
      <c r="F347" s="2">
        <v>0</v>
      </c>
      <c r="G347" s="2">
        <v>0</v>
      </c>
      <c r="H347" s="2">
        <v>1.9E-2</v>
      </c>
      <c r="I347" s="2">
        <v>0</v>
      </c>
      <c r="J347" s="2">
        <v>0.97899999999999998</v>
      </c>
      <c r="K347" s="2">
        <v>0</v>
      </c>
      <c r="L347" s="2">
        <v>0</v>
      </c>
      <c r="M347" s="2">
        <v>0</v>
      </c>
      <c r="N347" s="2">
        <v>2E-3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2">
        <v>0</v>
      </c>
      <c r="AP347" s="2">
        <v>0</v>
      </c>
      <c r="AQ347" s="2">
        <v>0</v>
      </c>
      <c r="AR347" s="2">
        <v>0</v>
      </c>
      <c r="AS347" s="2">
        <v>0</v>
      </c>
      <c r="AT347" s="2">
        <v>0</v>
      </c>
      <c r="AU347" s="2">
        <v>0</v>
      </c>
      <c r="AV347" s="2">
        <v>0</v>
      </c>
      <c r="AW347" s="2">
        <v>0</v>
      </c>
      <c r="AX347" s="2">
        <v>0</v>
      </c>
      <c r="AY347" s="2">
        <v>0</v>
      </c>
      <c r="AZ347" s="2">
        <v>0</v>
      </c>
    </row>
    <row r="348" spans="1:52">
      <c r="A348" s="2">
        <v>347</v>
      </c>
      <c r="B348" s="2" t="s">
        <v>47</v>
      </c>
      <c r="C348" s="2" t="s">
        <v>47</v>
      </c>
      <c r="D348" s="2">
        <v>0</v>
      </c>
      <c r="E348" s="2">
        <v>0</v>
      </c>
      <c r="F348" s="2">
        <v>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1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2">
        <v>0</v>
      </c>
      <c r="AB348" s="2">
        <v>0</v>
      </c>
      <c r="AC348" s="2">
        <v>0</v>
      </c>
      <c r="AD348" s="2">
        <v>0</v>
      </c>
      <c r="AE348" s="2">
        <v>0</v>
      </c>
      <c r="AF348" s="2">
        <v>0</v>
      </c>
      <c r="AG348" s="2">
        <v>0</v>
      </c>
      <c r="AH348" s="2">
        <v>0</v>
      </c>
      <c r="AI348" s="2">
        <v>0</v>
      </c>
      <c r="AJ348" s="2">
        <v>0</v>
      </c>
      <c r="AK348" s="2">
        <v>0</v>
      </c>
      <c r="AL348" s="2">
        <v>0</v>
      </c>
      <c r="AM348" s="2">
        <v>0</v>
      </c>
      <c r="AN348" s="2">
        <v>0</v>
      </c>
      <c r="AO348" s="2">
        <v>0</v>
      </c>
      <c r="AP348" s="2">
        <v>0</v>
      </c>
      <c r="AQ348" s="2">
        <v>0</v>
      </c>
      <c r="AR348" s="2">
        <v>0</v>
      </c>
      <c r="AS348" s="2">
        <v>0</v>
      </c>
      <c r="AT348" s="2">
        <v>0</v>
      </c>
      <c r="AU348" s="2">
        <v>0</v>
      </c>
      <c r="AV348" s="2">
        <v>0</v>
      </c>
      <c r="AW348" s="2">
        <v>0</v>
      </c>
      <c r="AX348" s="2">
        <v>0</v>
      </c>
      <c r="AY348" s="2">
        <v>0</v>
      </c>
      <c r="AZ348" s="2">
        <v>0</v>
      </c>
    </row>
    <row r="349" spans="1:52">
      <c r="A349" s="2">
        <v>348</v>
      </c>
      <c r="B349" s="2" t="s">
        <v>36</v>
      </c>
      <c r="C349" s="2" t="s">
        <v>36</v>
      </c>
      <c r="D349" s="2">
        <v>0</v>
      </c>
      <c r="E349" s="2">
        <v>0</v>
      </c>
      <c r="F349" s="2">
        <v>0</v>
      </c>
      <c r="G349" s="2">
        <v>0</v>
      </c>
      <c r="H349" s="2">
        <v>0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2">
        <v>0</v>
      </c>
      <c r="AB349" s="2">
        <v>0</v>
      </c>
      <c r="AC349" s="2">
        <v>0</v>
      </c>
      <c r="AD349" s="2">
        <v>0</v>
      </c>
      <c r="AE349" s="2">
        <v>0</v>
      </c>
      <c r="AF349" s="2">
        <v>0</v>
      </c>
      <c r="AG349" s="2">
        <v>0</v>
      </c>
      <c r="AH349" s="2">
        <v>0</v>
      </c>
      <c r="AI349" s="2">
        <v>0</v>
      </c>
      <c r="AJ349" s="2">
        <v>0.999</v>
      </c>
      <c r="AK349" s="2">
        <v>0</v>
      </c>
      <c r="AL349" s="2">
        <v>0</v>
      </c>
      <c r="AM349" s="2">
        <v>0</v>
      </c>
      <c r="AN349" s="2">
        <v>0</v>
      </c>
      <c r="AO349" s="2">
        <v>1E-3</v>
      </c>
      <c r="AP349" s="2">
        <v>0</v>
      </c>
      <c r="AQ349" s="2">
        <v>0</v>
      </c>
      <c r="AR349" s="2">
        <v>0</v>
      </c>
      <c r="AS349" s="2">
        <v>0</v>
      </c>
      <c r="AT349" s="2">
        <v>0</v>
      </c>
      <c r="AU349" s="2">
        <v>0</v>
      </c>
      <c r="AV349" s="2">
        <v>0</v>
      </c>
      <c r="AW349" s="2">
        <v>0</v>
      </c>
      <c r="AX349" s="2">
        <v>0</v>
      </c>
      <c r="AY349" s="2">
        <v>0</v>
      </c>
      <c r="AZ349" s="2">
        <v>0</v>
      </c>
    </row>
    <row r="350" spans="1:52">
      <c r="A350" s="2">
        <v>349</v>
      </c>
      <c r="B350" s="2" t="s">
        <v>28</v>
      </c>
      <c r="C350" s="2" t="s">
        <v>28</v>
      </c>
      <c r="D350" s="2">
        <v>0</v>
      </c>
      <c r="E350" s="2">
        <v>0</v>
      </c>
      <c r="F350" s="2">
        <v>0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0</v>
      </c>
      <c r="W350" s="2">
        <v>0</v>
      </c>
      <c r="X350" s="2">
        <v>2E-3</v>
      </c>
      <c r="Y350" s="2">
        <v>0.16700000000000001</v>
      </c>
      <c r="Z350" s="2">
        <v>0.76400000000000001</v>
      </c>
      <c r="AA350" s="2">
        <v>6.7000000000000004E-2</v>
      </c>
      <c r="AB350" s="2">
        <v>0</v>
      </c>
      <c r="AC350" s="2">
        <v>0</v>
      </c>
      <c r="AD350" s="2">
        <v>0</v>
      </c>
      <c r="AE350" s="2">
        <v>0</v>
      </c>
      <c r="AF350" s="2">
        <v>0</v>
      </c>
      <c r="AG350" s="2">
        <v>0</v>
      </c>
      <c r="AH350" s="2">
        <v>0</v>
      </c>
      <c r="AI350" s="2">
        <v>0</v>
      </c>
      <c r="AJ350" s="2">
        <v>0</v>
      </c>
      <c r="AK350" s="2">
        <v>0</v>
      </c>
      <c r="AL350" s="2">
        <v>0</v>
      </c>
      <c r="AM350" s="2">
        <v>0</v>
      </c>
      <c r="AN350" s="2">
        <v>0</v>
      </c>
      <c r="AO350" s="2">
        <v>0</v>
      </c>
      <c r="AP350" s="2">
        <v>0</v>
      </c>
      <c r="AQ350" s="2">
        <v>0</v>
      </c>
      <c r="AR350" s="2">
        <v>0</v>
      </c>
      <c r="AS350" s="2">
        <v>0</v>
      </c>
      <c r="AT350" s="2">
        <v>0</v>
      </c>
      <c r="AU350" s="2">
        <v>0</v>
      </c>
      <c r="AV350" s="2">
        <v>0</v>
      </c>
      <c r="AW350" s="2">
        <v>0</v>
      </c>
      <c r="AX350" s="2">
        <v>0</v>
      </c>
      <c r="AY350" s="2">
        <v>0</v>
      </c>
      <c r="AZ350" s="2">
        <v>0</v>
      </c>
    </row>
    <row r="351" spans="1:52">
      <c r="A351" s="2">
        <v>350</v>
      </c>
      <c r="B351" s="2" t="s">
        <v>26</v>
      </c>
      <c r="C351" s="2" t="s">
        <v>26</v>
      </c>
      <c r="D351" s="2">
        <v>0</v>
      </c>
      <c r="E351" s="2">
        <v>1E-3</v>
      </c>
      <c r="F351" s="2">
        <v>0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0.32500000000000001</v>
      </c>
      <c r="W351" s="2">
        <v>0.67400000000000004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2">
        <v>0</v>
      </c>
      <c r="AP351" s="2">
        <v>0</v>
      </c>
      <c r="AQ351" s="2">
        <v>0</v>
      </c>
      <c r="AR351" s="2">
        <v>0</v>
      </c>
      <c r="AS351" s="2">
        <v>0</v>
      </c>
      <c r="AT351" s="2">
        <v>0</v>
      </c>
      <c r="AU351" s="2">
        <v>0</v>
      </c>
      <c r="AV351" s="2">
        <v>0</v>
      </c>
      <c r="AW351" s="2">
        <v>0</v>
      </c>
      <c r="AX351" s="2">
        <v>0</v>
      </c>
      <c r="AY351" s="2">
        <v>0</v>
      </c>
      <c r="AZ351" s="2">
        <v>0</v>
      </c>
    </row>
    <row r="352" spans="1:52">
      <c r="A352" s="2">
        <v>351</v>
      </c>
      <c r="B352" s="2" t="s">
        <v>214</v>
      </c>
      <c r="C352" s="2" t="s">
        <v>214</v>
      </c>
      <c r="D352" s="2">
        <v>0</v>
      </c>
      <c r="E352" s="2">
        <v>0</v>
      </c>
      <c r="F352" s="2">
        <v>0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0.218</v>
      </c>
      <c r="AN352" s="2">
        <v>0</v>
      </c>
      <c r="AO352" s="2">
        <v>0.78200000000000003</v>
      </c>
      <c r="AP352" s="2">
        <v>0</v>
      </c>
      <c r="AQ352" s="2">
        <v>0</v>
      </c>
      <c r="AR352" s="2">
        <v>0</v>
      </c>
      <c r="AS352" s="2">
        <v>0</v>
      </c>
      <c r="AT352" s="2">
        <v>0</v>
      </c>
      <c r="AU352" s="2">
        <v>0</v>
      </c>
      <c r="AV352" s="2">
        <v>0</v>
      </c>
      <c r="AW352" s="2">
        <v>0</v>
      </c>
      <c r="AX352" s="2">
        <v>0</v>
      </c>
      <c r="AY352" s="2">
        <v>0</v>
      </c>
      <c r="AZ352" s="2">
        <v>0</v>
      </c>
    </row>
    <row r="353" spans="1:52">
      <c r="A353" s="2">
        <v>352</v>
      </c>
      <c r="B353" s="2" t="s">
        <v>41</v>
      </c>
      <c r="C353" s="2" t="s">
        <v>41</v>
      </c>
      <c r="D353" s="2">
        <v>0</v>
      </c>
      <c r="E353" s="2">
        <v>0</v>
      </c>
      <c r="F353" s="2">
        <v>0</v>
      </c>
      <c r="G353" s="2">
        <v>1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2">
        <v>0</v>
      </c>
      <c r="AP353" s="2">
        <v>0</v>
      </c>
      <c r="AQ353" s="2">
        <v>0</v>
      </c>
      <c r="AR353" s="2">
        <v>0</v>
      </c>
      <c r="AS353" s="2">
        <v>0</v>
      </c>
      <c r="AT353" s="2">
        <v>0</v>
      </c>
      <c r="AU353" s="2">
        <v>0</v>
      </c>
      <c r="AV353" s="2">
        <v>0</v>
      </c>
      <c r="AW353" s="2">
        <v>0</v>
      </c>
      <c r="AX353" s="2">
        <v>0</v>
      </c>
      <c r="AY353" s="2">
        <v>0</v>
      </c>
      <c r="AZ353" s="2">
        <v>0</v>
      </c>
    </row>
    <row r="354" spans="1:52">
      <c r="A354" s="2">
        <v>353</v>
      </c>
      <c r="B354" s="2" t="s">
        <v>28</v>
      </c>
      <c r="C354" s="2" t="s">
        <v>28</v>
      </c>
      <c r="D354" s="2">
        <v>0</v>
      </c>
      <c r="E354" s="2">
        <v>0</v>
      </c>
      <c r="F354" s="2">
        <v>0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7.0000000000000007E-2</v>
      </c>
      <c r="Y354" s="2">
        <v>2E-3</v>
      </c>
      <c r="Z354" s="2">
        <v>0.92800000000000005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2">
        <v>0</v>
      </c>
      <c r="AP354" s="2">
        <v>0</v>
      </c>
      <c r="AQ354" s="2">
        <v>0</v>
      </c>
      <c r="AR354" s="2">
        <v>0</v>
      </c>
      <c r="AS354" s="2">
        <v>0</v>
      </c>
      <c r="AT354" s="2">
        <v>0</v>
      </c>
      <c r="AU354" s="2">
        <v>0</v>
      </c>
      <c r="AV354" s="2">
        <v>0</v>
      </c>
      <c r="AW354" s="2">
        <v>0</v>
      </c>
      <c r="AX354" s="2">
        <v>0</v>
      </c>
      <c r="AY354" s="2">
        <v>0</v>
      </c>
      <c r="AZ354" s="2">
        <v>0</v>
      </c>
    </row>
    <row r="355" spans="1:52">
      <c r="A355" s="2">
        <v>354</v>
      </c>
      <c r="B355" s="2" t="s">
        <v>47</v>
      </c>
      <c r="C355" s="2" t="s">
        <v>47</v>
      </c>
      <c r="D355" s="2">
        <v>2.5999999999999999E-2</v>
      </c>
      <c r="E355" s="2">
        <v>0</v>
      </c>
      <c r="F355" s="2">
        <v>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0.97399999999999998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2">
        <v>0</v>
      </c>
      <c r="AP355" s="2">
        <v>0</v>
      </c>
      <c r="AQ355" s="2">
        <v>0</v>
      </c>
      <c r="AR355" s="2">
        <v>0</v>
      </c>
      <c r="AS355" s="2">
        <v>0</v>
      </c>
      <c r="AT355" s="2">
        <v>0</v>
      </c>
      <c r="AU355" s="2">
        <v>0</v>
      </c>
      <c r="AV355" s="2">
        <v>0</v>
      </c>
      <c r="AW355" s="2">
        <v>0</v>
      </c>
      <c r="AX355" s="2">
        <v>0</v>
      </c>
      <c r="AY355" s="2">
        <v>0</v>
      </c>
      <c r="AZ35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20209211JAP_probAnalysis</vt:lpstr>
      <vt:lpstr>20200211JAP_probAnalysis_air5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2020-02-11T22:38:08Z</dcterms:created>
  <dcterms:modified xsi:type="dcterms:W3CDTF">2020-02-13T20:30:29Z</dcterms:modified>
</cp:coreProperties>
</file>