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62760B6A-2082-7E4F-839B-AF852A95E8DD}" xr6:coauthVersionLast="45" xr6:coauthVersionMax="45" xr10:uidLastSave="{00000000-0000-0000-0000-000000000000}"/>
  <bookViews>
    <workbookView xWindow="-30800" yWindow="980" windowWidth="28040" windowHeight="17440" xr2:uid="{00000000-000D-0000-FFFF-FFFF00000000}"/>
  </bookViews>
  <sheets>
    <sheet name="20209211JAP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<sst xmlns="http://schemas.openxmlformats.org/spreadsheetml/2006/main" count="6666" uniqueCount="420">
  <si>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</si>
  <si>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</si>
  <si>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</si>
  <si>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</si>
  <si>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</si>
  <si>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</si>
  <si>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</si>
  <si>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</si>
  <si>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</si>
  <si>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</si>
  <si>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</si>
  <si>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</si>
  <si>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</si>
  <si>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</si>
  <si>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</si>
  <si>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</si>
  <si>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</si>
  <si>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1,2-Dihexanoyl-sn-glycero-3-phosphocholine</t>
  </si>
  <si>
    <t>Organic compounds</t>
  </si>
  <si>
    <t>yes</t>
  </si>
  <si>
    <t>Lipids and lipid-like molecules</t>
  </si>
  <si>
    <t>Glycerophospholipids</t>
  </si>
  <si>
    <t>Glycerophosphocholines</t>
  </si>
  <si>
    <t>kscsb</t>
  </si>
  <si>
    <t>Metolachlor</t>
  </si>
  <si>
    <t>Benzenoids</t>
  </si>
  <si>
    <t>Benzene and substituted derivatives</t>
  </si>
  <si>
    <t>Anilides</t>
  </si>
  <si>
    <t>7-hydroxybenzo(a)pyrene</t>
  </si>
  <si>
    <t>Pyrenes</t>
  </si>
  <si>
    <t>Benzopyrenes</t>
  </si>
  <si>
    <t>SM 41:00</t>
  </si>
  <si>
    <t>Sphingolipids</t>
  </si>
  <si>
    <t>Phosphosphingolipids</t>
  </si>
  <si>
    <t>FAAYLER (Tryptic Peptide)</t>
  </si>
  <si>
    <t>Organic acids and derivatives</t>
  </si>
  <si>
    <t>Carboxylic acids and derivatives</t>
  </si>
  <si>
    <t>Amino acids, peptides, and analogues</t>
  </si>
  <si>
    <t>IGDYAGIK (Tryptic Peptide)</t>
  </si>
  <si>
    <t>PE 38:04</t>
  </si>
  <si>
    <t>Glycerophosphoethanolamines</t>
  </si>
  <si>
    <t>Thiostrepton A</t>
  </si>
  <si>
    <t>Pyridoxal-5'-phosphate</t>
  </si>
  <si>
    <t>Organoheterocyclic compounds</t>
  </si>
  <si>
    <t>Pyridines and derivatives</t>
  </si>
  <si>
    <t>Pyridine carboxaldehydes</t>
  </si>
  <si>
    <t>3,5-Diiodo-L-thryonine</t>
  </si>
  <si>
    <t>1,2-Dilauroyl-sn-glycero-3-phosphoethanolamine</t>
  </si>
  <si>
    <t>Lactulose</t>
  </si>
  <si>
    <t>Organic oxygen compounds</t>
  </si>
  <si>
    <t>Organooxygen compounds</t>
  </si>
  <si>
    <t>Carbohydrates and carbohydrate conjugates</t>
  </si>
  <si>
    <t>14(15)-EET</t>
  </si>
  <si>
    <t>Fatty acyls</t>
  </si>
  <si>
    <t>Fatty acids and conjugates</t>
  </si>
  <si>
    <t>5-Aminolevulinate</t>
  </si>
  <si>
    <t>FA (17:0)</t>
  </si>
  <si>
    <t>Cyclic-AMP</t>
  </si>
  <si>
    <t>Nucleosides, nucleotides, and analogues</t>
  </si>
  <si>
    <t>Purine nucleotides</t>
  </si>
  <si>
    <t>Cyclic purine nucleotides</t>
  </si>
  <si>
    <t>Hexakis(2,2-difluoroethoxy)phosphazene</t>
  </si>
  <si>
    <t>Organohalogen compounds</t>
  </si>
  <si>
    <t>Organofluorides</t>
  </si>
  <si>
    <t>Phosphazene and phosphazene derivatives</t>
  </si>
  <si>
    <t>PE 34:01</t>
  </si>
  <si>
    <t>Xanthosine Monophosphate</t>
  </si>
  <si>
    <t>Purine ribonucleotides</t>
  </si>
  <si>
    <t>17alpha-Hydroxypregnenolone</t>
  </si>
  <si>
    <t>Steroids and steroid derivatives</t>
  </si>
  <si>
    <t>Pregnane steroids</t>
  </si>
  <si>
    <t>Antimycin A10</t>
  </si>
  <si>
    <t>SM 42:03</t>
  </si>
  <si>
    <t>L-Cysteine</t>
  </si>
  <si>
    <t>d7-LysoPE (18:1)</t>
  </si>
  <si>
    <t>Guanosine Diphosphate</t>
  </si>
  <si>
    <t>Glutarylcarnitine</t>
  </si>
  <si>
    <t>Fatty acid esters</t>
  </si>
  <si>
    <t>D-Glycerate</t>
  </si>
  <si>
    <t>D-Aspartic Acid</t>
  </si>
  <si>
    <t>Adenosine-5'-monophosphate</t>
  </si>
  <si>
    <t>Hexakis(2,2,3,3-tetrafluoropropoxy)phosphazene</t>
  </si>
  <si>
    <t>Melibiose</t>
  </si>
  <si>
    <t>Saccharate</t>
  </si>
  <si>
    <t>Creatinine</t>
  </si>
  <si>
    <t>Na(CsI)5 or Cs(CsI)4(NaI)</t>
  </si>
  <si>
    <t>Inorganic compounds</t>
  </si>
  <si>
    <t>Mixed metal/non-metal compounds</t>
  </si>
  <si>
    <t>Alkali metal salts</t>
  </si>
  <si>
    <t>Alkali metal iodides</t>
  </si>
  <si>
    <t>Vancomycin Desvancosaminyl</t>
  </si>
  <si>
    <t>L-Lysine</t>
  </si>
  <si>
    <t>PA 40:05</t>
  </si>
  <si>
    <t>Glycerophosphates</t>
  </si>
  <si>
    <t>Carbocyclic Thromboxane A2</t>
  </si>
  <si>
    <t>Tiglyl Glycine</t>
  </si>
  <si>
    <t>Paraxanthine</t>
  </si>
  <si>
    <t>Imidazopyrimidines</t>
  </si>
  <si>
    <t>Purines and purine derivatives</t>
  </si>
  <si>
    <t>GlcCer 44:02</t>
  </si>
  <si>
    <t>Glycosphingolipids</t>
  </si>
  <si>
    <t>Adenosine-5'-diphosphoglucose</t>
  </si>
  <si>
    <t>Purine nucleotide sugars</t>
  </si>
  <si>
    <t>GlcCer 40:01 OH</t>
  </si>
  <si>
    <t>1-Methyl-L-histidine</t>
  </si>
  <si>
    <t>Na(NaI)10</t>
  </si>
  <si>
    <t>Glycochenodeoxycholate</t>
  </si>
  <si>
    <t>Bile acids, alcohols and derivatives</t>
  </si>
  <si>
    <t>Quinate</t>
  </si>
  <si>
    <t>Alcohols and polyols</t>
  </si>
  <si>
    <t>5-Hydroxy-L-tryptophan</t>
  </si>
  <si>
    <t>Indoles and derivatives</t>
  </si>
  <si>
    <t>Tryptamines and derivatives</t>
  </si>
  <si>
    <t>Cer 42:01</t>
  </si>
  <si>
    <t>Ceramides</t>
  </si>
  <si>
    <t>ELR (Tryptic Peptide)</t>
  </si>
  <si>
    <t>N-Acetylglutamate</t>
  </si>
  <si>
    <t>NVATPR (Tryptic Peptide)</t>
  </si>
  <si>
    <t>5-Hydroxy-2,2',3,4,4',5'-hexachlorobiphenyl</t>
  </si>
  <si>
    <t>Biphenyls and derivatives</t>
  </si>
  <si>
    <t>D-Desthiobin</t>
  </si>
  <si>
    <t>Azoles</t>
  </si>
  <si>
    <t>Imidazoles</t>
  </si>
  <si>
    <t>2-Deoxyadenosine-5-monophosphate</t>
  </si>
  <si>
    <t>Purine deoxyribonucleotides</t>
  </si>
  <si>
    <t>N-alpha-Acetyl-L-asparagine</t>
  </si>
  <si>
    <t>Palmitoleic Acid (16:1)</t>
  </si>
  <si>
    <t>AFDEK (Tryptic Peptide)</t>
  </si>
  <si>
    <t>Acetylsalicylic Acid</t>
  </si>
  <si>
    <t>Benzoic acids and derivatives</t>
  </si>
  <si>
    <t>ANELLINVK (Tryptic Peptide)</t>
  </si>
  <si>
    <t>Sorbitol</t>
  </si>
  <si>
    <t>Cytidine Diphosphate</t>
  </si>
  <si>
    <t>Pyrimidine nucleotides</t>
  </si>
  <si>
    <t>Pyrimidine ribonucleotides</t>
  </si>
  <si>
    <t>Cer 42:00 OH</t>
  </si>
  <si>
    <t>Coenzyme A</t>
  </si>
  <si>
    <t>Bis(2-ethylhexyl)phthalate</t>
  </si>
  <si>
    <t>cis-4-Hydroxy-D-proline</t>
  </si>
  <si>
    <t>Thymidine-5'-monophosphate</t>
  </si>
  <si>
    <t>Pyrimidine deoxyribonucleotides</t>
  </si>
  <si>
    <t>N-alpha-Acetyllysine</t>
  </si>
  <si>
    <t>Urocanate</t>
  </si>
  <si>
    <t>3-Dehydroshikimate</t>
  </si>
  <si>
    <t>Carbonyl compounds</t>
  </si>
  <si>
    <t>Cer 42:01 OH</t>
  </si>
  <si>
    <t>Nervonate</t>
  </si>
  <si>
    <t>Surfactin C</t>
  </si>
  <si>
    <t>Peptidomimetics</t>
  </si>
  <si>
    <t>Depsipeptides</t>
  </si>
  <si>
    <t>Uridine Diphosphate Glucuronic Acid</t>
  </si>
  <si>
    <t>Pyrimidine nucleotide sugars</t>
  </si>
  <si>
    <t>PS 40:07</t>
  </si>
  <si>
    <t>Glycerophosphoserines</t>
  </si>
  <si>
    <t>TNFDAFPDK (Tryptic Peptide)</t>
  </si>
  <si>
    <t>2-Hydroxy-4-(methylthio)butanoate</t>
  </si>
  <si>
    <t>Cs(CsI)4(NaI)3 or Na(CsI)5(NaI)2</t>
  </si>
  <si>
    <t>2,6-Diaminopimelate</t>
  </si>
  <si>
    <t>PC 36:01 HETE</t>
  </si>
  <si>
    <t>2-Phospho-DL-glycerate</t>
  </si>
  <si>
    <t>Thiamine Pyrophosphate</t>
  </si>
  <si>
    <t>Diazines</t>
  </si>
  <si>
    <t>Pyrimidines and pyrimidine derivatives</t>
  </si>
  <si>
    <t>N-(3-Phenylpropionyl)-glycine</t>
  </si>
  <si>
    <t>Hexakis(1H,1H,4H-hexafluorobutyloxy)phosphazene</t>
  </si>
  <si>
    <t>Thyroxine</t>
  </si>
  <si>
    <t>Vancomycin</t>
  </si>
  <si>
    <t>O-Acetylserine</t>
  </si>
  <si>
    <t>Cs(CsI)7</t>
  </si>
  <si>
    <t>2'-Deoxyguanosine 5'-monophosphate</t>
  </si>
  <si>
    <t>Uridine Diphosphate-N-acetylgalactosamine</t>
  </si>
  <si>
    <t>GlcCer 42:02</t>
  </si>
  <si>
    <t>Lauric Acid (12:0)</t>
  </si>
  <si>
    <t>YVR (Tryptic Peptide)</t>
  </si>
  <si>
    <t>Sulfolithocholic Acid</t>
  </si>
  <si>
    <t>1,2-Dipalmitoyl-sn-glycero-3-phosphoethanolamine</t>
  </si>
  <si>
    <t>Norspermidine</t>
  </si>
  <si>
    <t>Organic nitrogen compounds</t>
  </si>
  <si>
    <t>Organonitrogen compounds</t>
  </si>
  <si>
    <t>Amines</t>
  </si>
  <si>
    <t>Cer 42:00</t>
  </si>
  <si>
    <t>Guanidinosuccinate</t>
  </si>
  <si>
    <t>Dihydroxyacetone Phosphate</t>
  </si>
  <si>
    <t>PE 42:09</t>
  </si>
  <si>
    <t>PS 44:07</t>
  </si>
  <si>
    <t>Caffeine</t>
  </si>
  <si>
    <t>1,2-Dihexanoyl-sn-glycero-3-phosphoethanolamine</t>
  </si>
  <si>
    <t>cis-Gondoic Acid</t>
  </si>
  <si>
    <t>L-Proline</t>
  </si>
  <si>
    <t>Allose</t>
  </si>
  <si>
    <t>PS 40:06</t>
  </si>
  <si>
    <t>Prostaglandin H2</t>
  </si>
  <si>
    <t>Eicosanoids</t>
  </si>
  <si>
    <t>Noradrenaline</t>
  </si>
  <si>
    <t>Phenols</t>
  </si>
  <si>
    <t>Benzenediols</t>
  </si>
  <si>
    <t>PC 40:06</t>
  </si>
  <si>
    <t>Platelet-activating Factor</t>
  </si>
  <si>
    <t>GlcCer 42:01</t>
  </si>
  <si>
    <t>5-Hydroxyindoleacetate</t>
  </si>
  <si>
    <t>Indolyl carboxylic acids and derivatives</t>
  </si>
  <si>
    <t>Sucrose</t>
  </si>
  <si>
    <t>Leukotriene E4</t>
  </si>
  <si>
    <t>PS 44:08</t>
  </si>
  <si>
    <t>LVVSTQTALA (Tryptic Peptide)</t>
  </si>
  <si>
    <t>Glycodeoxycholic Acid 3-Sulfate</t>
  </si>
  <si>
    <t>Guanosine Diphosphate Mannose</t>
  </si>
  <si>
    <t>Surfactin 5</t>
  </si>
  <si>
    <t xml:space="preserve">4-Hydroxy-2',3',5',6'-tetrachlorobiphenyl </t>
  </si>
  <si>
    <t>PE (O-36:02)</t>
  </si>
  <si>
    <t>Capsofungin</t>
  </si>
  <si>
    <t>Phosphocholine</t>
  </si>
  <si>
    <t>Quaternary ammonium salts</t>
  </si>
  <si>
    <t>Thiopurine-(S)-methylether</t>
  </si>
  <si>
    <t>Suberate</t>
  </si>
  <si>
    <t>Daptomycin</t>
  </si>
  <si>
    <t>Guanosine-5'-monophosphate</t>
  </si>
  <si>
    <t>YIPGTK (Tryptic Peptide)</t>
  </si>
  <si>
    <t>PS 41:06</t>
  </si>
  <si>
    <t>Pantothenate</t>
  </si>
  <si>
    <t>SM 40:02</t>
  </si>
  <si>
    <t>omega-3-Arachidonic Acid</t>
  </si>
  <si>
    <t>Adenine</t>
  </si>
  <si>
    <t>PE (O-36:01)</t>
  </si>
  <si>
    <t>LysoPC (20:0)</t>
  </si>
  <si>
    <t>PE 36:00</t>
  </si>
  <si>
    <t>1,2-Distearoyl-sn-glycero-3-phosphocholine</t>
  </si>
  <si>
    <t>cis-Aconitic acid</t>
  </si>
  <si>
    <t>Tricarboxylic acids and derivatives</t>
  </si>
  <si>
    <t>EELFR (Tryptic Peptide)</t>
  </si>
  <si>
    <t>MSLVEEGAVK (Tryptic Peptide)</t>
  </si>
  <si>
    <t>Adipate</t>
  </si>
  <si>
    <t>Eicosanoic Acid (20:0)</t>
  </si>
  <si>
    <t>Na(CsI)6 or Cs(CsI)5(NaI)</t>
  </si>
  <si>
    <t>Kynurenate</t>
  </si>
  <si>
    <t>Quinolines and derivatives</t>
  </si>
  <si>
    <t>Quinoline carboxylic acids</t>
  </si>
  <si>
    <t>Uric Acid</t>
  </si>
  <si>
    <t>3-Nitro-L-tyrosine</t>
  </si>
  <si>
    <t>PE 36:03</t>
  </si>
  <si>
    <t>Maltohexaose</t>
  </si>
  <si>
    <t>Uridine Diphosphogalactose</t>
  </si>
  <si>
    <t>L-Methionine</t>
  </si>
  <si>
    <t>N-Acetyl-DL-tryptophan</t>
  </si>
  <si>
    <t>Imazapyr</t>
  </si>
  <si>
    <t>2'-Hydroxy-2,4,4'-tribromodiphenyl ether</t>
  </si>
  <si>
    <t>Diphenylethers</t>
  </si>
  <si>
    <t>Tris(2-carboxyethyl)phosphine Hydrochloride</t>
  </si>
  <si>
    <t>GlcCer 40:01</t>
  </si>
  <si>
    <t>2-Acetamindo-2-deoxy-beta-D-glycosylamine</t>
  </si>
  <si>
    <t>3-Hydroxy-2,2',4,4'-tetrabromodiphenylether</t>
  </si>
  <si>
    <t>1,2-Dipalmitoyl-sn-glycero-3-phosphocholine</t>
  </si>
  <si>
    <t>L-Isoleucine</t>
  </si>
  <si>
    <t>SM 38:01</t>
  </si>
  <si>
    <t>Xanthine</t>
  </si>
  <si>
    <t>GlcCer 36:01</t>
  </si>
  <si>
    <t>1-Stearoyl-2-oleoyl-sn-glycero-3-phosphoethanolamine</t>
  </si>
  <si>
    <t>SM 42:02</t>
  </si>
  <si>
    <t>D-(+)-Raffinose</t>
  </si>
  <si>
    <t>d7-LysoPC (18:1)</t>
  </si>
  <si>
    <t>PE 34:03</t>
  </si>
  <si>
    <t>Hexakis(1H,1H,8H-tetradecafluoroctyoxy)phosphazene</t>
  </si>
  <si>
    <t>L-Phenylalanine</t>
  </si>
  <si>
    <t>Glyphospate</t>
  </si>
  <si>
    <t>Sulfamethizole</t>
  </si>
  <si>
    <t>Benzenesulfonamides</t>
  </si>
  <si>
    <t>Cer 42:02</t>
  </si>
  <si>
    <t>PS 38:04</t>
  </si>
  <si>
    <t>PC 38:02</t>
  </si>
  <si>
    <t>GITWK (Tryptic Peptide)</t>
  </si>
  <si>
    <t>PE (18:1/18:1)(del9-cis)</t>
  </si>
  <si>
    <t>GlcCer 44:03 OH</t>
  </si>
  <si>
    <t>Glufosinate</t>
  </si>
  <si>
    <t>Fucose</t>
  </si>
  <si>
    <t>PS 36:01</t>
  </si>
  <si>
    <t>Cs(CsI)2</t>
  </si>
  <si>
    <t>Lyxose</t>
  </si>
  <si>
    <t>HPEYAVSVLLR (Tryptic Peptide)</t>
  </si>
  <si>
    <t>Glutamine</t>
  </si>
  <si>
    <t>VEDVDR (Tryptic Peptide)</t>
  </si>
  <si>
    <t>Hybrid peptides</t>
  </si>
  <si>
    <t>SM 36:01</t>
  </si>
  <si>
    <t>2,3-Diaminopropionate</t>
  </si>
  <si>
    <t>7(R)-Maresin-1</t>
  </si>
  <si>
    <t>D-Glucose-6-phosphate</t>
  </si>
  <si>
    <t>SM 41:02</t>
  </si>
  <si>
    <t>Ophthalmate</t>
  </si>
  <si>
    <t>Amphotericin</t>
  </si>
  <si>
    <t>Theobromine</t>
  </si>
  <si>
    <t>2-Aminoisobutyrate</t>
  </si>
  <si>
    <t>Sulfanilamide</t>
  </si>
  <si>
    <t>Sulfaguanidine</t>
  </si>
  <si>
    <t>Cs(NaI)9 or Na(CsI)(NaI)8</t>
  </si>
  <si>
    <t>beta-Muricholic Acid</t>
  </si>
  <si>
    <t>UltraMark 1023</t>
  </si>
  <si>
    <t>Cs(CsI)3(NaI)3 or Na(CsI)4(NaI)2</t>
  </si>
  <si>
    <t>1,2-Didecanoyl-sn-glycero-3-phosphoethanolamine</t>
  </si>
  <si>
    <t>Pyroglutamate</t>
  </si>
  <si>
    <t>Monensin A</t>
  </si>
  <si>
    <t>DL-Pipecolate</t>
  </si>
  <si>
    <t>Deoxyuridine Monophosphate</t>
  </si>
  <si>
    <t>1,2-Dioctanoyl-sn-glycero-3-phosphoethanolamine</t>
  </si>
  <si>
    <t>Lactose</t>
  </si>
  <si>
    <t>QEPER (Tryptic Peptide)</t>
  </si>
  <si>
    <t>DL-Leucine</t>
  </si>
  <si>
    <t>Bradykinin</t>
  </si>
  <si>
    <t>GLVK (Tryptic Peptide)</t>
  </si>
  <si>
    <t>Cs(CsI)9</t>
  </si>
  <si>
    <t>UltraMark 1623</t>
  </si>
  <si>
    <t>Rhamnose</t>
  </si>
  <si>
    <t>Uridine Diphosphate Glucose</t>
  </si>
  <si>
    <t>UltraMark 1622</t>
  </si>
  <si>
    <t>SM 40:00</t>
  </si>
  <si>
    <t>3,3',4,4'-Tetrabromodiphenyl ether</t>
  </si>
  <si>
    <t>no</t>
  </si>
  <si>
    <t>PA 36:01</t>
  </si>
  <si>
    <t>PC 36:01</t>
  </si>
  <si>
    <t>L-Histidine</t>
  </si>
  <si>
    <t>L-Arginine</t>
  </si>
  <si>
    <t>PC 38:03</t>
  </si>
  <si>
    <t>Indoleacetaldehyde</t>
  </si>
  <si>
    <t>Indoles</t>
  </si>
  <si>
    <t>GlcCer 36:02</t>
  </si>
  <si>
    <t>PC 36:02</t>
  </si>
  <si>
    <t>PE 36:02</t>
  </si>
  <si>
    <t>Val-Tyr-Val</t>
  </si>
  <si>
    <t>Galactarate</t>
  </si>
  <si>
    <t>LysoPC (2-18:0)</t>
  </si>
  <si>
    <t>3-Methoxytyrosine</t>
  </si>
  <si>
    <t>PE 38:05</t>
  </si>
  <si>
    <t>PS 42:08</t>
  </si>
  <si>
    <t>PS 38:01</t>
  </si>
  <si>
    <t>Adenosine-2',3'-Cyclic Phosphate</t>
  </si>
  <si>
    <t>PC (17:0/02:0)</t>
  </si>
  <si>
    <t>2,3,4,5,6-Pentabromodiphenyl ether</t>
  </si>
  <si>
    <t>TIAQYAR (Tryptic Peptide)</t>
  </si>
  <si>
    <t>Inosine Triphosphate</t>
  </si>
  <si>
    <t>SM 39:01</t>
  </si>
  <si>
    <t>PA 38:04</t>
  </si>
  <si>
    <t>Surfactin A</t>
  </si>
  <si>
    <t>Inosine-5'-diphosphate</t>
  </si>
  <si>
    <t>Ribose-5-phosphate</t>
  </si>
  <si>
    <t>Actinomycin</t>
  </si>
  <si>
    <t>Cellobiose</t>
  </si>
  <si>
    <t>Betaine</t>
  </si>
  <si>
    <t>L-tert-Leucine</t>
  </si>
  <si>
    <t>Benzo(g,h,i)perylene</t>
  </si>
  <si>
    <t>Sparfloxacin</t>
  </si>
  <si>
    <t>Kanamycin</t>
  </si>
  <si>
    <t>Sphinganine</t>
  </si>
  <si>
    <t>PE (O-36:00)</t>
  </si>
  <si>
    <t>Antimycin A2b</t>
  </si>
  <si>
    <t>Thromboxane B2</t>
  </si>
  <si>
    <t>PA 40:06</t>
  </si>
  <si>
    <t>PS 42:01</t>
  </si>
  <si>
    <t>PA 36:03</t>
  </si>
  <si>
    <t>14(S)-HDHA</t>
  </si>
  <si>
    <t>PS 34:01</t>
  </si>
  <si>
    <t>O-Succinyl-homoserine</t>
  </si>
  <si>
    <t>PC 32:00</t>
  </si>
  <si>
    <t>PS 36:02</t>
  </si>
  <si>
    <t>3,4-Dihydroxyphenylglycol</t>
  </si>
  <si>
    <t>Adenosine-5'-diphosphate (From Bacterial Source)</t>
  </si>
  <si>
    <t>Citicoline</t>
  </si>
  <si>
    <t>N6-(delta2-Isopentenyl)-adenine</t>
  </si>
  <si>
    <t>N-Acetyl-L-aspartic Acid</t>
  </si>
  <si>
    <t>UltraMark 1121</t>
  </si>
  <si>
    <t>L-Cystine</t>
  </si>
  <si>
    <t>GlcCer 42:01 OH</t>
  </si>
  <si>
    <t>Valinomycin</t>
  </si>
  <si>
    <t>PC 36:04</t>
  </si>
  <si>
    <t>1,2-Dioctanoyl-sn-glycero-3-phosphocholine</t>
  </si>
  <si>
    <t>6-Phosphogluconate</t>
  </si>
  <si>
    <t>Cer (d18:1/17:0)</t>
  </si>
  <si>
    <t>Hexakis(1H,1H,6H-decafluorohexyloxy)phosphazene</t>
  </si>
  <si>
    <t>1,2-Dimyristoyl-sn-glycero-3-phosphocholine</t>
  </si>
  <si>
    <t>GlcCer 38:03</t>
  </si>
  <si>
    <t>Guanosine Triphosphate</t>
  </si>
  <si>
    <t>Fructose Bisphosphate</t>
  </si>
  <si>
    <t>L-(+)-Tartartic Acid</t>
  </si>
  <si>
    <t>N-Acetylneuraminate</t>
  </si>
  <si>
    <t>PE 36:05</t>
  </si>
  <si>
    <t>N-Acetylalanine</t>
  </si>
  <si>
    <t>Surfactin B</t>
  </si>
  <si>
    <t>PC 32:02</t>
  </si>
  <si>
    <t>2,2',3,4,4',5',6-Heptabromodiphenyl Ether</t>
  </si>
  <si>
    <t>SM 41:01</t>
  </si>
  <si>
    <t>Nicotinate</t>
  </si>
  <si>
    <t>Pyridinecarboxylic acids and derivatives</t>
  </si>
  <si>
    <t>Xylobiose</t>
  </si>
  <si>
    <t>GlcCer 42:00 OH</t>
  </si>
  <si>
    <t>SM 43:02</t>
  </si>
  <si>
    <t>D-(-)-Tartartic Acid</t>
  </si>
  <si>
    <t>D-Glucuronic Acid</t>
  </si>
  <si>
    <t>PC 36:04 HETE</t>
  </si>
  <si>
    <t>6-Hydroxynicotinate</t>
  </si>
  <si>
    <t>GlcCer 44:04 OH</t>
  </si>
  <si>
    <t>PS 36:04</t>
  </si>
  <si>
    <t>PE 34:02</t>
  </si>
  <si>
    <t>Guanine</t>
  </si>
  <si>
    <t>7(S)-Maresin-1</t>
  </si>
  <si>
    <t>Vancomycin Aglycon</t>
  </si>
  <si>
    <t>D-Ornithine</t>
  </si>
  <si>
    <t>Hypoxanthine</t>
  </si>
  <si>
    <t>9-OxoODE</t>
  </si>
  <si>
    <t>Lineolic acids and derivatives</t>
  </si>
  <si>
    <t>class.error</t>
  </si>
  <si>
    <t>Organic polymers</t>
  </si>
  <si>
    <t>Phenylpropanoids and polyketides</t>
  </si>
  <si>
    <t>Fatty Acyls</t>
  </si>
  <si>
    <t>Flavonoids</t>
  </si>
  <si>
    <t>Hydroxysteroids</t>
  </si>
  <si>
    <t>O-methylated flavonoids</t>
  </si>
  <si>
    <t>Row</t>
  </si>
  <si>
    <t>Predicted.Kingdom</t>
  </si>
  <si>
    <t>Predicted.Super.Class</t>
  </si>
  <si>
    <t>Predicted.Class</t>
  </si>
  <si>
    <t>Predicted.Subclass</t>
  </si>
  <si>
    <t>counts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</si>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</sst>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317" workbookViewId="0">
      <selection activeCell="T352" sqref="T352"/>
    </sheetView>
  </sheetViews>
  <sheetFormatPr baseColWidth="10" defaultRowHeight="16"/>
  <sheetData>
    <row r="1" spans="1:23">
      <c r="A1" t="s">
        <v>413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419</v>
      </c>
    </row>
    <row r="2" spans="1:23">
      <c r="A2">
        <v>1</v>
      </c>
      <c r="B2" t="s">
        <v>17</v>
      </c>
      <c r="C2">
        <v>512.26239999999996</v>
      </c>
      <c r="D2">
        <v>233.8</v>
      </c>
      <c r="E2">
        <v>-0.690432434624483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0.84</v>
      </c>
      <c r="L2" t="s">
        <v>21</v>
      </c>
      <c r="M2" t="s">
        <v>19</v>
      </c>
      <c r="N2">
        <v>0.89</v>
      </c>
      <c r="O2" t="s">
        <v>22</v>
      </c>
      <c r="P2" t="s">
        <v>19</v>
      </c>
      <c r="Q2">
        <v>0.93</v>
      </c>
      <c r="R2" t="s">
        <v>23</v>
      </c>
      <c r="S2">
        <v>4</v>
      </c>
      <c r="U2" s="3" t="s">
        <v>418</v>
      </c>
      <c r="V2" s="4">
        <v>4</v>
      </c>
      <c r="W2" s="4">
        <f>COUNTIF($S$2:$S$355,"4")</f>
        <v>354</v>
      </c>
    </row>
    <row r="3" spans="1:23">
      <c r="A3">
        <v>2</v>
      </c>
      <c r="B3" t="s">
        <v>24</v>
      </c>
      <c r="C3">
        <v>306.12369999999999</v>
      </c>
      <c r="D3">
        <v>174.7</v>
      </c>
      <c r="E3">
        <v>-0.78189699553837499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0.69</v>
      </c>
      <c r="L3" t="s">
        <v>26</v>
      </c>
      <c r="M3" t="s">
        <v>19</v>
      </c>
      <c r="N3">
        <v>0.89</v>
      </c>
      <c r="O3" t="s">
        <v>27</v>
      </c>
      <c r="P3" t="s">
        <v>19</v>
      </c>
      <c r="Q3">
        <v>0.67700000000000005</v>
      </c>
      <c r="R3" t="s">
        <v>23</v>
      </c>
      <c r="S3">
        <v>4</v>
      </c>
      <c r="U3" s="3"/>
      <c r="V3" s="4">
        <v>3</v>
      </c>
      <c r="W3" s="4">
        <f t="shared" ref="W3" si="0">COUNTIF($S$2:$S$355,"3")</f>
        <v>0</v>
      </c>
    </row>
    <row r="4" spans="1:23">
      <c r="A4">
        <v>3</v>
      </c>
      <c r="B4" t="s">
        <v>28</v>
      </c>
      <c r="C4">
        <v>267.08100000000002</v>
      </c>
      <c r="D4">
        <v>162.6</v>
      </c>
      <c r="E4">
        <v>-0.78279019711766296</v>
      </c>
      <c r="F4" t="s">
        <v>18</v>
      </c>
      <c r="G4" t="s">
        <v>19</v>
      </c>
      <c r="H4">
        <v>1</v>
      </c>
      <c r="I4" t="s">
        <v>25</v>
      </c>
      <c r="J4" t="s">
        <v>19</v>
      </c>
      <c r="K4">
        <v>0.89</v>
      </c>
      <c r="L4" t="s">
        <v>29</v>
      </c>
      <c r="M4" t="s">
        <v>19</v>
      </c>
      <c r="N4">
        <v>0.85</v>
      </c>
      <c r="O4" t="s">
        <v>30</v>
      </c>
      <c r="P4" t="s">
        <v>19</v>
      </c>
      <c r="Q4">
        <v>0.997</v>
      </c>
      <c r="R4" t="s">
        <v>23</v>
      </c>
      <c r="S4">
        <v>4</v>
      </c>
      <c r="U4" s="3"/>
      <c r="V4" s="4">
        <v>2</v>
      </c>
      <c r="W4" s="4">
        <f>COUNTIF($S$2:$S$355,"2")</f>
        <v>0</v>
      </c>
    </row>
    <row r="5" spans="1:23">
      <c r="A5">
        <v>4</v>
      </c>
      <c r="B5" t="s">
        <v>31</v>
      </c>
      <c r="C5">
        <v>803.70060000000001</v>
      </c>
      <c r="D5">
        <v>303.5</v>
      </c>
      <c r="E5">
        <v>-0.80322655335862703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1</v>
      </c>
      <c r="L5" t="s">
        <v>32</v>
      </c>
      <c r="M5" t="s">
        <v>19</v>
      </c>
      <c r="N5">
        <v>1</v>
      </c>
      <c r="O5" t="s">
        <v>33</v>
      </c>
      <c r="P5" t="s">
        <v>19</v>
      </c>
      <c r="Q5">
        <v>0.77200000000000002</v>
      </c>
      <c r="R5" t="s">
        <v>23</v>
      </c>
      <c r="S5">
        <v>4</v>
      </c>
      <c r="U5" s="3"/>
      <c r="V5" s="4">
        <v>1</v>
      </c>
      <c r="W5" s="4">
        <f>COUNTIF($S$2:$S$355,"1")</f>
        <v>0</v>
      </c>
    </row>
    <row r="6" spans="1:23">
      <c r="A6">
        <v>5</v>
      </c>
      <c r="B6" t="s">
        <v>34</v>
      </c>
      <c r="C6">
        <v>869.452</v>
      </c>
      <c r="D6">
        <v>293.10000000000002</v>
      </c>
      <c r="E6">
        <v>-0.481211701559914</v>
      </c>
      <c r="F6" t="s">
        <v>18</v>
      </c>
      <c r="G6" t="s">
        <v>19</v>
      </c>
      <c r="H6">
        <v>1</v>
      </c>
      <c r="I6" t="s">
        <v>35</v>
      </c>
      <c r="J6" t="s">
        <v>19</v>
      </c>
      <c r="K6">
        <v>0.62</v>
      </c>
      <c r="L6" t="s">
        <v>36</v>
      </c>
      <c r="M6" t="s">
        <v>19</v>
      </c>
      <c r="N6">
        <v>0.97</v>
      </c>
      <c r="O6" t="s">
        <v>37</v>
      </c>
      <c r="P6" t="s">
        <v>19</v>
      </c>
      <c r="Q6">
        <v>1</v>
      </c>
      <c r="R6" t="s">
        <v>23</v>
      </c>
      <c r="S6">
        <v>4</v>
      </c>
      <c r="U6" s="5"/>
      <c r="V6" s="6">
        <v>0</v>
      </c>
      <c r="W6" s="6">
        <f>COUNTIF($S$2:$S$355,"0")</f>
        <v>0</v>
      </c>
    </row>
    <row r="7" spans="1:23">
      <c r="A7">
        <v>6</v>
      </c>
      <c r="B7" t="s">
        <v>38</v>
      </c>
      <c r="C7">
        <v>836.452</v>
      </c>
      <c r="D7">
        <v>281.7</v>
      </c>
      <c r="E7">
        <v>-0.51805791486276598</v>
      </c>
      <c r="F7" t="s">
        <v>18</v>
      </c>
      <c r="G7" t="s">
        <v>19</v>
      </c>
      <c r="H7">
        <v>1</v>
      </c>
      <c r="I7" t="s">
        <v>35</v>
      </c>
      <c r="J7" t="s">
        <v>19</v>
      </c>
      <c r="K7">
        <v>0.89</v>
      </c>
      <c r="L7" t="s">
        <v>36</v>
      </c>
      <c r="M7" t="s">
        <v>19</v>
      </c>
      <c r="N7">
        <v>1</v>
      </c>
      <c r="O7" t="s">
        <v>37</v>
      </c>
      <c r="P7" t="s">
        <v>19</v>
      </c>
      <c r="Q7">
        <v>1</v>
      </c>
      <c r="R7" t="s">
        <v>23</v>
      </c>
      <c r="S7">
        <v>4</v>
      </c>
      <c r="U7" s="4"/>
      <c r="V7" s="4"/>
      <c r="W7" s="4">
        <f>SUM(W2:W6)</f>
        <v>354</v>
      </c>
    </row>
    <row r="8" spans="1:23">
      <c r="A8">
        <v>7</v>
      </c>
      <c r="B8" t="s">
        <v>39</v>
      </c>
      <c r="C8">
        <v>812.51819999999998</v>
      </c>
      <c r="D8">
        <v>286.10000000000002</v>
      </c>
      <c r="E8">
        <v>-0.61098124516411201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1</v>
      </c>
      <c r="L8" t="s">
        <v>21</v>
      </c>
      <c r="M8" t="s">
        <v>19</v>
      </c>
      <c r="N8">
        <v>1</v>
      </c>
      <c r="O8" t="s">
        <v>40</v>
      </c>
      <c r="P8" t="s">
        <v>19</v>
      </c>
      <c r="Q8">
        <v>0.76400000000000001</v>
      </c>
      <c r="R8" t="s">
        <v>23</v>
      </c>
      <c r="S8">
        <v>4</v>
      </c>
    </row>
    <row r="9" spans="1:23">
      <c r="A9">
        <v>8</v>
      </c>
      <c r="B9" t="s">
        <v>41</v>
      </c>
      <c r="C9">
        <v>1702.4559999999999</v>
      </c>
      <c r="D9">
        <v>394.3</v>
      </c>
      <c r="E9">
        <v>-0.555119487436741</v>
      </c>
      <c r="F9" t="s">
        <v>18</v>
      </c>
      <c r="G9" t="s">
        <v>19</v>
      </c>
      <c r="H9">
        <v>1</v>
      </c>
      <c r="I9" t="s">
        <v>35</v>
      </c>
      <c r="J9" t="s">
        <v>19</v>
      </c>
      <c r="K9">
        <v>0.75</v>
      </c>
      <c r="L9" t="s">
        <v>36</v>
      </c>
      <c r="M9" t="s">
        <v>19</v>
      </c>
      <c r="N9">
        <v>0.93</v>
      </c>
      <c r="O9" t="s">
        <v>37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42</v>
      </c>
      <c r="C10">
        <v>270.0138</v>
      </c>
      <c r="D10">
        <v>161.4</v>
      </c>
      <c r="E10">
        <v>-0.712315573651779</v>
      </c>
      <c r="F10" t="s">
        <v>18</v>
      </c>
      <c r="G10" t="s">
        <v>19</v>
      </c>
      <c r="H10">
        <v>1</v>
      </c>
      <c r="I10" t="s">
        <v>43</v>
      </c>
      <c r="J10" t="s">
        <v>19</v>
      </c>
      <c r="K10">
        <v>0.82</v>
      </c>
      <c r="L10" t="s">
        <v>44</v>
      </c>
      <c r="M10" t="s">
        <v>19</v>
      </c>
      <c r="N10">
        <v>0.92</v>
      </c>
      <c r="O10" t="s">
        <v>45</v>
      </c>
      <c r="P10" t="s">
        <v>19</v>
      </c>
      <c r="Q10">
        <v>0.95699999999999996</v>
      </c>
      <c r="R10" t="s">
        <v>23</v>
      </c>
      <c r="S10">
        <v>4</v>
      </c>
    </row>
    <row r="11" spans="1:23">
      <c r="A11">
        <v>10</v>
      </c>
      <c r="B11" t="s">
        <v>46</v>
      </c>
      <c r="C11">
        <v>547.88130000000001</v>
      </c>
      <c r="D11">
        <v>189.2</v>
      </c>
      <c r="E11">
        <v>-0.269562083503047</v>
      </c>
      <c r="F11" t="s">
        <v>18</v>
      </c>
      <c r="G11" t="s">
        <v>19</v>
      </c>
      <c r="H11">
        <v>0.99399999999999999</v>
      </c>
      <c r="I11" t="s">
        <v>35</v>
      </c>
      <c r="J11" t="s">
        <v>19</v>
      </c>
      <c r="K11">
        <v>0.86</v>
      </c>
      <c r="L11" t="s">
        <v>36</v>
      </c>
      <c r="M11" t="s">
        <v>19</v>
      </c>
      <c r="N11">
        <v>1</v>
      </c>
      <c r="O11" t="s">
        <v>37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47</v>
      </c>
      <c r="C12">
        <v>580.39779999999996</v>
      </c>
      <c r="D12">
        <v>248.8</v>
      </c>
      <c r="E12">
        <v>-0.74975572305265803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21</v>
      </c>
      <c r="M12" t="s">
        <v>19</v>
      </c>
      <c r="N12">
        <v>1</v>
      </c>
      <c r="O12" t="s">
        <v>40</v>
      </c>
      <c r="P12" t="s">
        <v>19</v>
      </c>
      <c r="Q12">
        <v>0.73499999999999999</v>
      </c>
      <c r="R12" t="s">
        <v>23</v>
      </c>
      <c r="S12">
        <v>4</v>
      </c>
    </row>
    <row r="13" spans="1:23">
      <c r="A13">
        <v>12</v>
      </c>
      <c r="B13" t="s">
        <v>48</v>
      </c>
      <c r="C13">
        <v>365.10599999999999</v>
      </c>
      <c r="D13">
        <v>179</v>
      </c>
      <c r="E13">
        <v>-0.69834019532964897</v>
      </c>
      <c r="F13" t="s">
        <v>18</v>
      </c>
      <c r="G13" t="s">
        <v>19</v>
      </c>
      <c r="H13">
        <v>1</v>
      </c>
      <c r="I13" t="s">
        <v>49</v>
      </c>
      <c r="J13" t="s">
        <v>19</v>
      </c>
      <c r="K13">
        <v>1</v>
      </c>
      <c r="L13" t="s">
        <v>50</v>
      </c>
      <c r="M13" t="s">
        <v>19</v>
      </c>
      <c r="N13">
        <v>1</v>
      </c>
      <c r="O13" t="s">
        <v>51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52</v>
      </c>
      <c r="C14">
        <v>321.23910000000001</v>
      </c>
      <c r="D14">
        <v>181.3</v>
      </c>
      <c r="E14">
        <v>-0.88041986667303695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0.83</v>
      </c>
      <c r="L14" t="s">
        <v>53</v>
      </c>
      <c r="M14" t="s">
        <v>19</v>
      </c>
      <c r="N14">
        <v>0.97</v>
      </c>
      <c r="O14" t="s">
        <v>54</v>
      </c>
      <c r="P14" t="s">
        <v>19</v>
      </c>
      <c r="Q14">
        <v>0.877</v>
      </c>
      <c r="R14" t="s">
        <v>23</v>
      </c>
      <c r="S14">
        <v>4</v>
      </c>
    </row>
    <row r="15" spans="1:23">
      <c r="A15">
        <v>14</v>
      </c>
      <c r="B15" t="s">
        <v>55</v>
      </c>
      <c r="C15">
        <v>132.0652</v>
      </c>
      <c r="D15">
        <v>130.69999999999999</v>
      </c>
      <c r="E15">
        <v>-0.91774234760384799</v>
      </c>
      <c r="F15" t="s">
        <v>18</v>
      </c>
      <c r="G15" t="s">
        <v>19</v>
      </c>
      <c r="H15">
        <v>1</v>
      </c>
      <c r="I15" t="s">
        <v>35</v>
      </c>
      <c r="J15" t="s">
        <v>19</v>
      </c>
      <c r="K15">
        <v>1</v>
      </c>
      <c r="L15" t="s">
        <v>36</v>
      </c>
      <c r="M15" t="s">
        <v>19</v>
      </c>
      <c r="N15">
        <v>1</v>
      </c>
      <c r="O15" t="s">
        <v>37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56</v>
      </c>
      <c r="C16">
        <v>271.26249999999999</v>
      </c>
      <c r="D16">
        <v>189.6</v>
      </c>
      <c r="E16">
        <v>-0.95962133527137905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0.98</v>
      </c>
      <c r="L16" t="s">
        <v>53</v>
      </c>
      <c r="M16" t="s">
        <v>19</v>
      </c>
      <c r="N16">
        <v>0.91</v>
      </c>
      <c r="O16" t="s">
        <v>54</v>
      </c>
      <c r="P16" t="s">
        <v>19</v>
      </c>
      <c r="Q16">
        <v>0.96899999999999997</v>
      </c>
      <c r="R16" t="s">
        <v>23</v>
      </c>
      <c r="S16">
        <v>4</v>
      </c>
    </row>
    <row r="17" spans="1:19">
      <c r="A17">
        <v>16</v>
      </c>
      <c r="B17" t="s">
        <v>57</v>
      </c>
      <c r="C17">
        <v>352.0403</v>
      </c>
      <c r="D17">
        <v>181.3</v>
      </c>
      <c r="E17">
        <v>-0.647228727728134</v>
      </c>
      <c r="F17" t="s">
        <v>18</v>
      </c>
      <c r="G17" t="s">
        <v>19</v>
      </c>
      <c r="H17">
        <v>1</v>
      </c>
      <c r="I17" t="s">
        <v>58</v>
      </c>
      <c r="J17" t="s">
        <v>19</v>
      </c>
      <c r="K17">
        <v>0.93</v>
      </c>
      <c r="L17" t="s">
        <v>59</v>
      </c>
      <c r="M17" t="s">
        <v>19</v>
      </c>
      <c r="N17">
        <v>0.98</v>
      </c>
      <c r="O17" t="s">
        <v>60</v>
      </c>
      <c r="P17" t="s">
        <v>19</v>
      </c>
      <c r="Q17">
        <v>0.92800000000000005</v>
      </c>
      <c r="R17" t="s">
        <v>23</v>
      </c>
      <c r="S17">
        <v>4</v>
      </c>
    </row>
    <row r="18" spans="1:19">
      <c r="A18">
        <v>17</v>
      </c>
      <c r="B18" t="s">
        <v>61</v>
      </c>
      <c r="C18">
        <v>622.02949999999998</v>
      </c>
      <c r="D18">
        <v>203</v>
      </c>
      <c r="E18">
        <v>-0.334971768557011</v>
      </c>
      <c r="F18" t="s">
        <v>18</v>
      </c>
      <c r="G18" t="s">
        <v>19</v>
      </c>
      <c r="H18">
        <v>0.996</v>
      </c>
      <c r="I18" t="s">
        <v>62</v>
      </c>
      <c r="J18" t="s">
        <v>19</v>
      </c>
      <c r="K18">
        <v>0.9</v>
      </c>
      <c r="L18" t="s">
        <v>63</v>
      </c>
      <c r="M18" t="s">
        <v>19</v>
      </c>
      <c r="N18">
        <v>0.97</v>
      </c>
      <c r="O18" t="s">
        <v>64</v>
      </c>
      <c r="P18" t="s">
        <v>19</v>
      </c>
      <c r="Q18">
        <v>0.99199999999999999</v>
      </c>
      <c r="R18" t="s">
        <v>23</v>
      </c>
      <c r="S18">
        <v>4</v>
      </c>
    </row>
    <row r="19" spans="1:19">
      <c r="A19">
        <v>18</v>
      </c>
      <c r="B19" t="s">
        <v>65</v>
      </c>
      <c r="C19">
        <v>716.52739999999994</v>
      </c>
      <c r="D19">
        <v>266.7</v>
      </c>
      <c r="E19">
        <v>-0.72735995703987999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0.98</v>
      </c>
      <c r="L19" t="s">
        <v>21</v>
      </c>
      <c r="M19" t="s">
        <v>19</v>
      </c>
      <c r="N19">
        <v>1</v>
      </c>
      <c r="O19" t="s">
        <v>40</v>
      </c>
      <c r="P19" t="s">
        <v>19</v>
      </c>
      <c r="Q19">
        <v>0.96599999999999997</v>
      </c>
      <c r="R19" t="s">
        <v>23</v>
      </c>
      <c r="S19">
        <v>4</v>
      </c>
    </row>
    <row r="20" spans="1:19">
      <c r="A20">
        <v>19</v>
      </c>
      <c r="B20" t="s">
        <v>66</v>
      </c>
      <c r="C20">
        <v>385.01710000000003</v>
      </c>
      <c r="D20">
        <v>171</v>
      </c>
      <c r="E20">
        <v>-0.58720841842989602</v>
      </c>
      <c r="F20" t="s">
        <v>18</v>
      </c>
      <c r="G20" t="s">
        <v>19</v>
      </c>
      <c r="H20">
        <v>0.998</v>
      </c>
      <c r="I20" t="s">
        <v>58</v>
      </c>
      <c r="J20" t="s">
        <v>19</v>
      </c>
      <c r="K20">
        <v>0.98</v>
      </c>
      <c r="L20" t="s">
        <v>59</v>
      </c>
      <c r="M20" t="s">
        <v>19</v>
      </c>
      <c r="N20">
        <v>0.96</v>
      </c>
      <c r="O20" t="s">
        <v>67</v>
      </c>
      <c r="P20" t="s">
        <v>19</v>
      </c>
      <c r="Q20">
        <v>0.93300000000000005</v>
      </c>
      <c r="R20" t="s">
        <v>23</v>
      </c>
      <c r="S20">
        <v>4</v>
      </c>
    </row>
    <row r="21" spans="1:19">
      <c r="A21">
        <v>20</v>
      </c>
      <c r="B21" t="s">
        <v>68</v>
      </c>
      <c r="C21">
        <v>333.24299999999999</v>
      </c>
      <c r="D21">
        <v>189.2</v>
      </c>
      <c r="E21">
        <v>-0.87091688910135201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1</v>
      </c>
      <c r="L21" t="s">
        <v>69</v>
      </c>
      <c r="M21" t="s">
        <v>19</v>
      </c>
      <c r="N21">
        <v>0.88</v>
      </c>
      <c r="O21" t="s">
        <v>70</v>
      </c>
      <c r="P21" t="s">
        <v>19</v>
      </c>
      <c r="Q21">
        <v>0.67500000000000004</v>
      </c>
      <c r="R21" t="s">
        <v>23</v>
      </c>
      <c r="S21">
        <v>4</v>
      </c>
    </row>
    <row r="22" spans="1:19">
      <c r="A22">
        <v>21</v>
      </c>
      <c r="B22" t="s">
        <v>71</v>
      </c>
      <c r="C22">
        <v>585.27880000000005</v>
      </c>
      <c r="D22">
        <v>232.6</v>
      </c>
      <c r="E22">
        <v>-0.62530583313969101</v>
      </c>
      <c r="F22" t="s">
        <v>18</v>
      </c>
      <c r="G22" t="s">
        <v>19</v>
      </c>
      <c r="H22">
        <v>1</v>
      </c>
      <c r="I22" t="s">
        <v>35</v>
      </c>
      <c r="J22" t="s">
        <v>19</v>
      </c>
      <c r="K22">
        <v>0.82</v>
      </c>
      <c r="L22" t="s">
        <v>36</v>
      </c>
      <c r="M22" t="s">
        <v>19</v>
      </c>
      <c r="N22">
        <v>1</v>
      </c>
      <c r="O22" t="s">
        <v>37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72</v>
      </c>
      <c r="C23">
        <v>855.66300000000001</v>
      </c>
      <c r="D23">
        <v>304.89999999999998</v>
      </c>
      <c r="E23">
        <v>-0.70760783596097099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32</v>
      </c>
      <c r="M23" t="s">
        <v>19</v>
      </c>
      <c r="N23">
        <v>0.84</v>
      </c>
      <c r="O23" t="s">
        <v>33</v>
      </c>
      <c r="P23" t="s">
        <v>19</v>
      </c>
      <c r="Q23">
        <v>0.77600000000000002</v>
      </c>
      <c r="R23" t="s">
        <v>23</v>
      </c>
      <c r="S23">
        <v>4</v>
      </c>
    </row>
    <row r="24" spans="1:19">
      <c r="A24">
        <v>23</v>
      </c>
      <c r="B24" t="s">
        <v>73</v>
      </c>
      <c r="C24">
        <v>122.02760000000001</v>
      </c>
      <c r="D24">
        <v>148.6</v>
      </c>
      <c r="E24">
        <v>-0.89134984913863502</v>
      </c>
      <c r="F24" t="s">
        <v>18</v>
      </c>
      <c r="G24" t="s">
        <v>19</v>
      </c>
      <c r="H24">
        <v>1</v>
      </c>
      <c r="I24" t="s">
        <v>35</v>
      </c>
      <c r="J24" t="s">
        <v>19</v>
      </c>
      <c r="K24">
        <v>0.86</v>
      </c>
      <c r="L24" t="s">
        <v>36</v>
      </c>
      <c r="M24" t="s">
        <v>19</v>
      </c>
      <c r="N24">
        <v>1</v>
      </c>
      <c r="O24" t="s">
        <v>37</v>
      </c>
      <c r="P24" t="s">
        <v>19</v>
      </c>
      <c r="Q24">
        <v>0.998</v>
      </c>
      <c r="R24" t="s">
        <v>23</v>
      </c>
      <c r="S24">
        <v>4</v>
      </c>
    </row>
    <row r="25" spans="1:19">
      <c r="A25">
        <v>24</v>
      </c>
      <c r="B25" t="s">
        <v>74</v>
      </c>
      <c r="C25">
        <v>509.3329</v>
      </c>
      <c r="D25">
        <v>224.3</v>
      </c>
      <c r="E25">
        <v>-0.76420337346911504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0.94</v>
      </c>
      <c r="L25" t="s">
        <v>21</v>
      </c>
      <c r="M25" t="s">
        <v>19</v>
      </c>
      <c r="N25">
        <v>0.89</v>
      </c>
      <c r="O25" t="s">
        <v>40</v>
      </c>
      <c r="P25" t="s">
        <v>19</v>
      </c>
      <c r="Q25">
        <v>0.63300000000000001</v>
      </c>
      <c r="R25" t="s">
        <v>23</v>
      </c>
      <c r="S25">
        <v>4</v>
      </c>
    </row>
    <row r="26" spans="1:19">
      <c r="A26">
        <v>25</v>
      </c>
      <c r="B26" t="s">
        <v>75</v>
      </c>
      <c r="C26">
        <v>466.01080000000002</v>
      </c>
      <c r="D26">
        <v>188.4</v>
      </c>
      <c r="E26">
        <v>-0.49047474732742602</v>
      </c>
      <c r="F26" t="s">
        <v>18</v>
      </c>
      <c r="G26" t="s">
        <v>19</v>
      </c>
      <c r="H26">
        <v>1</v>
      </c>
      <c r="I26" t="s">
        <v>58</v>
      </c>
      <c r="J26" t="s">
        <v>19</v>
      </c>
      <c r="K26">
        <v>0.96</v>
      </c>
      <c r="L26" t="s">
        <v>59</v>
      </c>
      <c r="M26" t="s">
        <v>19</v>
      </c>
      <c r="N26">
        <v>0.8</v>
      </c>
      <c r="O26" t="s">
        <v>67</v>
      </c>
      <c r="P26" t="s">
        <v>19</v>
      </c>
      <c r="Q26">
        <v>0.92600000000000005</v>
      </c>
      <c r="R26" t="s">
        <v>23</v>
      </c>
      <c r="S26">
        <v>4</v>
      </c>
    </row>
    <row r="27" spans="1:19">
      <c r="A27">
        <v>26</v>
      </c>
      <c r="B27" t="s">
        <v>76</v>
      </c>
      <c r="C27">
        <v>298.12419999999997</v>
      </c>
      <c r="D27">
        <v>167.5</v>
      </c>
      <c r="E27">
        <v>-0.79132885260850105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0.7</v>
      </c>
      <c r="L27" t="s">
        <v>53</v>
      </c>
      <c r="M27" t="s">
        <v>19</v>
      </c>
      <c r="N27">
        <v>0.65</v>
      </c>
      <c r="O27" t="s">
        <v>77</v>
      </c>
      <c r="P27" t="s">
        <v>19</v>
      </c>
      <c r="Q27">
        <v>0.86899999999999999</v>
      </c>
      <c r="R27" t="s">
        <v>23</v>
      </c>
      <c r="S27">
        <v>4</v>
      </c>
    </row>
    <row r="28" spans="1:19">
      <c r="A28">
        <v>27</v>
      </c>
      <c r="B28" t="s">
        <v>78</v>
      </c>
      <c r="C28">
        <v>105.02249999999999</v>
      </c>
      <c r="D28">
        <v>112.8</v>
      </c>
      <c r="E28">
        <v>-0.90523692616392304</v>
      </c>
      <c r="F28" t="s">
        <v>18</v>
      </c>
      <c r="G28" t="s">
        <v>19</v>
      </c>
      <c r="H28">
        <v>1</v>
      </c>
      <c r="I28" t="s">
        <v>49</v>
      </c>
      <c r="J28" t="s">
        <v>19</v>
      </c>
      <c r="K28">
        <v>0.68</v>
      </c>
      <c r="L28" t="s">
        <v>50</v>
      </c>
      <c r="M28" t="s">
        <v>19</v>
      </c>
      <c r="N28">
        <v>1</v>
      </c>
      <c r="O28" t="s">
        <v>51</v>
      </c>
      <c r="P28" t="s">
        <v>19</v>
      </c>
      <c r="Q28">
        <v>0.55400000000000005</v>
      </c>
      <c r="R28" t="s">
        <v>23</v>
      </c>
      <c r="S28">
        <v>4</v>
      </c>
    </row>
    <row r="29" spans="1:19">
      <c r="A29">
        <v>28</v>
      </c>
      <c r="B29" t="s">
        <v>79</v>
      </c>
      <c r="C29">
        <v>132.03120000000001</v>
      </c>
      <c r="D29">
        <v>120.1</v>
      </c>
      <c r="E29">
        <v>-0.88378031036907601</v>
      </c>
      <c r="F29" t="s">
        <v>18</v>
      </c>
      <c r="G29" t="s">
        <v>19</v>
      </c>
      <c r="H29">
        <v>1</v>
      </c>
      <c r="I29" t="s">
        <v>35</v>
      </c>
      <c r="J29" t="s">
        <v>19</v>
      </c>
      <c r="K29">
        <v>0.97</v>
      </c>
      <c r="L29" t="s">
        <v>36</v>
      </c>
      <c r="M29" t="s">
        <v>19</v>
      </c>
      <c r="N29">
        <v>1</v>
      </c>
      <c r="O29" t="s">
        <v>37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80</v>
      </c>
      <c r="C30">
        <v>368.03719999999998</v>
      </c>
      <c r="D30">
        <v>179.7</v>
      </c>
      <c r="E30">
        <v>-0.62626735834680902</v>
      </c>
      <c r="F30" t="s">
        <v>18</v>
      </c>
      <c r="G30" t="s">
        <v>19</v>
      </c>
      <c r="H30">
        <v>1</v>
      </c>
      <c r="I30" t="s">
        <v>58</v>
      </c>
      <c r="J30" t="s">
        <v>19</v>
      </c>
      <c r="K30">
        <v>0.71</v>
      </c>
      <c r="L30" t="s">
        <v>59</v>
      </c>
      <c r="M30" t="s">
        <v>19</v>
      </c>
      <c r="N30">
        <v>1</v>
      </c>
      <c r="O30" t="s">
        <v>67</v>
      </c>
      <c r="P30" t="s">
        <v>19</v>
      </c>
      <c r="Q30">
        <v>0.79900000000000004</v>
      </c>
      <c r="R30" t="s">
        <v>23</v>
      </c>
      <c r="S30">
        <v>4</v>
      </c>
    </row>
    <row r="31" spans="1:19">
      <c r="A31">
        <v>30</v>
      </c>
      <c r="B31" t="s">
        <v>81</v>
      </c>
      <c r="C31">
        <v>959.96619999999996</v>
      </c>
      <c r="D31">
        <v>247.2</v>
      </c>
      <c r="E31">
        <v>-0.89434789791960201</v>
      </c>
      <c r="F31" t="s">
        <v>18</v>
      </c>
      <c r="G31" t="s">
        <v>19</v>
      </c>
      <c r="H31">
        <v>0.996</v>
      </c>
      <c r="I31" t="s">
        <v>62</v>
      </c>
      <c r="J31" t="s">
        <v>19</v>
      </c>
      <c r="K31">
        <v>0.95</v>
      </c>
      <c r="L31" t="s">
        <v>63</v>
      </c>
      <c r="M31" t="s">
        <v>19</v>
      </c>
      <c r="N31">
        <v>1</v>
      </c>
      <c r="O31" t="s">
        <v>64</v>
      </c>
      <c r="P31" t="s">
        <v>19</v>
      </c>
      <c r="Q31">
        <v>0.998</v>
      </c>
      <c r="R31" t="s">
        <v>23</v>
      </c>
      <c r="S31">
        <v>4</v>
      </c>
    </row>
    <row r="32" spans="1:19">
      <c r="A32">
        <v>31</v>
      </c>
      <c r="B32" t="s">
        <v>82</v>
      </c>
      <c r="C32">
        <v>381.07830000000001</v>
      </c>
      <c r="D32">
        <v>179.8</v>
      </c>
      <c r="E32">
        <v>-0.65280629312553595</v>
      </c>
      <c r="F32" t="s">
        <v>18</v>
      </c>
      <c r="G32" t="s">
        <v>19</v>
      </c>
      <c r="H32">
        <v>1</v>
      </c>
      <c r="I32" t="s">
        <v>49</v>
      </c>
      <c r="J32" t="s">
        <v>19</v>
      </c>
      <c r="K32">
        <v>0.98</v>
      </c>
      <c r="L32" t="s">
        <v>50</v>
      </c>
      <c r="M32" t="s">
        <v>19</v>
      </c>
      <c r="N32">
        <v>1</v>
      </c>
      <c r="O32" t="s">
        <v>51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83</v>
      </c>
      <c r="C33">
        <v>249.00049999999999</v>
      </c>
      <c r="D33">
        <v>148.69999999999999</v>
      </c>
      <c r="E33">
        <v>-0.722478014075847</v>
      </c>
      <c r="F33" t="s">
        <v>18</v>
      </c>
      <c r="G33" t="s">
        <v>19</v>
      </c>
      <c r="H33">
        <v>1</v>
      </c>
      <c r="I33" t="s">
        <v>49</v>
      </c>
      <c r="J33" t="s">
        <v>19</v>
      </c>
      <c r="K33">
        <v>0.82</v>
      </c>
      <c r="L33" t="s">
        <v>50</v>
      </c>
      <c r="M33" t="s">
        <v>19</v>
      </c>
      <c r="N33">
        <v>1</v>
      </c>
      <c r="O33" t="s">
        <v>51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84</v>
      </c>
      <c r="C34">
        <v>136.04769999999999</v>
      </c>
      <c r="D34">
        <v>132.9</v>
      </c>
      <c r="E34">
        <v>-0.89579567958932704</v>
      </c>
      <c r="F34" t="s">
        <v>18</v>
      </c>
      <c r="G34" t="s">
        <v>19</v>
      </c>
      <c r="H34">
        <v>1</v>
      </c>
      <c r="I34" t="s">
        <v>35</v>
      </c>
      <c r="J34" t="s">
        <v>19</v>
      </c>
      <c r="K34">
        <v>0.92</v>
      </c>
      <c r="L34" t="s">
        <v>36</v>
      </c>
      <c r="M34" t="s">
        <v>19</v>
      </c>
      <c r="N34">
        <v>1</v>
      </c>
      <c r="O34" t="s">
        <v>37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85</v>
      </c>
      <c r="C35">
        <v>1322.0594000000001</v>
      </c>
      <c r="D35">
        <v>230.9</v>
      </c>
      <c r="E35">
        <v>-0.58325204086872895</v>
      </c>
      <c r="F35" t="s">
        <v>86</v>
      </c>
      <c r="G35" t="s">
        <v>19</v>
      </c>
      <c r="H35">
        <v>0.99399999999999999</v>
      </c>
      <c r="I35" t="s">
        <v>87</v>
      </c>
      <c r="J35" t="s">
        <v>19</v>
      </c>
      <c r="K35">
        <v>0.79</v>
      </c>
      <c r="L35" t="s">
        <v>88</v>
      </c>
      <c r="M35" t="s">
        <v>19</v>
      </c>
      <c r="N35">
        <v>1</v>
      </c>
      <c r="O35" t="s">
        <v>89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90</v>
      </c>
      <c r="C36">
        <v>1305.3434</v>
      </c>
      <c r="D36">
        <v>351.9</v>
      </c>
      <c r="E36">
        <v>-0.88591632273437404</v>
      </c>
      <c r="F36" t="s">
        <v>18</v>
      </c>
      <c r="G36" t="s">
        <v>19</v>
      </c>
      <c r="H36">
        <v>0.98199999999999998</v>
      </c>
      <c r="I36" t="s">
        <v>35</v>
      </c>
      <c r="J36" t="s">
        <v>19</v>
      </c>
      <c r="K36">
        <v>0.9</v>
      </c>
      <c r="L36" t="s">
        <v>36</v>
      </c>
      <c r="M36" t="s">
        <v>19</v>
      </c>
      <c r="N36">
        <v>0.81</v>
      </c>
      <c r="O36" t="s">
        <v>37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65</v>
      </c>
      <c r="C37">
        <v>756.49450000000002</v>
      </c>
      <c r="D37">
        <v>278.7</v>
      </c>
      <c r="E37">
        <v>-0.64983461486747296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1</v>
      </c>
      <c r="L37" t="s">
        <v>21</v>
      </c>
      <c r="M37" t="s">
        <v>19</v>
      </c>
      <c r="N37">
        <v>1</v>
      </c>
      <c r="O37" t="s">
        <v>40</v>
      </c>
      <c r="P37" t="s">
        <v>19</v>
      </c>
      <c r="Q37">
        <v>0.88500000000000001</v>
      </c>
      <c r="R37" t="s">
        <v>23</v>
      </c>
      <c r="S37">
        <v>4</v>
      </c>
    </row>
    <row r="38" spans="1:19">
      <c r="A38">
        <v>37</v>
      </c>
      <c r="B38" t="s">
        <v>91</v>
      </c>
      <c r="C38">
        <v>147.1123</v>
      </c>
      <c r="D38">
        <v>131.1</v>
      </c>
      <c r="E38">
        <v>-0.94804147923451898</v>
      </c>
      <c r="F38" t="s">
        <v>18</v>
      </c>
      <c r="G38" t="s">
        <v>19</v>
      </c>
      <c r="H38">
        <v>1</v>
      </c>
      <c r="I38" t="s">
        <v>35</v>
      </c>
      <c r="J38" t="s">
        <v>19</v>
      </c>
      <c r="K38">
        <v>0.92</v>
      </c>
      <c r="L38" t="s">
        <v>36</v>
      </c>
      <c r="M38" t="s">
        <v>19</v>
      </c>
      <c r="N38">
        <v>1</v>
      </c>
      <c r="O38" t="s">
        <v>37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92</v>
      </c>
      <c r="C39">
        <v>795.49159999999995</v>
      </c>
      <c r="D39">
        <v>284.2</v>
      </c>
      <c r="E39">
        <v>-0.60339232805563403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1</v>
      </c>
      <c r="L39" t="s">
        <v>21</v>
      </c>
      <c r="M39" t="s">
        <v>19</v>
      </c>
      <c r="N39">
        <v>1</v>
      </c>
      <c r="O39" t="s">
        <v>93</v>
      </c>
      <c r="P39" t="s">
        <v>19</v>
      </c>
      <c r="Q39">
        <v>0.55800000000000005</v>
      </c>
      <c r="R39" t="s">
        <v>23</v>
      </c>
      <c r="S39">
        <v>4</v>
      </c>
    </row>
    <row r="40" spans="1:19">
      <c r="A40">
        <v>39</v>
      </c>
      <c r="B40" t="s">
        <v>94</v>
      </c>
      <c r="C40">
        <v>347.2586</v>
      </c>
      <c r="D40">
        <v>200.4</v>
      </c>
      <c r="E40">
        <v>-0.87086774403570599</v>
      </c>
      <c r="F40" t="s">
        <v>18</v>
      </c>
      <c r="G40" t="s">
        <v>19</v>
      </c>
      <c r="H40">
        <v>1</v>
      </c>
      <c r="I40" t="s">
        <v>20</v>
      </c>
      <c r="J40" t="s">
        <v>19</v>
      </c>
      <c r="K40">
        <v>1</v>
      </c>
      <c r="L40" t="s">
        <v>53</v>
      </c>
      <c r="M40" t="s">
        <v>19</v>
      </c>
      <c r="N40">
        <v>0.95</v>
      </c>
      <c r="O40" t="s">
        <v>54</v>
      </c>
      <c r="P40" t="s">
        <v>19</v>
      </c>
      <c r="Q40">
        <v>0.78900000000000003</v>
      </c>
      <c r="R40" t="s">
        <v>23</v>
      </c>
      <c r="S40">
        <v>4</v>
      </c>
    </row>
    <row r="41" spans="1:19">
      <c r="A41">
        <v>40</v>
      </c>
      <c r="B41" t="s">
        <v>95</v>
      </c>
      <c r="C41">
        <v>180.06370000000001</v>
      </c>
      <c r="D41">
        <v>145.80000000000001</v>
      </c>
      <c r="E41">
        <v>-0.86264953035495795</v>
      </c>
      <c r="F41" t="s">
        <v>18</v>
      </c>
      <c r="G41" t="s">
        <v>19</v>
      </c>
      <c r="H41">
        <v>1</v>
      </c>
      <c r="I41" t="s">
        <v>35</v>
      </c>
      <c r="J41" t="s">
        <v>19</v>
      </c>
      <c r="K41">
        <v>0.77</v>
      </c>
      <c r="L41" t="s">
        <v>36</v>
      </c>
      <c r="M41" t="s">
        <v>19</v>
      </c>
      <c r="N41">
        <v>1</v>
      </c>
      <c r="O41" t="s">
        <v>37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96</v>
      </c>
      <c r="C42">
        <v>203.053</v>
      </c>
      <c r="D42">
        <v>149.4</v>
      </c>
      <c r="E42">
        <v>-0.82628078334036603</v>
      </c>
      <c r="F42" t="s">
        <v>18</v>
      </c>
      <c r="G42" t="s">
        <v>19</v>
      </c>
      <c r="H42">
        <v>1</v>
      </c>
      <c r="I42" t="s">
        <v>43</v>
      </c>
      <c r="J42" t="s">
        <v>19</v>
      </c>
      <c r="K42">
        <v>0.77</v>
      </c>
      <c r="L42" t="s">
        <v>97</v>
      </c>
      <c r="M42" t="s">
        <v>19</v>
      </c>
      <c r="N42">
        <v>0.81</v>
      </c>
      <c r="O42" t="s">
        <v>98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99</v>
      </c>
      <c r="C43">
        <v>838.71360000000004</v>
      </c>
      <c r="D43">
        <v>306.3</v>
      </c>
      <c r="E43">
        <v>-0.77713272104438103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1</v>
      </c>
      <c r="L43" t="s">
        <v>32</v>
      </c>
      <c r="M43" t="s">
        <v>19</v>
      </c>
      <c r="N43">
        <v>1</v>
      </c>
      <c r="O43" t="s">
        <v>100</v>
      </c>
      <c r="P43" t="s">
        <v>19</v>
      </c>
      <c r="Q43">
        <v>0.91200000000000003</v>
      </c>
      <c r="R43" t="s">
        <v>23</v>
      </c>
      <c r="S43">
        <v>4</v>
      </c>
    </row>
    <row r="44" spans="1:19">
      <c r="A44">
        <v>43</v>
      </c>
      <c r="B44" t="s">
        <v>101</v>
      </c>
      <c r="C44">
        <v>628.03359999999998</v>
      </c>
      <c r="D44">
        <v>225.9</v>
      </c>
      <c r="E44">
        <v>-0.33236787918463101</v>
      </c>
      <c r="F44" t="s">
        <v>18</v>
      </c>
      <c r="G44" t="s">
        <v>19</v>
      </c>
      <c r="H44">
        <v>1</v>
      </c>
      <c r="I44" t="s">
        <v>58</v>
      </c>
      <c r="J44" t="s">
        <v>19</v>
      </c>
      <c r="K44">
        <v>0.95</v>
      </c>
      <c r="L44" t="s">
        <v>59</v>
      </c>
      <c r="M44" t="s">
        <v>19</v>
      </c>
      <c r="N44">
        <v>0.77</v>
      </c>
      <c r="O44" t="s">
        <v>102</v>
      </c>
      <c r="P44" t="s">
        <v>19</v>
      </c>
      <c r="Q44">
        <v>0.98</v>
      </c>
      <c r="R44" t="s">
        <v>23</v>
      </c>
      <c r="S44">
        <v>4</v>
      </c>
    </row>
    <row r="45" spans="1:19">
      <c r="A45">
        <v>44</v>
      </c>
      <c r="B45" t="s">
        <v>103</v>
      </c>
      <c r="C45">
        <v>798.65060000000005</v>
      </c>
      <c r="D45">
        <v>291.60000000000002</v>
      </c>
      <c r="E45">
        <v>-0.75886514054593601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1</v>
      </c>
      <c r="L45" t="s">
        <v>32</v>
      </c>
      <c r="M45" t="s">
        <v>19</v>
      </c>
      <c r="N45">
        <v>1</v>
      </c>
      <c r="O45" t="s">
        <v>100</v>
      </c>
      <c r="P45" t="s">
        <v>19</v>
      </c>
      <c r="Q45">
        <v>0.95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192.0727</v>
      </c>
      <c r="D46">
        <v>138.6</v>
      </c>
      <c r="E46">
        <v>-0.85824085836850394</v>
      </c>
      <c r="F46" t="s">
        <v>18</v>
      </c>
      <c r="G46" t="s">
        <v>19</v>
      </c>
      <c r="H46">
        <v>1</v>
      </c>
      <c r="I46" t="s">
        <v>35</v>
      </c>
      <c r="J46" t="s">
        <v>19</v>
      </c>
      <c r="K46">
        <v>0.74</v>
      </c>
      <c r="L46" t="s">
        <v>36</v>
      </c>
      <c r="M46" t="s">
        <v>19</v>
      </c>
      <c r="N46">
        <v>1</v>
      </c>
      <c r="O46" t="s">
        <v>37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105</v>
      </c>
      <c r="C47">
        <v>1521.9322</v>
      </c>
      <c r="D47">
        <v>254</v>
      </c>
      <c r="E47">
        <v>-0.232883682619558</v>
      </c>
      <c r="F47" t="s">
        <v>86</v>
      </c>
      <c r="G47" t="s">
        <v>19</v>
      </c>
      <c r="H47">
        <v>0.98</v>
      </c>
      <c r="I47" t="s">
        <v>87</v>
      </c>
      <c r="J47" t="s">
        <v>19</v>
      </c>
      <c r="K47">
        <v>0.88</v>
      </c>
      <c r="L47" t="s">
        <v>88</v>
      </c>
      <c r="M47" t="s">
        <v>19</v>
      </c>
      <c r="N47">
        <v>1</v>
      </c>
      <c r="O47" t="s">
        <v>89</v>
      </c>
      <c r="P47" t="s">
        <v>19</v>
      </c>
      <c r="Q47">
        <v>1</v>
      </c>
      <c r="R47" t="s">
        <v>23</v>
      </c>
      <c r="S47">
        <v>4</v>
      </c>
    </row>
    <row r="48" spans="1:19">
      <c r="A48">
        <v>47</v>
      </c>
      <c r="B48" t="s">
        <v>106</v>
      </c>
      <c r="C48">
        <v>472.30560000000003</v>
      </c>
      <c r="D48">
        <v>203.8</v>
      </c>
      <c r="E48">
        <v>-0.77824627631235899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0.83</v>
      </c>
      <c r="L48" t="s">
        <v>69</v>
      </c>
      <c r="M48" t="s">
        <v>19</v>
      </c>
      <c r="N48">
        <v>0.98</v>
      </c>
      <c r="O48" t="s">
        <v>107</v>
      </c>
      <c r="P48" t="s">
        <v>19</v>
      </c>
      <c r="Q48">
        <v>0.995</v>
      </c>
      <c r="R48" t="s">
        <v>23</v>
      </c>
      <c r="S48">
        <v>4</v>
      </c>
    </row>
    <row r="49" spans="1:19">
      <c r="A49">
        <v>48</v>
      </c>
      <c r="B49" t="s">
        <v>108</v>
      </c>
      <c r="C49">
        <v>191.05860000000001</v>
      </c>
      <c r="D49">
        <v>134.80000000000001</v>
      </c>
      <c r="E49">
        <v>-0.84527315366884204</v>
      </c>
      <c r="F49" t="s">
        <v>18</v>
      </c>
      <c r="G49" t="s">
        <v>19</v>
      </c>
      <c r="H49">
        <v>1</v>
      </c>
      <c r="I49" t="s">
        <v>49</v>
      </c>
      <c r="J49" t="s">
        <v>19</v>
      </c>
      <c r="K49">
        <v>0.75</v>
      </c>
      <c r="L49" t="s">
        <v>50</v>
      </c>
      <c r="M49" t="s">
        <v>19</v>
      </c>
      <c r="N49">
        <v>1</v>
      </c>
      <c r="O49" t="s">
        <v>109</v>
      </c>
      <c r="P49" t="s">
        <v>19</v>
      </c>
      <c r="Q49">
        <v>0.60399999999999998</v>
      </c>
      <c r="R49" t="s">
        <v>23</v>
      </c>
      <c r="S49">
        <v>4</v>
      </c>
    </row>
    <row r="50" spans="1:19">
      <c r="A50">
        <v>49</v>
      </c>
      <c r="B50" t="s">
        <v>110</v>
      </c>
      <c r="C50">
        <v>221.09200000000001</v>
      </c>
      <c r="D50">
        <v>155.6</v>
      </c>
      <c r="E50">
        <v>-0.84513930328679998</v>
      </c>
      <c r="F50" t="s">
        <v>18</v>
      </c>
      <c r="G50" t="s">
        <v>19</v>
      </c>
      <c r="H50">
        <v>1</v>
      </c>
      <c r="I50" t="s">
        <v>43</v>
      </c>
      <c r="J50" t="s">
        <v>19</v>
      </c>
      <c r="K50">
        <v>0.68</v>
      </c>
      <c r="L50" t="s">
        <v>111</v>
      </c>
      <c r="M50" t="s">
        <v>19</v>
      </c>
      <c r="N50">
        <v>0.93</v>
      </c>
      <c r="O50" t="s">
        <v>112</v>
      </c>
      <c r="P50" t="s">
        <v>19</v>
      </c>
      <c r="Q50">
        <v>0.70299999999999996</v>
      </c>
      <c r="R50" t="s">
        <v>23</v>
      </c>
      <c r="S50">
        <v>4</v>
      </c>
    </row>
    <row r="51" spans="1:19">
      <c r="A51">
        <v>50</v>
      </c>
      <c r="B51" t="s">
        <v>113</v>
      </c>
      <c r="C51">
        <v>632.6345</v>
      </c>
      <c r="D51">
        <v>277.23</v>
      </c>
      <c r="E51">
        <v>-0.92813073546380997</v>
      </c>
      <c r="F51" t="s">
        <v>18</v>
      </c>
      <c r="G51" t="s">
        <v>19</v>
      </c>
      <c r="H51">
        <v>1</v>
      </c>
      <c r="I51" t="s">
        <v>20</v>
      </c>
      <c r="J51" t="s">
        <v>19</v>
      </c>
      <c r="K51">
        <v>1</v>
      </c>
      <c r="L51" t="s">
        <v>32</v>
      </c>
      <c r="M51" t="s">
        <v>19</v>
      </c>
      <c r="N51">
        <v>1</v>
      </c>
      <c r="O51" t="s">
        <v>114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115</v>
      </c>
      <c r="C52">
        <v>417.24599999999998</v>
      </c>
      <c r="D52">
        <v>200.3</v>
      </c>
      <c r="E52">
        <v>-0.78012317831121403</v>
      </c>
      <c r="F52" t="s">
        <v>18</v>
      </c>
      <c r="G52" t="s">
        <v>19</v>
      </c>
      <c r="H52">
        <v>1</v>
      </c>
      <c r="I52" t="s">
        <v>35</v>
      </c>
      <c r="J52" t="s">
        <v>19</v>
      </c>
      <c r="K52">
        <v>0.71</v>
      </c>
      <c r="L52" t="s">
        <v>36</v>
      </c>
      <c r="M52" t="s">
        <v>19</v>
      </c>
      <c r="N52">
        <v>1</v>
      </c>
      <c r="O52" t="s">
        <v>37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116</v>
      </c>
      <c r="C53">
        <v>188.05629999999999</v>
      </c>
      <c r="D53">
        <v>137</v>
      </c>
      <c r="E53">
        <v>-0.84632537749303105</v>
      </c>
      <c r="F53" t="s">
        <v>18</v>
      </c>
      <c r="G53" t="s">
        <v>19</v>
      </c>
      <c r="H53">
        <v>1</v>
      </c>
      <c r="I53" t="s">
        <v>35</v>
      </c>
      <c r="J53" t="s">
        <v>19</v>
      </c>
      <c r="K53">
        <v>0.64</v>
      </c>
      <c r="L53" t="s">
        <v>36</v>
      </c>
      <c r="M53" t="s">
        <v>19</v>
      </c>
      <c r="N53">
        <v>1</v>
      </c>
      <c r="O53" t="s">
        <v>37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117</v>
      </c>
      <c r="C54">
        <v>657.36800000000005</v>
      </c>
      <c r="D54">
        <v>240</v>
      </c>
      <c r="E54">
        <v>-0.63401449859350101</v>
      </c>
      <c r="F54" t="s">
        <v>18</v>
      </c>
      <c r="G54" t="s">
        <v>19</v>
      </c>
      <c r="H54">
        <v>1</v>
      </c>
      <c r="I54" t="s">
        <v>35</v>
      </c>
      <c r="J54" t="s">
        <v>19</v>
      </c>
      <c r="K54">
        <v>0.74</v>
      </c>
      <c r="L54" t="s">
        <v>36</v>
      </c>
      <c r="M54" t="s">
        <v>19</v>
      </c>
      <c r="N54">
        <v>0.95</v>
      </c>
      <c r="O54" t="s">
        <v>37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118</v>
      </c>
      <c r="C55">
        <v>372.83150000000001</v>
      </c>
      <c r="D55">
        <v>174</v>
      </c>
      <c r="E55">
        <v>-0.41521427348510498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0.99</v>
      </c>
      <c r="L55" t="s">
        <v>26</v>
      </c>
      <c r="M55" t="s">
        <v>19</v>
      </c>
      <c r="N55">
        <v>1</v>
      </c>
      <c r="O55" t="s">
        <v>119</v>
      </c>
      <c r="P55" t="s">
        <v>19</v>
      </c>
      <c r="Q55">
        <v>1</v>
      </c>
      <c r="R55" t="s">
        <v>23</v>
      </c>
      <c r="S55">
        <v>4</v>
      </c>
    </row>
    <row r="56" spans="1:19">
      <c r="A56">
        <v>55</v>
      </c>
      <c r="B56" t="s">
        <v>120</v>
      </c>
      <c r="C56">
        <v>237.1215</v>
      </c>
      <c r="D56">
        <v>156.5</v>
      </c>
      <c r="E56">
        <v>-0.85674153431293099</v>
      </c>
      <c r="F56" t="s">
        <v>18</v>
      </c>
      <c r="G56" t="s">
        <v>19</v>
      </c>
      <c r="H56">
        <v>1</v>
      </c>
      <c r="I56" t="s">
        <v>43</v>
      </c>
      <c r="J56" t="s">
        <v>19</v>
      </c>
      <c r="K56">
        <v>0.92</v>
      </c>
      <c r="L56" t="s">
        <v>121</v>
      </c>
      <c r="M56" t="s">
        <v>19</v>
      </c>
      <c r="N56">
        <v>0.81</v>
      </c>
      <c r="O56" t="s">
        <v>122</v>
      </c>
      <c r="P56" t="s">
        <v>19</v>
      </c>
      <c r="Q56">
        <v>0.995</v>
      </c>
      <c r="R56" t="s">
        <v>23</v>
      </c>
      <c r="S56">
        <v>4</v>
      </c>
    </row>
    <row r="57" spans="1:19">
      <c r="A57">
        <v>56</v>
      </c>
      <c r="B57" t="s">
        <v>123</v>
      </c>
      <c r="C57">
        <v>332.07600000000002</v>
      </c>
      <c r="D57">
        <v>168.6</v>
      </c>
      <c r="E57">
        <v>-0.70521990519000599</v>
      </c>
      <c r="F57" t="s">
        <v>18</v>
      </c>
      <c r="G57" t="s">
        <v>19</v>
      </c>
      <c r="H57">
        <v>1</v>
      </c>
      <c r="I57" t="s">
        <v>58</v>
      </c>
      <c r="J57" t="s">
        <v>19</v>
      </c>
      <c r="K57">
        <v>0.68</v>
      </c>
      <c r="L57" t="s">
        <v>59</v>
      </c>
      <c r="M57" t="s">
        <v>19</v>
      </c>
      <c r="N57">
        <v>0.89</v>
      </c>
      <c r="O57" t="s">
        <v>124</v>
      </c>
      <c r="P57" t="s">
        <v>19</v>
      </c>
      <c r="Q57">
        <v>0.65800000000000003</v>
      </c>
      <c r="R57" t="s">
        <v>23</v>
      </c>
      <c r="S57">
        <v>4</v>
      </c>
    </row>
    <row r="58" spans="1:19">
      <c r="A58">
        <v>57</v>
      </c>
      <c r="B58" t="s">
        <v>125</v>
      </c>
      <c r="C58">
        <v>173.05619999999999</v>
      </c>
      <c r="D58">
        <v>137.4</v>
      </c>
      <c r="E58">
        <v>-0.86297376792219904</v>
      </c>
      <c r="F58" t="s">
        <v>18</v>
      </c>
      <c r="G58" t="s">
        <v>19</v>
      </c>
      <c r="H58">
        <v>1</v>
      </c>
      <c r="I58" t="s">
        <v>35</v>
      </c>
      <c r="J58" t="s">
        <v>19</v>
      </c>
      <c r="K58">
        <v>0.72</v>
      </c>
      <c r="L58" t="s">
        <v>36</v>
      </c>
      <c r="M58" t="s">
        <v>19</v>
      </c>
      <c r="N58">
        <v>1</v>
      </c>
      <c r="O58" t="s">
        <v>37</v>
      </c>
      <c r="P58" t="s">
        <v>19</v>
      </c>
      <c r="Q58">
        <v>0.99399999999999999</v>
      </c>
      <c r="R58" t="s">
        <v>23</v>
      </c>
      <c r="S58">
        <v>4</v>
      </c>
    </row>
    <row r="59" spans="1:19">
      <c r="A59">
        <v>58</v>
      </c>
      <c r="B59" t="s">
        <v>126</v>
      </c>
      <c r="C59">
        <v>253.21729999999999</v>
      </c>
      <c r="D59">
        <v>167.8</v>
      </c>
      <c r="E59">
        <v>-0.93456973794690201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0.99</v>
      </c>
      <c r="L59" t="s">
        <v>53</v>
      </c>
      <c r="M59" t="s">
        <v>19</v>
      </c>
      <c r="N59">
        <v>1</v>
      </c>
      <c r="O59" t="s">
        <v>54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127</v>
      </c>
      <c r="C60">
        <v>609.28840000000002</v>
      </c>
      <c r="D60">
        <v>238.1</v>
      </c>
      <c r="E60">
        <v>-0.60809786820289002</v>
      </c>
      <c r="F60" t="s">
        <v>18</v>
      </c>
      <c r="G60" t="s">
        <v>19</v>
      </c>
      <c r="H60">
        <v>1</v>
      </c>
      <c r="I60" t="s">
        <v>35</v>
      </c>
      <c r="J60" t="s">
        <v>19</v>
      </c>
      <c r="K60">
        <v>0.7</v>
      </c>
      <c r="L60" t="s">
        <v>36</v>
      </c>
      <c r="M60" t="s">
        <v>19</v>
      </c>
      <c r="N60">
        <v>0.93</v>
      </c>
      <c r="O60" t="s">
        <v>37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128</v>
      </c>
      <c r="C61">
        <v>203.03200000000001</v>
      </c>
      <c r="D61">
        <v>145.9</v>
      </c>
      <c r="E61">
        <v>-0.80530423093065895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0.86</v>
      </c>
      <c r="L61" t="s">
        <v>26</v>
      </c>
      <c r="M61" t="s">
        <v>19</v>
      </c>
      <c r="N61">
        <v>1</v>
      </c>
      <c r="O61" t="s">
        <v>129</v>
      </c>
      <c r="P61" t="s">
        <v>19</v>
      </c>
      <c r="Q61">
        <v>0.69</v>
      </c>
      <c r="R61" t="s">
        <v>23</v>
      </c>
      <c r="S61">
        <v>4</v>
      </c>
    </row>
    <row r="62" spans="1:19">
      <c r="A62">
        <v>61</v>
      </c>
      <c r="B62" t="s">
        <v>130</v>
      </c>
      <c r="C62">
        <v>1013.5995</v>
      </c>
      <c r="D62">
        <v>322.5</v>
      </c>
      <c r="E62">
        <v>-0.46776353392181103</v>
      </c>
      <c r="F62" t="s">
        <v>18</v>
      </c>
      <c r="G62" t="s">
        <v>19</v>
      </c>
      <c r="H62">
        <v>1</v>
      </c>
      <c r="I62" t="s">
        <v>35</v>
      </c>
      <c r="J62" t="s">
        <v>19</v>
      </c>
      <c r="K62">
        <v>1</v>
      </c>
      <c r="L62" t="s">
        <v>36</v>
      </c>
      <c r="M62" t="s">
        <v>19</v>
      </c>
      <c r="N62">
        <v>0.92</v>
      </c>
      <c r="O62" t="s">
        <v>37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131</v>
      </c>
      <c r="C63">
        <v>205.0686</v>
      </c>
      <c r="D63">
        <v>143.1</v>
      </c>
      <c r="E63">
        <v>-0.83963026129390494</v>
      </c>
      <c r="F63" t="s">
        <v>18</v>
      </c>
      <c r="G63" t="s">
        <v>19</v>
      </c>
      <c r="H63">
        <v>1</v>
      </c>
      <c r="I63" t="s">
        <v>49</v>
      </c>
      <c r="J63" t="s">
        <v>19</v>
      </c>
      <c r="K63">
        <v>0.93</v>
      </c>
      <c r="L63" t="s">
        <v>50</v>
      </c>
      <c r="M63" t="s">
        <v>19</v>
      </c>
      <c r="N63">
        <v>1</v>
      </c>
      <c r="O63" t="s">
        <v>51</v>
      </c>
      <c r="P63" t="s">
        <v>19</v>
      </c>
      <c r="Q63">
        <v>0.99399999999999999</v>
      </c>
      <c r="R63" t="s">
        <v>23</v>
      </c>
      <c r="S63">
        <v>4</v>
      </c>
    </row>
    <row r="64" spans="1:19">
      <c r="A64">
        <v>63</v>
      </c>
      <c r="B64" t="s">
        <v>132</v>
      </c>
      <c r="C64">
        <v>426.0052</v>
      </c>
      <c r="D64">
        <v>179.9</v>
      </c>
      <c r="E64">
        <v>-0.52954307674877998</v>
      </c>
      <c r="F64" t="s">
        <v>18</v>
      </c>
      <c r="G64" t="s">
        <v>19</v>
      </c>
      <c r="H64">
        <v>1</v>
      </c>
      <c r="I64" t="s">
        <v>58</v>
      </c>
      <c r="J64" t="s">
        <v>19</v>
      </c>
      <c r="K64">
        <v>0.92</v>
      </c>
      <c r="L64" t="s">
        <v>133</v>
      </c>
      <c r="M64" t="s">
        <v>19</v>
      </c>
      <c r="N64">
        <v>0.82</v>
      </c>
      <c r="O64" t="s">
        <v>134</v>
      </c>
      <c r="P64" t="s">
        <v>19</v>
      </c>
      <c r="Q64">
        <v>0.999</v>
      </c>
      <c r="R64" t="s">
        <v>23</v>
      </c>
      <c r="S64">
        <v>4</v>
      </c>
    </row>
    <row r="65" spans="1:19">
      <c r="A65">
        <v>64</v>
      </c>
      <c r="B65" t="s">
        <v>135</v>
      </c>
      <c r="C65">
        <v>668.65560000000005</v>
      </c>
      <c r="D65">
        <v>284.3</v>
      </c>
      <c r="E65">
        <v>-0.90901130716088097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1</v>
      </c>
      <c r="L65" t="s">
        <v>32</v>
      </c>
      <c r="M65" t="s">
        <v>19</v>
      </c>
      <c r="N65">
        <v>1</v>
      </c>
      <c r="O65" t="s">
        <v>114</v>
      </c>
      <c r="P65" t="s">
        <v>19</v>
      </c>
      <c r="Q65">
        <v>0.96899999999999997</v>
      </c>
      <c r="R65" t="s">
        <v>23</v>
      </c>
      <c r="S65">
        <v>4</v>
      </c>
    </row>
    <row r="66" spans="1:19">
      <c r="A66">
        <v>65</v>
      </c>
      <c r="B66" t="s">
        <v>136</v>
      </c>
      <c r="C66">
        <v>766.10839999999996</v>
      </c>
      <c r="D66">
        <v>244.1</v>
      </c>
      <c r="E66">
        <v>-0.25300019638041199</v>
      </c>
      <c r="F66" t="s">
        <v>18</v>
      </c>
      <c r="G66" t="s">
        <v>19</v>
      </c>
      <c r="H66">
        <v>0.996</v>
      </c>
      <c r="I66" t="s">
        <v>58</v>
      </c>
      <c r="J66" t="s">
        <v>19</v>
      </c>
      <c r="K66">
        <v>0.92</v>
      </c>
      <c r="L66" t="s">
        <v>59</v>
      </c>
      <c r="M66" t="s">
        <v>19</v>
      </c>
      <c r="N66">
        <v>0.96</v>
      </c>
      <c r="O66" t="s">
        <v>67</v>
      </c>
      <c r="P66" t="s">
        <v>19</v>
      </c>
      <c r="Q66">
        <v>0.98099999999999998</v>
      </c>
      <c r="R66" t="s">
        <v>23</v>
      </c>
      <c r="S66">
        <v>4</v>
      </c>
    </row>
    <row r="67" spans="1:19">
      <c r="A67">
        <v>66</v>
      </c>
      <c r="B67" t="s">
        <v>83</v>
      </c>
      <c r="C67">
        <v>233.0275</v>
      </c>
      <c r="D67">
        <v>148.5</v>
      </c>
      <c r="E67">
        <v>-0.76731269786631595</v>
      </c>
      <c r="F67" t="s">
        <v>18</v>
      </c>
      <c r="G67" t="s">
        <v>19</v>
      </c>
      <c r="H67">
        <v>1</v>
      </c>
      <c r="I67" t="s">
        <v>49</v>
      </c>
      <c r="J67" t="s">
        <v>19</v>
      </c>
      <c r="K67">
        <v>0.67</v>
      </c>
      <c r="L67" t="s">
        <v>50</v>
      </c>
      <c r="M67" t="s">
        <v>19</v>
      </c>
      <c r="N67">
        <v>1</v>
      </c>
      <c r="O67" t="s">
        <v>51</v>
      </c>
      <c r="P67" t="s">
        <v>19</v>
      </c>
      <c r="Q67">
        <v>0.98499999999999999</v>
      </c>
      <c r="R67" t="s">
        <v>23</v>
      </c>
      <c r="S67">
        <v>4</v>
      </c>
    </row>
    <row r="68" spans="1:19">
      <c r="A68">
        <v>67</v>
      </c>
      <c r="B68" t="s">
        <v>137</v>
      </c>
      <c r="C68">
        <v>407.27940000000001</v>
      </c>
      <c r="D68">
        <v>202.9</v>
      </c>
      <c r="E68">
        <v>-0.82465140465984599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0.61</v>
      </c>
      <c r="L68" t="s">
        <v>26</v>
      </c>
      <c r="M68" t="s">
        <v>19</v>
      </c>
      <c r="N68">
        <v>1</v>
      </c>
      <c r="O68" t="s">
        <v>129</v>
      </c>
      <c r="P68" t="s">
        <v>19</v>
      </c>
      <c r="Q68">
        <v>0.82799999999999996</v>
      </c>
      <c r="R68" t="s">
        <v>23</v>
      </c>
      <c r="S68">
        <v>4</v>
      </c>
    </row>
    <row r="69" spans="1:19">
      <c r="A69">
        <v>68</v>
      </c>
      <c r="B69" t="s">
        <v>138</v>
      </c>
      <c r="C69">
        <v>154.04759999999999</v>
      </c>
      <c r="D69">
        <v>130.6</v>
      </c>
      <c r="E69">
        <v>-0.87559785671575696</v>
      </c>
      <c r="F69" t="s">
        <v>18</v>
      </c>
      <c r="G69" t="s">
        <v>19</v>
      </c>
      <c r="H69">
        <v>1</v>
      </c>
      <c r="I69" t="s">
        <v>35</v>
      </c>
      <c r="J69" t="s">
        <v>19</v>
      </c>
      <c r="K69">
        <v>0.92</v>
      </c>
      <c r="L69" t="s">
        <v>36</v>
      </c>
      <c r="M69" t="s">
        <v>19</v>
      </c>
      <c r="N69">
        <v>1</v>
      </c>
      <c r="O69" t="s">
        <v>37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139</v>
      </c>
      <c r="C70">
        <v>345.04669999999999</v>
      </c>
      <c r="D70">
        <v>173.5</v>
      </c>
      <c r="E70">
        <v>-0.66143744522366898</v>
      </c>
      <c r="F70" t="s">
        <v>18</v>
      </c>
      <c r="G70" t="s">
        <v>19</v>
      </c>
      <c r="H70">
        <v>1</v>
      </c>
      <c r="I70" t="s">
        <v>58</v>
      </c>
      <c r="J70" t="s">
        <v>19</v>
      </c>
      <c r="K70">
        <v>0.94</v>
      </c>
      <c r="L70" t="s">
        <v>133</v>
      </c>
      <c r="M70" t="s">
        <v>19</v>
      </c>
      <c r="N70">
        <v>0.59</v>
      </c>
      <c r="O70" t="s">
        <v>140</v>
      </c>
      <c r="P70" t="s">
        <v>19</v>
      </c>
      <c r="Q70">
        <v>0.70199999999999996</v>
      </c>
      <c r="R70" t="s">
        <v>23</v>
      </c>
      <c r="S70">
        <v>4</v>
      </c>
    </row>
    <row r="71" spans="1:19">
      <c r="A71">
        <v>70</v>
      </c>
      <c r="B71" t="s">
        <v>141</v>
      </c>
      <c r="C71">
        <v>189.12389999999999</v>
      </c>
      <c r="D71">
        <v>145.6</v>
      </c>
      <c r="E71">
        <v>-0.91273334666507799</v>
      </c>
      <c r="F71" t="s">
        <v>18</v>
      </c>
      <c r="G71" t="s">
        <v>19</v>
      </c>
      <c r="H71">
        <v>1</v>
      </c>
      <c r="I71" t="s">
        <v>35</v>
      </c>
      <c r="J71" t="s">
        <v>19</v>
      </c>
      <c r="K71">
        <v>0.93</v>
      </c>
      <c r="L71" t="s">
        <v>36</v>
      </c>
      <c r="M71" t="s">
        <v>19</v>
      </c>
      <c r="N71">
        <v>1</v>
      </c>
      <c r="O71" t="s">
        <v>37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142</v>
      </c>
      <c r="C72">
        <v>139.04929999999999</v>
      </c>
      <c r="D72">
        <v>134.80000000000001</v>
      </c>
      <c r="E72">
        <v>-0.89404423735146599</v>
      </c>
      <c r="F72" t="s">
        <v>18</v>
      </c>
      <c r="G72" t="s">
        <v>19</v>
      </c>
      <c r="H72">
        <v>1</v>
      </c>
      <c r="I72" t="s">
        <v>43</v>
      </c>
      <c r="J72" t="s">
        <v>19</v>
      </c>
      <c r="K72">
        <v>0.59</v>
      </c>
      <c r="L72" t="s">
        <v>121</v>
      </c>
      <c r="M72" t="s">
        <v>19</v>
      </c>
      <c r="N72">
        <v>0.56999999999999995</v>
      </c>
      <c r="O72" t="s">
        <v>122</v>
      </c>
      <c r="P72" t="s">
        <v>19</v>
      </c>
      <c r="Q72">
        <v>0.98199999999999998</v>
      </c>
      <c r="R72" t="s">
        <v>23</v>
      </c>
      <c r="S72">
        <v>4</v>
      </c>
    </row>
    <row r="73" spans="1:19">
      <c r="A73">
        <v>72</v>
      </c>
      <c r="B73" t="s">
        <v>143</v>
      </c>
      <c r="C73">
        <v>195.02449999999999</v>
      </c>
      <c r="D73">
        <v>149.19999999999999</v>
      </c>
      <c r="E73">
        <v>-0.80674502041614504</v>
      </c>
      <c r="F73" t="s">
        <v>18</v>
      </c>
      <c r="G73" t="s">
        <v>19</v>
      </c>
      <c r="H73">
        <v>1</v>
      </c>
      <c r="I73" t="s">
        <v>49</v>
      </c>
      <c r="J73" t="s">
        <v>19</v>
      </c>
      <c r="K73">
        <v>0.69</v>
      </c>
      <c r="L73" t="s">
        <v>50</v>
      </c>
      <c r="M73" t="s">
        <v>19</v>
      </c>
      <c r="N73">
        <v>1</v>
      </c>
      <c r="O73" t="s">
        <v>144</v>
      </c>
      <c r="P73" t="s">
        <v>19</v>
      </c>
      <c r="Q73">
        <v>0.54100000000000004</v>
      </c>
      <c r="R73" t="s">
        <v>23</v>
      </c>
      <c r="S73">
        <v>4</v>
      </c>
    </row>
    <row r="74" spans="1:19">
      <c r="A74">
        <v>73</v>
      </c>
      <c r="B74" t="s">
        <v>145</v>
      </c>
      <c r="C74">
        <v>666.64</v>
      </c>
      <c r="D74">
        <v>280.19</v>
      </c>
      <c r="E74">
        <v>-0.89566182920725601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32</v>
      </c>
      <c r="M74" t="s">
        <v>19</v>
      </c>
      <c r="N74">
        <v>1</v>
      </c>
      <c r="O74" t="s">
        <v>114</v>
      </c>
      <c r="P74" t="s">
        <v>19</v>
      </c>
      <c r="Q74">
        <v>0.99199999999999999</v>
      </c>
      <c r="R74" t="s">
        <v>23</v>
      </c>
      <c r="S74">
        <v>4</v>
      </c>
    </row>
    <row r="75" spans="1:19">
      <c r="A75">
        <v>74</v>
      </c>
      <c r="B75" t="s">
        <v>146</v>
      </c>
      <c r="C75">
        <v>389.33749999999998</v>
      </c>
      <c r="D75">
        <v>204.4</v>
      </c>
      <c r="E75">
        <v>-0.90278446752216701</v>
      </c>
      <c r="F75" t="s">
        <v>18</v>
      </c>
      <c r="G75" t="s">
        <v>19</v>
      </c>
      <c r="H75">
        <v>1</v>
      </c>
      <c r="I75" t="s">
        <v>20</v>
      </c>
      <c r="J75" t="s">
        <v>19</v>
      </c>
      <c r="K75">
        <v>0.91</v>
      </c>
      <c r="L75" t="s">
        <v>53</v>
      </c>
      <c r="M75" t="s">
        <v>19</v>
      </c>
      <c r="N75">
        <v>0.9</v>
      </c>
      <c r="O75" t="s">
        <v>54</v>
      </c>
      <c r="P75" t="s">
        <v>19</v>
      </c>
      <c r="Q75">
        <v>0.92400000000000004</v>
      </c>
      <c r="R75" t="s">
        <v>23</v>
      </c>
      <c r="S75">
        <v>4</v>
      </c>
    </row>
    <row r="76" spans="1:19">
      <c r="A76">
        <v>75</v>
      </c>
      <c r="B76" t="s">
        <v>147</v>
      </c>
      <c r="C76">
        <v>1058.6729</v>
      </c>
      <c r="D76">
        <v>334.7</v>
      </c>
      <c r="E76">
        <v>-0.49083674268899802</v>
      </c>
      <c r="F76" t="s">
        <v>18</v>
      </c>
      <c r="G76" t="s">
        <v>19</v>
      </c>
      <c r="H76">
        <v>1</v>
      </c>
      <c r="I76" t="s">
        <v>35</v>
      </c>
      <c r="J76" t="s">
        <v>19</v>
      </c>
      <c r="K76">
        <v>1</v>
      </c>
      <c r="L76" t="s">
        <v>148</v>
      </c>
      <c r="M76" t="s">
        <v>19</v>
      </c>
      <c r="N76">
        <v>0.98</v>
      </c>
      <c r="O76" t="s">
        <v>149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150</v>
      </c>
      <c r="C77">
        <v>579.02909999999997</v>
      </c>
      <c r="D77">
        <v>211.9</v>
      </c>
      <c r="E77">
        <v>-0.38258394766319298</v>
      </c>
      <c r="F77" t="s">
        <v>18</v>
      </c>
      <c r="G77" t="s">
        <v>19</v>
      </c>
      <c r="H77">
        <v>1</v>
      </c>
      <c r="I77" t="s">
        <v>58</v>
      </c>
      <c r="J77" t="s">
        <v>19</v>
      </c>
      <c r="K77">
        <v>1</v>
      </c>
      <c r="L77" t="s">
        <v>133</v>
      </c>
      <c r="M77" t="s">
        <v>19</v>
      </c>
      <c r="N77">
        <v>0.95</v>
      </c>
      <c r="O77" t="s">
        <v>151</v>
      </c>
      <c r="P77" t="s">
        <v>19</v>
      </c>
      <c r="Q77">
        <v>0.998</v>
      </c>
      <c r="R77" t="s">
        <v>23</v>
      </c>
      <c r="S77">
        <v>4</v>
      </c>
    </row>
    <row r="78" spans="1:19">
      <c r="A78">
        <v>77</v>
      </c>
      <c r="B78" t="s">
        <v>152</v>
      </c>
      <c r="C78">
        <v>832.5163</v>
      </c>
      <c r="D78">
        <v>287.8</v>
      </c>
      <c r="E78">
        <v>-0.58675232824748502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1</v>
      </c>
      <c r="L78" t="s">
        <v>21</v>
      </c>
      <c r="M78" t="s">
        <v>19</v>
      </c>
      <c r="N78">
        <v>1</v>
      </c>
      <c r="O78" t="s">
        <v>153</v>
      </c>
      <c r="P78" t="s">
        <v>19</v>
      </c>
      <c r="Q78">
        <v>0.78200000000000003</v>
      </c>
      <c r="R78" t="s">
        <v>23</v>
      </c>
      <c r="S78">
        <v>4</v>
      </c>
    </row>
    <row r="79" spans="1:19">
      <c r="A79">
        <v>78</v>
      </c>
      <c r="B79" t="s">
        <v>154</v>
      </c>
      <c r="C79">
        <v>1076.4659999999999</v>
      </c>
      <c r="D79">
        <v>315.5</v>
      </c>
      <c r="E79">
        <v>-0.26406982275193502</v>
      </c>
      <c r="F79" t="s">
        <v>18</v>
      </c>
      <c r="G79" t="s">
        <v>19</v>
      </c>
      <c r="H79">
        <v>0.98599999999999999</v>
      </c>
      <c r="I79" t="s">
        <v>35</v>
      </c>
      <c r="J79" t="s">
        <v>19</v>
      </c>
      <c r="K79">
        <v>1</v>
      </c>
      <c r="L79" t="s">
        <v>36</v>
      </c>
      <c r="M79" t="s">
        <v>19</v>
      </c>
      <c r="N79">
        <v>1</v>
      </c>
      <c r="O79" t="s">
        <v>37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155</v>
      </c>
      <c r="C80">
        <v>149.029</v>
      </c>
      <c r="D80">
        <v>167.3</v>
      </c>
      <c r="E80">
        <v>-0.862601384172763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0.83</v>
      </c>
      <c r="L80" t="s">
        <v>53</v>
      </c>
      <c r="M80" t="s">
        <v>19</v>
      </c>
      <c r="N80">
        <v>0.98</v>
      </c>
      <c r="O80" t="s">
        <v>54</v>
      </c>
      <c r="P80" t="s">
        <v>19</v>
      </c>
      <c r="Q80">
        <v>0.99</v>
      </c>
      <c r="R80" t="s">
        <v>23</v>
      </c>
      <c r="S80">
        <v>4</v>
      </c>
    </row>
    <row r="81" spans="1:19">
      <c r="A81">
        <v>80</v>
      </c>
      <c r="B81" t="s">
        <v>156</v>
      </c>
      <c r="C81">
        <v>1621.8278</v>
      </c>
      <c r="D81">
        <v>230.5</v>
      </c>
      <c r="E81">
        <v>-1.6945058813234899E-2</v>
      </c>
      <c r="F81" t="s">
        <v>86</v>
      </c>
      <c r="G81" t="s">
        <v>19</v>
      </c>
      <c r="H81">
        <v>1</v>
      </c>
      <c r="I81" t="s">
        <v>87</v>
      </c>
      <c r="J81" t="s">
        <v>19</v>
      </c>
      <c r="K81">
        <v>1</v>
      </c>
      <c r="L81" t="s">
        <v>88</v>
      </c>
      <c r="M81" t="s">
        <v>19</v>
      </c>
      <c r="N81">
        <v>0.98</v>
      </c>
      <c r="O81" t="s">
        <v>89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157</v>
      </c>
      <c r="C82">
        <v>189.08860000000001</v>
      </c>
      <c r="D82">
        <v>138.19999999999999</v>
      </c>
      <c r="E82">
        <v>-0.877472760947825</v>
      </c>
      <c r="F82" t="s">
        <v>18</v>
      </c>
      <c r="G82" t="s">
        <v>19</v>
      </c>
      <c r="H82">
        <v>1</v>
      </c>
      <c r="I82" t="s">
        <v>35</v>
      </c>
      <c r="J82" t="s">
        <v>19</v>
      </c>
      <c r="K82">
        <v>0.83</v>
      </c>
      <c r="L82" t="s">
        <v>36</v>
      </c>
      <c r="M82" t="s">
        <v>19</v>
      </c>
      <c r="N82">
        <v>1</v>
      </c>
      <c r="O82" t="s">
        <v>37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158</v>
      </c>
      <c r="C83">
        <v>848.57569999999998</v>
      </c>
      <c r="D83">
        <v>294.60000000000002</v>
      </c>
      <c r="E83">
        <v>-0.62822117437122005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0.96</v>
      </c>
      <c r="L83" t="s">
        <v>21</v>
      </c>
      <c r="M83" t="s">
        <v>19</v>
      </c>
      <c r="N83">
        <v>1</v>
      </c>
      <c r="O83" t="s">
        <v>22</v>
      </c>
      <c r="P83" t="s">
        <v>19</v>
      </c>
      <c r="Q83">
        <v>0.89300000000000002</v>
      </c>
      <c r="R83" t="s">
        <v>23</v>
      </c>
      <c r="S83">
        <v>4</v>
      </c>
    </row>
    <row r="84" spans="1:19">
      <c r="A84">
        <v>83</v>
      </c>
      <c r="B84" t="s">
        <v>159</v>
      </c>
      <c r="C84">
        <v>187.00049999999999</v>
      </c>
      <c r="D84">
        <v>134.4</v>
      </c>
      <c r="E84">
        <v>-0.79170423300831805</v>
      </c>
      <c r="F84" t="s">
        <v>18</v>
      </c>
      <c r="G84" t="s">
        <v>19</v>
      </c>
      <c r="H84">
        <v>1</v>
      </c>
      <c r="I84" t="s">
        <v>49</v>
      </c>
      <c r="J84" t="s">
        <v>19</v>
      </c>
      <c r="K84">
        <v>0.86</v>
      </c>
      <c r="L84" t="s">
        <v>50</v>
      </c>
      <c r="M84" t="s">
        <v>19</v>
      </c>
      <c r="N84">
        <v>1</v>
      </c>
      <c r="O84" t="s">
        <v>51</v>
      </c>
      <c r="P84" t="s">
        <v>19</v>
      </c>
      <c r="Q84">
        <v>0.995</v>
      </c>
      <c r="R84" t="s">
        <v>23</v>
      </c>
      <c r="S84">
        <v>4</v>
      </c>
    </row>
    <row r="85" spans="1:19">
      <c r="A85">
        <v>84</v>
      </c>
      <c r="B85" t="s">
        <v>160</v>
      </c>
      <c r="C85">
        <v>447.0265</v>
      </c>
      <c r="D85">
        <v>187</v>
      </c>
      <c r="E85">
        <v>-0.52737170390935295</v>
      </c>
      <c r="F85" t="s">
        <v>18</v>
      </c>
      <c r="G85" t="s">
        <v>19</v>
      </c>
      <c r="H85">
        <v>1</v>
      </c>
      <c r="I85" t="s">
        <v>43</v>
      </c>
      <c r="J85" t="s">
        <v>19</v>
      </c>
      <c r="K85">
        <v>0.64</v>
      </c>
      <c r="L85" t="s">
        <v>161</v>
      </c>
      <c r="M85" t="s">
        <v>19</v>
      </c>
      <c r="N85">
        <v>0.73</v>
      </c>
      <c r="O85" t="s">
        <v>162</v>
      </c>
      <c r="P85" t="s">
        <v>19</v>
      </c>
      <c r="Q85">
        <v>0.98099999999999998</v>
      </c>
      <c r="R85" t="s">
        <v>23</v>
      </c>
      <c r="S85">
        <v>4</v>
      </c>
    </row>
    <row r="86" spans="1:19">
      <c r="A86">
        <v>85</v>
      </c>
      <c r="B86" t="s">
        <v>163</v>
      </c>
      <c r="C86">
        <v>206.08170000000001</v>
      </c>
      <c r="D86">
        <v>160.19999999999999</v>
      </c>
      <c r="E86">
        <v>-0.85159908254553296</v>
      </c>
      <c r="F86" t="s">
        <v>18</v>
      </c>
      <c r="G86" t="s">
        <v>19</v>
      </c>
      <c r="H86">
        <v>1</v>
      </c>
      <c r="I86" t="s">
        <v>49</v>
      </c>
      <c r="J86" t="s">
        <v>19</v>
      </c>
      <c r="K86">
        <v>0.69</v>
      </c>
      <c r="L86" t="s">
        <v>50</v>
      </c>
      <c r="M86" t="s">
        <v>19</v>
      </c>
      <c r="N86">
        <v>1</v>
      </c>
      <c r="O86" t="s">
        <v>144</v>
      </c>
      <c r="P86" t="s">
        <v>19</v>
      </c>
      <c r="Q86">
        <v>0.71499999999999997</v>
      </c>
      <c r="R86" t="s">
        <v>23</v>
      </c>
      <c r="S86">
        <v>4</v>
      </c>
    </row>
    <row r="87" spans="1:19">
      <c r="A87">
        <v>86</v>
      </c>
      <c r="B87" t="s">
        <v>164</v>
      </c>
      <c r="C87">
        <v>1333.9684</v>
      </c>
      <c r="D87">
        <v>285.39999999999998</v>
      </c>
      <c r="E87">
        <v>-0.47895502407391199</v>
      </c>
      <c r="F87" t="s">
        <v>18</v>
      </c>
      <c r="G87" t="s">
        <v>19</v>
      </c>
      <c r="H87">
        <v>0.94</v>
      </c>
      <c r="I87" t="s">
        <v>62</v>
      </c>
      <c r="J87" t="s">
        <v>19</v>
      </c>
      <c r="K87">
        <v>0.95</v>
      </c>
      <c r="L87" t="s">
        <v>63</v>
      </c>
      <c r="M87" t="s">
        <v>19</v>
      </c>
      <c r="N87">
        <v>1</v>
      </c>
      <c r="O87" t="s">
        <v>64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165</v>
      </c>
      <c r="C88">
        <v>797.66110000000003</v>
      </c>
      <c r="D88">
        <v>208.3</v>
      </c>
      <c r="E88">
        <v>-0.77046996866897599</v>
      </c>
      <c r="F88" t="s">
        <v>18</v>
      </c>
      <c r="G88" t="s">
        <v>19</v>
      </c>
      <c r="H88">
        <v>0.998</v>
      </c>
      <c r="I88" t="s">
        <v>35</v>
      </c>
      <c r="J88" t="s">
        <v>19</v>
      </c>
      <c r="K88">
        <v>0.93</v>
      </c>
      <c r="L88" t="s">
        <v>36</v>
      </c>
      <c r="M88" t="s">
        <v>19</v>
      </c>
      <c r="N88">
        <v>0.96</v>
      </c>
      <c r="O88" t="s">
        <v>37</v>
      </c>
      <c r="P88" t="s">
        <v>19</v>
      </c>
      <c r="Q88">
        <v>0.999</v>
      </c>
      <c r="R88" t="s">
        <v>23</v>
      </c>
      <c r="S88">
        <v>4</v>
      </c>
    </row>
    <row r="89" spans="1:19">
      <c r="A89">
        <v>88</v>
      </c>
      <c r="B89" t="s">
        <v>166</v>
      </c>
      <c r="C89">
        <v>1486.3939</v>
      </c>
      <c r="D89">
        <v>383.7</v>
      </c>
      <c r="E89">
        <v>-0.73426403965640896</v>
      </c>
      <c r="F89" t="s">
        <v>18</v>
      </c>
      <c r="G89" t="s">
        <v>19</v>
      </c>
      <c r="H89">
        <v>1</v>
      </c>
      <c r="I89" t="s">
        <v>35</v>
      </c>
      <c r="J89" t="s">
        <v>19</v>
      </c>
      <c r="K89">
        <v>1</v>
      </c>
      <c r="L89" t="s">
        <v>36</v>
      </c>
      <c r="M89" t="s">
        <v>19</v>
      </c>
      <c r="N89">
        <v>0.98</v>
      </c>
      <c r="O89" t="s">
        <v>37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89</v>
      </c>
      <c r="B90" t="s">
        <v>167</v>
      </c>
      <c r="C90">
        <v>148.06020000000001</v>
      </c>
      <c r="D90">
        <v>130.5</v>
      </c>
      <c r="E90">
        <v>-0.89488309967117596</v>
      </c>
      <c r="F90" t="s">
        <v>18</v>
      </c>
      <c r="G90" t="s">
        <v>19</v>
      </c>
      <c r="H90">
        <v>1</v>
      </c>
      <c r="I90" t="s">
        <v>35</v>
      </c>
      <c r="J90" t="s">
        <v>19</v>
      </c>
      <c r="K90">
        <v>0.9</v>
      </c>
      <c r="L90" t="s">
        <v>36</v>
      </c>
      <c r="M90" t="s">
        <v>19</v>
      </c>
      <c r="N90">
        <v>1</v>
      </c>
      <c r="O90" t="s">
        <v>37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168</v>
      </c>
      <c r="C91">
        <v>1951.5748000000001</v>
      </c>
      <c r="D91">
        <v>242.4</v>
      </c>
      <c r="E91">
        <v>-0.39576541342080401</v>
      </c>
      <c r="F91" t="s">
        <v>86</v>
      </c>
      <c r="G91" t="s">
        <v>19</v>
      </c>
      <c r="H91">
        <v>1</v>
      </c>
      <c r="I91" t="s">
        <v>87</v>
      </c>
      <c r="J91" t="s">
        <v>19</v>
      </c>
      <c r="K91">
        <v>1</v>
      </c>
      <c r="L91" t="s">
        <v>88</v>
      </c>
      <c r="M91" t="s">
        <v>19</v>
      </c>
      <c r="N91">
        <v>1</v>
      </c>
      <c r="O91" t="s">
        <v>89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91</v>
      </c>
      <c r="B92" t="s">
        <v>169</v>
      </c>
      <c r="C92">
        <v>348.07089999999999</v>
      </c>
      <c r="D92">
        <v>177.3</v>
      </c>
      <c r="E92">
        <v>-0.68226076891249898</v>
      </c>
      <c r="F92" t="s">
        <v>18</v>
      </c>
      <c r="G92" t="s">
        <v>19</v>
      </c>
      <c r="H92">
        <v>1</v>
      </c>
      <c r="I92" t="s">
        <v>58</v>
      </c>
      <c r="J92" t="s">
        <v>19</v>
      </c>
      <c r="K92">
        <v>0.75</v>
      </c>
      <c r="L92" t="s">
        <v>59</v>
      </c>
      <c r="M92" t="s">
        <v>19</v>
      </c>
      <c r="N92">
        <v>1</v>
      </c>
      <c r="O92" t="s">
        <v>124</v>
      </c>
      <c r="P92" t="s">
        <v>19</v>
      </c>
      <c r="Q92">
        <v>0.59199999999999997</v>
      </c>
      <c r="R92" t="s">
        <v>23</v>
      </c>
      <c r="S92">
        <v>4</v>
      </c>
    </row>
    <row r="93" spans="1:19">
      <c r="A93">
        <v>92</v>
      </c>
      <c r="B93" t="s">
        <v>170</v>
      </c>
      <c r="C93">
        <v>646.03250000000003</v>
      </c>
      <c r="D93">
        <v>227.2</v>
      </c>
      <c r="E93">
        <v>-0.31117117286294199</v>
      </c>
      <c r="F93" t="s">
        <v>18</v>
      </c>
      <c r="G93" t="s">
        <v>19</v>
      </c>
      <c r="H93">
        <v>1</v>
      </c>
      <c r="I93" t="s">
        <v>58</v>
      </c>
      <c r="J93" t="s">
        <v>19</v>
      </c>
      <c r="K93">
        <v>0.85</v>
      </c>
      <c r="L93" t="s">
        <v>133</v>
      </c>
      <c r="M93" t="s">
        <v>19</v>
      </c>
      <c r="N93">
        <v>0.8</v>
      </c>
      <c r="O93" t="s">
        <v>151</v>
      </c>
      <c r="P93" t="s">
        <v>19</v>
      </c>
      <c r="Q93">
        <v>0.999</v>
      </c>
      <c r="R93" t="s">
        <v>23</v>
      </c>
      <c r="S93">
        <v>4</v>
      </c>
    </row>
    <row r="94" spans="1:19">
      <c r="A94">
        <v>93</v>
      </c>
      <c r="B94" t="s">
        <v>171</v>
      </c>
      <c r="C94">
        <v>844.64970000000005</v>
      </c>
      <c r="D94">
        <v>298.8</v>
      </c>
      <c r="E94">
        <v>-0.70660475720239901</v>
      </c>
      <c r="F94" t="s">
        <v>18</v>
      </c>
      <c r="G94" t="s">
        <v>19</v>
      </c>
      <c r="H94">
        <v>1</v>
      </c>
      <c r="I94" t="s">
        <v>20</v>
      </c>
      <c r="J94" t="s">
        <v>19</v>
      </c>
      <c r="K94">
        <v>1</v>
      </c>
      <c r="L94" t="s">
        <v>32</v>
      </c>
      <c r="M94" t="s">
        <v>19</v>
      </c>
      <c r="N94">
        <v>0.95</v>
      </c>
      <c r="O94" t="s">
        <v>100</v>
      </c>
      <c r="P94" t="s">
        <v>19</v>
      </c>
      <c r="Q94">
        <v>0.84799999999999998</v>
      </c>
      <c r="R94" t="s">
        <v>23</v>
      </c>
      <c r="S94">
        <v>4</v>
      </c>
    </row>
    <row r="95" spans="1:19">
      <c r="A95">
        <v>94</v>
      </c>
      <c r="B95" t="s">
        <v>172</v>
      </c>
      <c r="C95">
        <v>199.1704</v>
      </c>
      <c r="D95">
        <v>154.19999999999999</v>
      </c>
      <c r="E95">
        <v>-0.94801590781821699</v>
      </c>
      <c r="F95" t="s">
        <v>18</v>
      </c>
      <c r="G95" t="s">
        <v>19</v>
      </c>
      <c r="H95">
        <v>1</v>
      </c>
      <c r="I95" t="s">
        <v>20</v>
      </c>
      <c r="J95" t="s">
        <v>19</v>
      </c>
      <c r="K95">
        <v>0.81</v>
      </c>
      <c r="L95" t="s">
        <v>53</v>
      </c>
      <c r="M95" t="s">
        <v>19</v>
      </c>
      <c r="N95">
        <v>1</v>
      </c>
      <c r="O95" t="s">
        <v>54</v>
      </c>
      <c r="P95" t="s">
        <v>19</v>
      </c>
      <c r="Q95">
        <v>0.98</v>
      </c>
      <c r="R95" t="s">
        <v>23</v>
      </c>
      <c r="S95">
        <v>4</v>
      </c>
    </row>
    <row r="96" spans="1:19">
      <c r="A96">
        <v>95</v>
      </c>
      <c r="B96" t="s">
        <v>173</v>
      </c>
      <c r="C96">
        <v>437.25099999999998</v>
      </c>
      <c r="D96">
        <v>202.7</v>
      </c>
      <c r="E96">
        <v>-0.76278655718630295</v>
      </c>
      <c r="F96" t="s">
        <v>18</v>
      </c>
      <c r="G96" t="s">
        <v>19</v>
      </c>
      <c r="H96">
        <v>1</v>
      </c>
      <c r="I96" t="s">
        <v>35</v>
      </c>
      <c r="J96" t="s">
        <v>19</v>
      </c>
      <c r="K96">
        <v>0.72</v>
      </c>
      <c r="L96" t="s">
        <v>36</v>
      </c>
      <c r="M96" t="s">
        <v>19</v>
      </c>
      <c r="N96">
        <v>1</v>
      </c>
      <c r="O96" t="s">
        <v>37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174</v>
      </c>
      <c r="C97">
        <v>455.24669999999998</v>
      </c>
      <c r="D97">
        <v>211.5</v>
      </c>
      <c r="E97">
        <v>-0.73839342383081397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0.98</v>
      </c>
      <c r="L97" t="s">
        <v>69</v>
      </c>
      <c r="M97" t="s">
        <v>19</v>
      </c>
      <c r="N97">
        <v>0.74</v>
      </c>
      <c r="O97" t="s">
        <v>107</v>
      </c>
      <c r="P97" t="s">
        <v>19</v>
      </c>
      <c r="Q97">
        <v>0.90900000000000003</v>
      </c>
      <c r="R97" t="s">
        <v>23</v>
      </c>
      <c r="S97">
        <v>4</v>
      </c>
    </row>
    <row r="98" spans="1:19">
      <c r="A98">
        <v>97</v>
      </c>
      <c r="B98" t="s">
        <v>175</v>
      </c>
      <c r="C98">
        <v>690.50739999999996</v>
      </c>
      <c r="D98">
        <v>262.5</v>
      </c>
      <c r="E98">
        <v>-0.73641263795320799</v>
      </c>
      <c r="F98" t="s">
        <v>18</v>
      </c>
      <c r="G98" t="s">
        <v>19</v>
      </c>
      <c r="H98">
        <v>1</v>
      </c>
      <c r="I98" t="s">
        <v>20</v>
      </c>
      <c r="J98" t="s">
        <v>19</v>
      </c>
      <c r="K98">
        <v>1</v>
      </c>
      <c r="L98" t="s">
        <v>21</v>
      </c>
      <c r="M98" t="s">
        <v>19</v>
      </c>
      <c r="N98">
        <v>1</v>
      </c>
      <c r="O98" t="s">
        <v>40</v>
      </c>
      <c r="P98" t="s">
        <v>19</v>
      </c>
      <c r="Q98">
        <v>0.92900000000000005</v>
      </c>
      <c r="R98" t="s">
        <v>23</v>
      </c>
      <c r="S98">
        <v>4</v>
      </c>
    </row>
    <row r="99" spans="1:19">
      <c r="A99">
        <v>98</v>
      </c>
      <c r="B99" t="s">
        <v>176</v>
      </c>
      <c r="C99">
        <v>132.14840000000001</v>
      </c>
      <c r="D99">
        <v>127.6</v>
      </c>
      <c r="E99">
        <v>-8.4945048425311099E-4</v>
      </c>
      <c r="F99" t="s">
        <v>18</v>
      </c>
      <c r="G99" t="s">
        <v>19</v>
      </c>
      <c r="H99">
        <v>0.83</v>
      </c>
      <c r="I99" t="s">
        <v>177</v>
      </c>
      <c r="J99" t="s">
        <v>19</v>
      </c>
      <c r="K99">
        <v>0.98</v>
      </c>
      <c r="L99" t="s">
        <v>178</v>
      </c>
      <c r="M99" t="s">
        <v>19</v>
      </c>
      <c r="N99">
        <v>0.99</v>
      </c>
      <c r="O99" t="s">
        <v>179</v>
      </c>
      <c r="P99" t="s">
        <v>19</v>
      </c>
      <c r="Q99">
        <v>0.86199999999999999</v>
      </c>
      <c r="R99" t="s">
        <v>23</v>
      </c>
      <c r="S99">
        <v>4</v>
      </c>
    </row>
    <row r="100" spans="1:19">
      <c r="A100">
        <v>99</v>
      </c>
      <c r="B100" t="s">
        <v>74</v>
      </c>
      <c r="C100">
        <v>485.34309999999999</v>
      </c>
      <c r="D100">
        <v>216</v>
      </c>
      <c r="E100">
        <v>-0.80118923067789205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0.94</v>
      </c>
      <c r="L100" t="s">
        <v>21</v>
      </c>
      <c r="M100" t="s">
        <v>19</v>
      </c>
      <c r="N100">
        <v>0.95</v>
      </c>
      <c r="O100" t="s">
        <v>40</v>
      </c>
      <c r="P100" t="s">
        <v>19</v>
      </c>
      <c r="Q100">
        <v>0.86799999999999999</v>
      </c>
      <c r="R100" t="s">
        <v>23</v>
      </c>
      <c r="S100">
        <v>4</v>
      </c>
    </row>
    <row r="101" spans="1:19">
      <c r="A101">
        <v>100</v>
      </c>
      <c r="B101" t="s">
        <v>180</v>
      </c>
      <c r="C101">
        <v>652.66070000000002</v>
      </c>
      <c r="D101">
        <v>282.26</v>
      </c>
      <c r="E101">
        <v>-0.93197044343833102</v>
      </c>
      <c r="F101" t="s">
        <v>18</v>
      </c>
      <c r="G101" t="s">
        <v>19</v>
      </c>
      <c r="H101">
        <v>0.996</v>
      </c>
      <c r="I101" t="s">
        <v>20</v>
      </c>
      <c r="J101" t="s">
        <v>19</v>
      </c>
      <c r="K101">
        <v>1</v>
      </c>
      <c r="L101" t="s">
        <v>32</v>
      </c>
      <c r="M101" t="s">
        <v>19</v>
      </c>
      <c r="N101">
        <v>0.99</v>
      </c>
      <c r="O101" t="s">
        <v>114</v>
      </c>
      <c r="P101" t="s">
        <v>19</v>
      </c>
      <c r="Q101">
        <v>0.98299999999999998</v>
      </c>
      <c r="R101" t="s">
        <v>23</v>
      </c>
      <c r="S101">
        <v>4</v>
      </c>
    </row>
    <row r="102" spans="1:19">
      <c r="A102">
        <v>101</v>
      </c>
      <c r="B102" t="s">
        <v>171</v>
      </c>
      <c r="C102">
        <v>832.66420000000005</v>
      </c>
      <c r="D102">
        <v>300.7</v>
      </c>
      <c r="E102">
        <v>-0.73448719021882902</v>
      </c>
      <c r="F102" t="s">
        <v>18</v>
      </c>
      <c r="G102" t="s">
        <v>19</v>
      </c>
      <c r="H102">
        <v>1</v>
      </c>
      <c r="I102" t="s">
        <v>20</v>
      </c>
      <c r="J102" t="s">
        <v>19</v>
      </c>
      <c r="K102">
        <v>1</v>
      </c>
      <c r="L102" t="s">
        <v>32</v>
      </c>
      <c r="M102" t="s">
        <v>19</v>
      </c>
      <c r="N102">
        <v>1</v>
      </c>
      <c r="O102" t="s">
        <v>100</v>
      </c>
      <c r="P102" t="s">
        <v>19</v>
      </c>
      <c r="Q102">
        <v>0.82799999999999996</v>
      </c>
      <c r="R102" t="s">
        <v>23</v>
      </c>
      <c r="S102">
        <v>4</v>
      </c>
    </row>
    <row r="103" spans="1:19">
      <c r="A103">
        <v>102</v>
      </c>
      <c r="B103" t="s">
        <v>181</v>
      </c>
      <c r="C103">
        <v>198.0487</v>
      </c>
      <c r="D103">
        <v>148.5</v>
      </c>
      <c r="E103">
        <v>-0.82756834410494695</v>
      </c>
      <c r="F103" t="s">
        <v>18</v>
      </c>
      <c r="G103" t="s">
        <v>19</v>
      </c>
      <c r="H103">
        <v>1</v>
      </c>
      <c r="I103" t="s">
        <v>35</v>
      </c>
      <c r="J103" t="s">
        <v>19</v>
      </c>
      <c r="K103">
        <v>0.74</v>
      </c>
      <c r="L103" t="s">
        <v>36</v>
      </c>
      <c r="M103" t="s">
        <v>19</v>
      </c>
      <c r="N103">
        <v>1</v>
      </c>
      <c r="O103" t="s">
        <v>37</v>
      </c>
      <c r="P103" t="s">
        <v>19</v>
      </c>
      <c r="Q103">
        <v>0.93300000000000005</v>
      </c>
      <c r="R103" t="s">
        <v>23</v>
      </c>
      <c r="S103">
        <v>4</v>
      </c>
    </row>
    <row r="104" spans="1:19">
      <c r="A104">
        <v>103</v>
      </c>
      <c r="B104" t="s">
        <v>182</v>
      </c>
      <c r="C104">
        <v>192.98779999999999</v>
      </c>
      <c r="D104">
        <v>143.19999999999999</v>
      </c>
      <c r="E104">
        <v>-0.77231910170809204</v>
      </c>
      <c r="F104" t="s">
        <v>18</v>
      </c>
      <c r="G104" t="s">
        <v>19</v>
      </c>
      <c r="H104">
        <v>1</v>
      </c>
      <c r="I104" t="s">
        <v>49</v>
      </c>
      <c r="J104" t="s">
        <v>19</v>
      </c>
      <c r="K104">
        <v>0.65</v>
      </c>
      <c r="L104" t="s">
        <v>50</v>
      </c>
      <c r="M104" t="s">
        <v>19</v>
      </c>
      <c r="N104">
        <v>1</v>
      </c>
      <c r="O104" t="s">
        <v>51</v>
      </c>
      <c r="P104" t="s">
        <v>19</v>
      </c>
      <c r="Q104">
        <v>0.997</v>
      </c>
      <c r="R104" t="s">
        <v>23</v>
      </c>
      <c r="S104">
        <v>4</v>
      </c>
    </row>
    <row r="105" spans="1:19">
      <c r="A105">
        <v>104</v>
      </c>
      <c r="B105" t="s">
        <v>101</v>
      </c>
      <c r="C105">
        <v>612.072</v>
      </c>
      <c r="D105">
        <v>225.6</v>
      </c>
      <c r="E105">
        <v>-0.38858983428315202</v>
      </c>
      <c r="F105" t="s">
        <v>18</v>
      </c>
      <c r="G105" t="s">
        <v>19</v>
      </c>
      <c r="H105">
        <v>0.996</v>
      </c>
      <c r="I105" t="s">
        <v>58</v>
      </c>
      <c r="J105" t="s">
        <v>19</v>
      </c>
      <c r="K105">
        <v>1</v>
      </c>
      <c r="L105" t="s">
        <v>59</v>
      </c>
      <c r="M105" t="s">
        <v>19</v>
      </c>
      <c r="N105">
        <v>0.86</v>
      </c>
      <c r="O105" t="s">
        <v>102</v>
      </c>
      <c r="P105" t="s">
        <v>19</v>
      </c>
      <c r="Q105">
        <v>0.91500000000000004</v>
      </c>
      <c r="R105" t="s">
        <v>23</v>
      </c>
      <c r="S105">
        <v>4</v>
      </c>
    </row>
    <row r="106" spans="1:19">
      <c r="A106">
        <v>105</v>
      </c>
      <c r="B106" t="s">
        <v>183</v>
      </c>
      <c r="C106">
        <v>836.52059999999994</v>
      </c>
      <c r="D106">
        <v>291.60000000000002</v>
      </c>
      <c r="E106">
        <v>-0.58658131940103397</v>
      </c>
      <c r="F106" t="s">
        <v>18</v>
      </c>
      <c r="G106" t="s">
        <v>19</v>
      </c>
      <c r="H106">
        <v>1</v>
      </c>
      <c r="I106" t="s">
        <v>20</v>
      </c>
      <c r="J106" t="s">
        <v>19</v>
      </c>
      <c r="K106">
        <v>0.98</v>
      </c>
      <c r="L106" t="s">
        <v>21</v>
      </c>
      <c r="M106" t="s">
        <v>19</v>
      </c>
      <c r="N106">
        <v>1</v>
      </c>
      <c r="O106" t="s">
        <v>40</v>
      </c>
      <c r="P106" t="s">
        <v>19</v>
      </c>
      <c r="Q106">
        <v>0.66400000000000003</v>
      </c>
      <c r="R106" t="s">
        <v>23</v>
      </c>
      <c r="S106">
        <v>4</v>
      </c>
    </row>
    <row r="107" spans="1:19">
      <c r="A107">
        <v>106</v>
      </c>
      <c r="B107" t="s">
        <v>184</v>
      </c>
      <c r="C107">
        <v>934.55499999999995</v>
      </c>
      <c r="D107">
        <v>305.5</v>
      </c>
      <c r="E107">
        <v>-0.51152082202509097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0.92</v>
      </c>
      <c r="L107" t="s">
        <v>21</v>
      </c>
      <c r="M107" t="s">
        <v>19</v>
      </c>
      <c r="N107">
        <v>1</v>
      </c>
      <c r="O107" t="s">
        <v>153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185</v>
      </c>
      <c r="C108">
        <v>195.08609999999999</v>
      </c>
      <c r="D108">
        <v>140.19999999999999</v>
      </c>
      <c r="E108">
        <v>-0.86827624081797705</v>
      </c>
      <c r="F108" t="s">
        <v>18</v>
      </c>
      <c r="G108" t="s">
        <v>19</v>
      </c>
      <c r="H108">
        <v>1</v>
      </c>
      <c r="I108" t="s">
        <v>43</v>
      </c>
      <c r="J108" t="s">
        <v>19</v>
      </c>
      <c r="K108">
        <v>0.82</v>
      </c>
      <c r="L108" t="s">
        <v>97</v>
      </c>
      <c r="M108" t="s">
        <v>19</v>
      </c>
      <c r="N108">
        <v>0.62</v>
      </c>
      <c r="O108" t="s">
        <v>98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186</v>
      </c>
      <c r="C109">
        <v>412.21</v>
      </c>
      <c r="D109">
        <v>202.9</v>
      </c>
      <c r="E109">
        <v>-0.74974613377162302</v>
      </c>
      <c r="F109" t="s">
        <v>18</v>
      </c>
      <c r="G109" t="s">
        <v>19</v>
      </c>
      <c r="H109">
        <v>1</v>
      </c>
      <c r="I109" t="s">
        <v>20</v>
      </c>
      <c r="J109" t="s">
        <v>19</v>
      </c>
      <c r="K109">
        <v>0.86</v>
      </c>
      <c r="L109" t="s">
        <v>21</v>
      </c>
      <c r="M109" t="s">
        <v>19</v>
      </c>
      <c r="N109">
        <v>0.63</v>
      </c>
      <c r="O109" t="s">
        <v>40</v>
      </c>
      <c r="P109" t="s">
        <v>19</v>
      </c>
      <c r="Q109">
        <v>0.85799999999999998</v>
      </c>
      <c r="R109" t="s">
        <v>23</v>
      </c>
      <c r="S109">
        <v>4</v>
      </c>
    </row>
    <row r="110" spans="1:19">
      <c r="A110">
        <v>109</v>
      </c>
      <c r="B110" t="s">
        <v>187</v>
      </c>
      <c r="C110">
        <v>309.2799</v>
      </c>
      <c r="D110">
        <v>184.1</v>
      </c>
      <c r="E110">
        <v>-0.93457293437393196</v>
      </c>
      <c r="F110" t="s">
        <v>18</v>
      </c>
      <c r="G110" t="s">
        <v>19</v>
      </c>
      <c r="H110">
        <v>1</v>
      </c>
      <c r="I110" t="s">
        <v>20</v>
      </c>
      <c r="J110" t="s">
        <v>19</v>
      </c>
      <c r="K110">
        <v>0.99</v>
      </c>
      <c r="L110" t="s">
        <v>53</v>
      </c>
      <c r="M110" t="s">
        <v>19</v>
      </c>
      <c r="N110">
        <v>1</v>
      </c>
      <c r="O110" t="s">
        <v>54</v>
      </c>
      <c r="P110" t="s">
        <v>19</v>
      </c>
      <c r="Q110">
        <v>0.98599999999999999</v>
      </c>
      <c r="R110" t="s">
        <v>23</v>
      </c>
      <c r="S110">
        <v>4</v>
      </c>
    </row>
    <row r="111" spans="1:19">
      <c r="A111">
        <v>110</v>
      </c>
      <c r="B111" t="s">
        <v>188</v>
      </c>
      <c r="C111">
        <v>116.0703</v>
      </c>
      <c r="D111">
        <v>125.4</v>
      </c>
      <c r="E111">
        <v>-0.94070148388131303</v>
      </c>
      <c r="F111" t="s">
        <v>18</v>
      </c>
      <c r="G111" t="s">
        <v>19</v>
      </c>
      <c r="H111">
        <v>1</v>
      </c>
      <c r="I111" t="s">
        <v>35</v>
      </c>
      <c r="J111" t="s">
        <v>19</v>
      </c>
      <c r="K111">
        <v>1</v>
      </c>
      <c r="L111" t="s">
        <v>36</v>
      </c>
      <c r="M111" t="s">
        <v>19</v>
      </c>
      <c r="N111">
        <v>1</v>
      </c>
      <c r="O111" t="s">
        <v>37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111</v>
      </c>
      <c r="B112" t="s">
        <v>189</v>
      </c>
      <c r="C112">
        <v>203.05420000000001</v>
      </c>
      <c r="D112">
        <v>146.1</v>
      </c>
      <c r="E112">
        <v>-0.82747944347806901</v>
      </c>
      <c r="F112" t="s">
        <v>18</v>
      </c>
      <c r="G112" t="s">
        <v>19</v>
      </c>
      <c r="H112">
        <v>1</v>
      </c>
      <c r="I112" t="s">
        <v>49</v>
      </c>
      <c r="J112" t="s">
        <v>19</v>
      </c>
      <c r="K112">
        <v>0.98</v>
      </c>
      <c r="L112" t="s">
        <v>50</v>
      </c>
      <c r="M112" t="s">
        <v>19</v>
      </c>
      <c r="N112">
        <v>1</v>
      </c>
      <c r="O112" t="s">
        <v>51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61</v>
      </c>
      <c r="C113">
        <v>601.97839999999997</v>
      </c>
      <c r="D113">
        <v>180.9</v>
      </c>
      <c r="E113">
        <v>-0.30625986272536898</v>
      </c>
      <c r="F113" t="s">
        <v>18</v>
      </c>
      <c r="G113" t="s">
        <v>19</v>
      </c>
      <c r="H113">
        <v>0.96799999999999997</v>
      </c>
      <c r="I113" t="s">
        <v>62</v>
      </c>
      <c r="J113" t="s">
        <v>19</v>
      </c>
      <c r="K113">
        <v>0.67</v>
      </c>
      <c r="L113" t="s">
        <v>63</v>
      </c>
      <c r="M113" t="s">
        <v>19</v>
      </c>
      <c r="N113">
        <v>0.87</v>
      </c>
      <c r="O113" t="s">
        <v>64</v>
      </c>
      <c r="P113" t="s">
        <v>19</v>
      </c>
      <c r="Q113">
        <v>0.98199999999999998</v>
      </c>
      <c r="R113" t="s">
        <v>23</v>
      </c>
      <c r="S113">
        <v>4</v>
      </c>
    </row>
    <row r="114" spans="1:19">
      <c r="A114">
        <v>113</v>
      </c>
      <c r="B114" t="s">
        <v>190</v>
      </c>
      <c r="C114">
        <v>834.53229999999996</v>
      </c>
      <c r="D114">
        <v>289.10000000000002</v>
      </c>
      <c r="E114">
        <v>-0.60050135958022099</v>
      </c>
      <c r="F114" t="s">
        <v>18</v>
      </c>
      <c r="G114" t="s">
        <v>19</v>
      </c>
      <c r="H114">
        <v>1</v>
      </c>
      <c r="I114" t="s">
        <v>20</v>
      </c>
      <c r="J114" t="s">
        <v>19</v>
      </c>
      <c r="K114">
        <v>1</v>
      </c>
      <c r="L114" t="s">
        <v>21</v>
      </c>
      <c r="M114" t="s">
        <v>19</v>
      </c>
      <c r="N114">
        <v>1</v>
      </c>
      <c r="O114" t="s">
        <v>153</v>
      </c>
      <c r="P114" t="s">
        <v>19</v>
      </c>
      <c r="Q114">
        <v>0.72499999999999998</v>
      </c>
      <c r="R114" t="s">
        <v>23</v>
      </c>
      <c r="S114">
        <v>4</v>
      </c>
    </row>
    <row r="115" spans="1:19">
      <c r="A115">
        <v>114</v>
      </c>
      <c r="B115" t="s">
        <v>191</v>
      </c>
      <c r="C115">
        <v>351.21710000000002</v>
      </c>
      <c r="D115">
        <v>190.2</v>
      </c>
      <c r="E115">
        <v>-0.82494787326726304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1</v>
      </c>
      <c r="L115" t="s">
        <v>53</v>
      </c>
      <c r="M115" t="s">
        <v>19</v>
      </c>
      <c r="N115">
        <v>0.97</v>
      </c>
      <c r="O115" t="s">
        <v>192</v>
      </c>
      <c r="P115" t="s">
        <v>19</v>
      </c>
      <c r="Q115">
        <v>0.96199999999999997</v>
      </c>
      <c r="R115" t="s">
        <v>23</v>
      </c>
      <c r="S115">
        <v>4</v>
      </c>
    </row>
    <row r="116" spans="1:19">
      <c r="A116">
        <v>115</v>
      </c>
      <c r="B116" t="s">
        <v>193</v>
      </c>
      <c r="C116">
        <v>152.07169999999999</v>
      </c>
      <c r="D116">
        <v>137.1</v>
      </c>
      <c r="E116">
        <v>-0.90190405165105902</v>
      </c>
      <c r="F116" t="s">
        <v>18</v>
      </c>
      <c r="G116" t="s">
        <v>19</v>
      </c>
      <c r="H116">
        <v>1</v>
      </c>
      <c r="I116" t="s">
        <v>25</v>
      </c>
      <c r="J116" t="s">
        <v>19</v>
      </c>
      <c r="K116">
        <v>0.77</v>
      </c>
      <c r="L116" t="s">
        <v>194</v>
      </c>
      <c r="M116" t="s">
        <v>19</v>
      </c>
      <c r="N116">
        <v>0.92</v>
      </c>
      <c r="O116" t="s">
        <v>195</v>
      </c>
      <c r="P116" t="s">
        <v>19</v>
      </c>
      <c r="Q116">
        <v>0.999</v>
      </c>
      <c r="R116" t="s">
        <v>23</v>
      </c>
      <c r="S116">
        <v>4</v>
      </c>
    </row>
    <row r="117" spans="1:19">
      <c r="A117">
        <v>116</v>
      </c>
      <c r="B117" t="s">
        <v>196</v>
      </c>
      <c r="C117">
        <v>856.58320000000003</v>
      </c>
      <c r="D117">
        <v>295.60000000000002</v>
      </c>
      <c r="E117">
        <v>-0.62678038488570598</v>
      </c>
      <c r="F117" t="s">
        <v>18</v>
      </c>
      <c r="G117" t="s">
        <v>19</v>
      </c>
      <c r="H117">
        <v>1</v>
      </c>
      <c r="I117" t="s">
        <v>20</v>
      </c>
      <c r="J117" t="s">
        <v>19</v>
      </c>
      <c r="K117">
        <v>1</v>
      </c>
      <c r="L117" t="s">
        <v>21</v>
      </c>
      <c r="M117" t="s">
        <v>19</v>
      </c>
      <c r="N117">
        <v>1</v>
      </c>
      <c r="O117" t="s">
        <v>22</v>
      </c>
      <c r="P117" t="s">
        <v>19</v>
      </c>
      <c r="Q117">
        <v>0.92500000000000004</v>
      </c>
      <c r="R117" t="s">
        <v>23</v>
      </c>
      <c r="S117">
        <v>4</v>
      </c>
    </row>
    <row r="118" spans="1:19">
      <c r="A118">
        <v>117</v>
      </c>
      <c r="B118" t="s">
        <v>42</v>
      </c>
      <c r="C118">
        <v>248.03190000000001</v>
      </c>
      <c r="D118">
        <v>151.69999999999999</v>
      </c>
      <c r="E118">
        <v>-0.75495950626390096</v>
      </c>
      <c r="F118" t="s">
        <v>18</v>
      </c>
      <c r="G118" t="s">
        <v>19</v>
      </c>
      <c r="H118">
        <v>1</v>
      </c>
      <c r="I118" t="s">
        <v>43</v>
      </c>
      <c r="J118" t="s">
        <v>19</v>
      </c>
      <c r="K118">
        <v>0.83</v>
      </c>
      <c r="L118" t="s">
        <v>44</v>
      </c>
      <c r="M118" t="s">
        <v>19</v>
      </c>
      <c r="N118">
        <v>0.99</v>
      </c>
      <c r="O118" t="s">
        <v>45</v>
      </c>
      <c r="P118" t="s">
        <v>19</v>
      </c>
      <c r="Q118">
        <v>0.95099999999999996</v>
      </c>
      <c r="R118" t="s">
        <v>23</v>
      </c>
      <c r="S118">
        <v>4</v>
      </c>
    </row>
    <row r="119" spans="1:19">
      <c r="A119">
        <v>118</v>
      </c>
      <c r="B119" t="s">
        <v>197</v>
      </c>
      <c r="C119">
        <v>546.35350000000005</v>
      </c>
      <c r="D119">
        <v>240.8</v>
      </c>
      <c r="E119">
        <v>-0.74346795152382605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1</v>
      </c>
      <c r="L119" t="s">
        <v>21</v>
      </c>
      <c r="M119" t="s">
        <v>19</v>
      </c>
      <c r="N119">
        <v>1</v>
      </c>
      <c r="O119" t="s">
        <v>22</v>
      </c>
      <c r="P119" t="s">
        <v>19</v>
      </c>
      <c r="Q119">
        <v>0.997</v>
      </c>
      <c r="R119" t="s">
        <v>23</v>
      </c>
      <c r="S119">
        <v>4</v>
      </c>
    </row>
    <row r="120" spans="1:19">
      <c r="A120">
        <v>119</v>
      </c>
      <c r="B120" t="s">
        <v>198</v>
      </c>
      <c r="C120">
        <v>812.6979</v>
      </c>
      <c r="D120">
        <v>301.8</v>
      </c>
      <c r="E120">
        <v>-0.79048060078434901</v>
      </c>
      <c r="F120" t="s">
        <v>18</v>
      </c>
      <c r="G120" t="s">
        <v>19</v>
      </c>
      <c r="H120">
        <v>1</v>
      </c>
      <c r="I120" t="s">
        <v>20</v>
      </c>
      <c r="J120" t="s">
        <v>19</v>
      </c>
      <c r="K120">
        <v>1</v>
      </c>
      <c r="L120" t="s">
        <v>32</v>
      </c>
      <c r="M120" t="s">
        <v>19</v>
      </c>
      <c r="N120">
        <v>1</v>
      </c>
      <c r="O120" t="s">
        <v>100</v>
      </c>
      <c r="P120" t="s">
        <v>19</v>
      </c>
      <c r="Q120">
        <v>0.78300000000000003</v>
      </c>
      <c r="R120" t="s">
        <v>23</v>
      </c>
      <c r="S120">
        <v>4</v>
      </c>
    </row>
    <row r="121" spans="1:19">
      <c r="A121">
        <v>120</v>
      </c>
      <c r="B121" t="s">
        <v>199</v>
      </c>
      <c r="C121">
        <v>192.06639999999999</v>
      </c>
      <c r="D121">
        <v>141.1</v>
      </c>
      <c r="E121">
        <v>-0.85194789264556903</v>
      </c>
      <c r="F121" t="s">
        <v>18</v>
      </c>
      <c r="G121" t="s">
        <v>19</v>
      </c>
      <c r="H121">
        <v>1</v>
      </c>
      <c r="I121" t="s">
        <v>43</v>
      </c>
      <c r="J121" t="s">
        <v>19</v>
      </c>
      <c r="K121">
        <v>0.61</v>
      </c>
      <c r="L121" t="s">
        <v>111</v>
      </c>
      <c r="M121" t="s">
        <v>19</v>
      </c>
      <c r="N121">
        <v>0.77</v>
      </c>
      <c r="O121" t="s">
        <v>200</v>
      </c>
      <c r="P121" t="s">
        <v>19</v>
      </c>
      <c r="Q121">
        <v>0.91900000000000004</v>
      </c>
      <c r="R121" t="s">
        <v>23</v>
      </c>
      <c r="S121">
        <v>4</v>
      </c>
    </row>
    <row r="122" spans="1:19">
      <c r="A122">
        <v>121</v>
      </c>
      <c r="B122" t="s">
        <v>201</v>
      </c>
      <c r="C122">
        <v>381.07850000000002</v>
      </c>
      <c r="D122">
        <v>175.5</v>
      </c>
      <c r="E122">
        <v>-0.65300606981514897</v>
      </c>
      <c r="F122" t="s">
        <v>18</v>
      </c>
      <c r="G122" t="s">
        <v>19</v>
      </c>
      <c r="H122">
        <v>1</v>
      </c>
      <c r="I122" t="s">
        <v>49</v>
      </c>
      <c r="J122" t="s">
        <v>19</v>
      </c>
      <c r="K122">
        <v>0.72</v>
      </c>
      <c r="L122" t="s">
        <v>50</v>
      </c>
      <c r="M122" t="s">
        <v>19</v>
      </c>
      <c r="N122">
        <v>1</v>
      </c>
      <c r="O122" t="s">
        <v>51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202</v>
      </c>
      <c r="C123">
        <v>440.24709999999999</v>
      </c>
      <c r="D123">
        <v>212</v>
      </c>
      <c r="E123">
        <v>-0.75554125598404198</v>
      </c>
      <c r="F123" t="s">
        <v>18</v>
      </c>
      <c r="G123" t="s">
        <v>19</v>
      </c>
      <c r="H123">
        <v>1</v>
      </c>
      <c r="I123" t="s">
        <v>20</v>
      </c>
      <c r="J123" t="s">
        <v>19</v>
      </c>
      <c r="K123">
        <v>0.84</v>
      </c>
      <c r="L123" t="s">
        <v>53</v>
      </c>
      <c r="M123" t="s">
        <v>19</v>
      </c>
      <c r="N123">
        <v>0.67</v>
      </c>
      <c r="O123" t="s">
        <v>192</v>
      </c>
      <c r="P123" t="s">
        <v>19</v>
      </c>
      <c r="Q123">
        <v>0.96099999999999997</v>
      </c>
      <c r="R123" t="s">
        <v>23</v>
      </c>
      <c r="S123">
        <v>4</v>
      </c>
    </row>
    <row r="124" spans="1:19">
      <c r="A124">
        <v>123</v>
      </c>
      <c r="B124" t="s">
        <v>203</v>
      </c>
      <c r="C124">
        <v>932.53930000000003</v>
      </c>
      <c r="D124">
        <v>303.60000000000002</v>
      </c>
      <c r="E124">
        <v>-0.49807145572674499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0.71</v>
      </c>
      <c r="L124" t="s">
        <v>21</v>
      </c>
      <c r="M124" t="s">
        <v>19</v>
      </c>
      <c r="N124">
        <v>1</v>
      </c>
      <c r="O124" t="s">
        <v>153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204</v>
      </c>
      <c r="C125">
        <v>1024.5650000000001</v>
      </c>
      <c r="D125">
        <v>315.89999999999998</v>
      </c>
      <c r="E125">
        <v>-0.42101998386203798</v>
      </c>
      <c r="F125" t="s">
        <v>18</v>
      </c>
      <c r="G125" t="s">
        <v>19</v>
      </c>
      <c r="H125">
        <v>1</v>
      </c>
      <c r="I125" t="s">
        <v>35</v>
      </c>
      <c r="J125" t="s">
        <v>19</v>
      </c>
      <c r="K125">
        <v>1</v>
      </c>
      <c r="L125" t="s">
        <v>36</v>
      </c>
      <c r="M125" t="s">
        <v>19</v>
      </c>
      <c r="N125">
        <v>1</v>
      </c>
      <c r="O125" t="s">
        <v>37</v>
      </c>
      <c r="P125" t="s">
        <v>19</v>
      </c>
      <c r="Q125">
        <v>1</v>
      </c>
      <c r="R125" t="s">
        <v>23</v>
      </c>
      <c r="S125">
        <v>4</v>
      </c>
    </row>
    <row r="126" spans="1:19">
      <c r="A126">
        <v>125</v>
      </c>
      <c r="B126" t="s">
        <v>205</v>
      </c>
      <c r="C126">
        <v>528.26310000000001</v>
      </c>
      <c r="D126">
        <v>218.2</v>
      </c>
      <c r="E126">
        <v>-0.67326682234590896</v>
      </c>
      <c r="F126" t="s">
        <v>18</v>
      </c>
      <c r="G126" t="s">
        <v>19</v>
      </c>
      <c r="H126">
        <v>1</v>
      </c>
      <c r="I126" t="s">
        <v>20</v>
      </c>
      <c r="J126" t="s">
        <v>19</v>
      </c>
      <c r="K126">
        <v>0.75</v>
      </c>
      <c r="L126" t="s">
        <v>69</v>
      </c>
      <c r="M126" t="s">
        <v>19</v>
      </c>
      <c r="N126">
        <v>0.92</v>
      </c>
      <c r="O126" t="s">
        <v>107</v>
      </c>
      <c r="P126" t="s">
        <v>19</v>
      </c>
      <c r="Q126">
        <v>0.91600000000000004</v>
      </c>
      <c r="R126" t="s">
        <v>23</v>
      </c>
      <c r="S126">
        <v>4</v>
      </c>
    </row>
    <row r="127" spans="1:19">
      <c r="A127">
        <v>126</v>
      </c>
      <c r="B127" t="s">
        <v>206</v>
      </c>
      <c r="C127">
        <v>626.05240000000003</v>
      </c>
      <c r="D127">
        <v>205.8</v>
      </c>
      <c r="E127">
        <v>-0.35337999184514501</v>
      </c>
      <c r="F127" t="s">
        <v>18</v>
      </c>
      <c r="G127" t="s">
        <v>19</v>
      </c>
      <c r="H127">
        <v>0.998</v>
      </c>
      <c r="I127" t="s">
        <v>58</v>
      </c>
      <c r="J127" t="s">
        <v>19</v>
      </c>
      <c r="K127">
        <v>0.99</v>
      </c>
      <c r="L127" t="s">
        <v>59</v>
      </c>
      <c r="M127" t="s">
        <v>19</v>
      </c>
      <c r="N127">
        <v>0.87</v>
      </c>
      <c r="O127" t="s">
        <v>102</v>
      </c>
      <c r="P127" t="s">
        <v>19</v>
      </c>
      <c r="Q127">
        <v>0.85099999999999998</v>
      </c>
      <c r="R127" t="s">
        <v>23</v>
      </c>
      <c r="S127">
        <v>4</v>
      </c>
    </row>
    <row r="128" spans="1:19">
      <c r="A128">
        <v>127</v>
      </c>
      <c r="B128" t="s">
        <v>207</v>
      </c>
      <c r="C128">
        <v>1050.7066</v>
      </c>
      <c r="D128">
        <v>336.2</v>
      </c>
      <c r="E128">
        <v>-0.53343153023547496</v>
      </c>
      <c r="F128" t="s">
        <v>18</v>
      </c>
      <c r="G128" t="s">
        <v>19</v>
      </c>
      <c r="H128">
        <v>1</v>
      </c>
      <c r="I128" t="s">
        <v>35</v>
      </c>
      <c r="J128" t="s">
        <v>19</v>
      </c>
      <c r="K128">
        <v>1</v>
      </c>
      <c r="L128" t="s">
        <v>148</v>
      </c>
      <c r="M128" t="s">
        <v>19</v>
      </c>
      <c r="N128">
        <v>0.94</v>
      </c>
      <c r="O128" t="s">
        <v>149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208</v>
      </c>
      <c r="C129">
        <v>304.90949999999998</v>
      </c>
      <c r="D129">
        <v>163.4</v>
      </c>
      <c r="E129">
        <v>-0.56905271287752202</v>
      </c>
      <c r="F129" t="s">
        <v>18</v>
      </c>
      <c r="G129" t="s">
        <v>19</v>
      </c>
      <c r="H129">
        <v>1</v>
      </c>
      <c r="I129" t="s">
        <v>25</v>
      </c>
      <c r="J129" t="s">
        <v>19</v>
      </c>
      <c r="K129">
        <v>1</v>
      </c>
      <c r="L129" t="s">
        <v>26</v>
      </c>
      <c r="M129" t="s">
        <v>19</v>
      </c>
      <c r="N129">
        <v>1</v>
      </c>
      <c r="O129" t="s">
        <v>119</v>
      </c>
      <c r="P129" t="s">
        <v>19</v>
      </c>
      <c r="Q129">
        <v>0.99399999999999999</v>
      </c>
      <c r="R129" t="s">
        <v>23</v>
      </c>
      <c r="S129">
        <v>4</v>
      </c>
    </row>
    <row r="130" spans="1:19">
      <c r="A130">
        <v>129</v>
      </c>
      <c r="B130" t="s">
        <v>209</v>
      </c>
      <c r="C130">
        <v>752.55700000000002</v>
      </c>
      <c r="D130">
        <v>281.5</v>
      </c>
      <c r="E130">
        <v>-0.71673103804562299</v>
      </c>
      <c r="F130" t="s">
        <v>18</v>
      </c>
      <c r="G130" t="s">
        <v>19</v>
      </c>
      <c r="H130">
        <v>1</v>
      </c>
      <c r="I130" t="s">
        <v>20</v>
      </c>
      <c r="J130" t="s">
        <v>19</v>
      </c>
      <c r="K130">
        <v>1</v>
      </c>
      <c r="L130" t="s">
        <v>21</v>
      </c>
      <c r="M130" t="s">
        <v>19</v>
      </c>
      <c r="N130">
        <v>0.77</v>
      </c>
      <c r="O130" t="s">
        <v>40</v>
      </c>
      <c r="P130" t="s">
        <v>19</v>
      </c>
      <c r="Q130">
        <v>0.77800000000000002</v>
      </c>
      <c r="R130" t="s">
        <v>23</v>
      </c>
      <c r="S130">
        <v>4</v>
      </c>
    </row>
    <row r="131" spans="1:19">
      <c r="A131">
        <v>130</v>
      </c>
      <c r="B131" t="s">
        <v>210</v>
      </c>
      <c r="C131">
        <v>547.32929999999999</v>
      </c>
      <c r="D131">
        <v>360.4</v>
      </c>
      <c r="E131">
        <v>-0.71817842016184796</v>
      </c>
      <c r="F131" t="s">
        <v>18</v>
      </c>
      <c r="G131" t="s">
        <v>19</v>
      </c>
      <c r="H131">
        <v>1</v>
      </c>
      <c r="I131" t="s">
        <v>35</v>
      </c>
      <c r="J131" t="s">
        <v>19</v>
      </c>
      <c r="K131">
        <v>1</v>
      </c>
      <c r="L131" t="s">
        <v>36</v>
      </c>
      <c r="M131" t="s">
        <v>19</v>
      </c>
      <c r="N131">
        <v>0.85</v>
      </c>
      <c r="O131" t="s">
        <v>37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211</v>
      </c>
      <c r="C132">
        <v>184.07320000000001</v>
      </c>
      <c r="D132">
        <v>137.1</v>
      </c>
      <c r="E132">
        <v>-0.86767271543868696</v>
      </c>
      <c r="F132" t="s">
        <v>18</v>
      </c>
      <c r="G132" t="s">
        <v>19</v>
      </c>
      <c r="H132">
        <v>1</v>
      </c>
      <c r="I132" t="s">
        <v>177</v>
      </c>
      <c r="J132" t="s">
        <v>19</v>
      </c>
      <c r="K132">
        <v>0.63</v>
      </c>
      <c r="L132" t="s">
        <v>178</v>
      </c>
      <c r="M132" t="s">
        <v>19</v>
      </c>
      <c r="N132">
        <v>0.95</v>
      </c>
      <c r="O132" t="s">
        <v>212</v>
      </c>
      <c r="P132" t="s">
        <v>19</v>
      </c>
      <c r="Q132">
        <v>0.69</v>
      </c>
      <c r="R132" t="s">
        <v>23</v>
      </c>
      <c r="S132">
        <v>4</v>
      </c>
    </row>
    <row r="133" spans="1:19">
      <c r="A133">
        <v>132</v>
      </c>
      <c r="B133" t="s">
        <v>213</v>
      </c>
      <c r="C133">
        <v>189.02010000000001</v>
      </c>
      <c r="D133">
        <v>145.69999999999999</v>
      </c>
      <c r="E133">
        <v>-0.80904924475422002</v>
      </c>
      <c r="F133" t="s">
        <v>18</v>
      </c>
      <c r="G133" t="s">
        <v>19</v>
      </c>
      <c r="H133">
        <v>1</v>
      </c>
      <c r="I133" t="s">
        <v>43</v>
      </c>
      <c r="J133" t="s">
        <v>19</v>
      </c>
      <c r="K133">
        <v>0.76</v>
      </c>
      <c r="L133" t="s">
        <v>97</v>
      </c>
      <c r="M133" t="s">
        <v>19</v>
      </c>
      <c r="N133">
        <v>0.78</v>
      </c>
      <c r="O133" t="s">
        <v>98</v>
      </c>
      <c r="P133" t="s">
        <v>19</v>
      </c>
      <c r="Q133">
        <v>0.999</v>
      </c>
      <c r="R133" t="s">
        <v>23</v>
      </c>
      <c r="S133">
        <v>4</v>
      </c>
    </row>
    <row r="134" spans="1:19">
      <c r="A134">
        <v>133</v>
      </c>
      <c r="B134" t="s">
        <v>214</v>
      </c>
      <c r="C134">
        <v>195.06399999999999</v>
      </c>
      <c r="D134">
        <v>137.69999999999999</v>
      </c>
      <c r="E134">
        <v>-0.84620091661540198</v>
      </c>
      <c r="F134" t="s">
        <v>18</v>
      </c>
      <c r="G134" t="s">
        <v>19</v>
      </c>
      <c r="H134">
        <v>1</v>
      </c>
      <c r="I134" t="s">
        <v>20</v>
      </c>
      <c r="J134" t="s">
        <v>19</v>
      </c>
      <c r="K134">
        <v>0.65</v>
      </c>
      <c r="L134" t="s">
        <v>53</v>
      </c>
      <c r="M134" t="s">
        <v>19</v>
      </c>
      <c r="N134">
        <v>0.99</v>
      </c>
      <c r="O134" t="s">
        <v>54</v>
      </c>
      <c r="P134" t="s">
        <v>19</v>
      </c>
      <c r="Q134">
        <v>0.998</v>
      </c>
      <c r="R134" t="s">
        <v>23</v>
      </c>
      <c r="S134">
        <v>4</v>
      </c>
    </row>
    <row r="135" spans="1:19">
      <c r="A135">
        <v>134</v>
      </c>
      <c r="B135" t="s">
        <v>215</v>
      </c>
      <c r="C135">
        <v>829.83569999999997</v>
      </c>
      <c r="D135">
        <v>424.7</v>
      </c>
      <c r="E135">
        <v>-0.90914535731951696</v>
      </c>
      <c r="F135" t="s">
        <v>18</v>
      </c>
      <c r="G135" t="s">
        <v>19</v>
      </c>
      <c r="H135">
        <v>1</v>
      </c>
      <c r="I135" t="s">
        <v>35</v>
      </c>
      <c r="J135" t="s">
        <v>19</v>
      </c>
      <c r="K135">
        <v>1</v>
      </c>
      <c r="L135" t="s">
        <v>148</v>
      </c>
      <c r="M135" t="s">
        <v>19</v>
      </c>
      <c r="N135">
        <v>0.76</v>
      </c>
      <c r="O135" t="s">
        <v>149</v>
      </c>
      <c r="P135" t="s">
        <v>19</v>
      </c>
      <c r="Q135">
        <v>0.91300000000000003</v>
      </c>
      <c r="R135" t="s">
        <v>23</v>
      </c>
      <c r="S135">
        <v>4</v>
      </c>
    </row>
    <row r="136" spans="1:19">
      <c r="A136">
        <v>135</v>
      </c>
      <c r="B136" t="s">
        <v>216</v>
      </c>
      <c r="C136">
        <v>384.03320000000002</v>
      </c>
      <c r="D136">
        <v>172.2</v>
      </c>
      <c r="E136">
        <v>-0.60440699386225605</v>
      </c>
      <c r="F136" t="s">
        <v>18</v>
      </c>
      <c r="G136" t="s">
        <v>19</v>
      </c>
      <c r="H136">
        <v>1</v>
      </c>
      <c r="I136" t="s">
        <v>58</v>
      </c>
      <c r="J136" t="s">
        <v>19</v>
      </c>
      <c r="K136">
        <v>0.98</v>
      </c>
      <c r="L136" t="s">
        <v>59</v>
      </c>
      <c r="M136" t="s">
        <v>19</v>
      </c>
      <c r="N136">
        <v>1</v>
      </c>
      <c r="O136" t="s">
        <v>67</v>
      </c>
      <c r="P136" t="s">
        <v>19</v>
      </c>
      <c r="Q136">
        <v>0.96599999999999997</v>
      </c>
      <c r="R136" t="s">
        <v>23</v>
      </c>
      <c r="S136">
        <v>4</v>
      </c>
    </row>
    <row r="137" spans="1:19">
      <c r="A137">
        <v>136</v>
      </c>
      <c r="B137" t="s">
        <v>217</v>
      </c>
      <c r="C137">
        <v>678.38210000000004</v>
      </c>
      <c r="D137">
        <v>254.4</v>
      </c>
      <c r="E137">
        <v>-0.624651164927855</v>
      </c>
      <c r="F137" t="s">
        <v>18</v>
      </c>
      <c r="G137" t="s">
        <v>19</v>
      </c>
      <c r="H137">
        <v>1</v>
      </c>
      <c r="I137" t="s">
        <v>35</v>
      </c>
      <c r="J137" t="s">
        <v>19</v>
      </c>
      <c r="K137">
        <v>0.9</v>
      </c>
      <c r="L137" t="s">
        <v>36</v>
      </c>
      <c r="M137" t="s">
        <v>19</v>
      </c>
      <c r="N137">
        <v>1</v>
      </c>
      <c r="O137" t="s">
        <v>37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218</v>
      </c>
      <c r="C138">
        <v>894.52369999999996</v>
      </c>
      <c r="D138">
        <v>298.5</v>
      </c>
      <c r="E138">
        <v>-0.52491784683070397</v>
      </c>
      <c r="F138" t="s">
        <v>18</v>
      </c>
      <c r="G138" t="s">
        <v>19</v>
      </c>
      <c r="H138">
        <v>0.998</v>
      </c>
      <c r="I138" t="s">
        <v>20</v>
      </c>
      <c r="J138" t="s">
        <v>19</v>
      </c>
      <c r="K138">
        <v>0.99</v>
      </c>
      <c r="L138" t="s">
        <v>21</v>
      </c>
      <c r="M138" t="s">
        <v>19</v>
      </c>
      <c r="N138">
        <v>1</v>
      </c>
      <c r="O138" t="s">
        <v>153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138</v>
      </c>
      <c r="B139" t="s">
        <v>219</v>
      </c>
      <c r="C139">
        <v>242.10050000000001</v>
      </c>
      <c r="D139">
        <v>150.80000000000001</v>
      </c>
      <c r="E139">
        <v>-0.83018222231188998</v>
      </c>
      <c r="F139" t="s">
        <v>18</v>
      </c>
      <c r="G139" t="s">
        <v>19</v>
      </c>
      <c r="H139">
        <v>1</v>
      </c>
      <c r="I139" t="s">
        <v>49</v>
      </c>
      <c r="J139" t="s">
        <v>19</v>
      </c>
      <c r="K139">
        <v>0.72</v>
      </c>
      <c r="L139" t="s">
        <v>50</v>
      </c>
      <c r="M139" t="s">
        <v>19</v>
      </c>
      <c r="N139">
        <v>1</v>
      </c>
      <c r="O139" t="s">
        <v>109</v>
      </c>
      <c r="P139" t="s">
        <v>19</v>
      </c>
      <c r="Q139">
        <v>0.57799999999999996</v>
      </c>
      <c r="R139" t="s">
        <v>23</v>
      </c>
      <c r="S139">
        <v>4</v>
      </c>
    </row>
    <row r="140" spans="1:19">
      <c r="A140">
        <v>139</v>
      </c>
      <c r="B140" t="s">
        <v>220</v>
      </c>
      <c r="C140">
        <v>785.65359999999998</v>
      </c>
      <c r="D140">
        <v>296.8</v>
      </c>
      <c r="E140">
        <v>-0.77637696582758098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1</v>
      </c>
      <c r="L140" t="s">
        <v>32</v>
      </c>
      <c r="M140" t="s">
        <v>19</v>
      </c>
      <c r="N140">
        <v>0.99</v>
      </c>
      <c r="O140" t="s">
        <v>33</v>
      </c>
      <c r="P140" t="s">
        <v>19</v>
      </c>
      <c r="Q140">
        <v>0.82599999999999996</v>
      </c>
      <c r="R140" t="s">
        <v>23</v>
      </c>
      <c r="S140">
        <v>4</v>
      </c>
    </row>
    <row r="141" spans="1:19">
      <c r="A141">
        <v>140</v>
      </c>
      <c r="B141" t="s">
        <v>47</v>
      </c>
      <c r="C141">
        <v>602.37980000000005</v>
      </c>
      <c r="D141">
        <v>253.7</v>
      </c>
      <c r="E141">
        <v>-0.70721167878548397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1</v>
      </c>
      <c r="L141" t="s">
        <v>21</v>
      </c>
      <c r="M141" t="s">
        <v>19</v>
      </c>
      <c r="N141">
        <v>0.97</v>
      </c>
      <c r="O141" t="s">
        <v>40</v>
      </c>
      <c r="P141" t="s">
        <v>19</v>
      </c>
      <c r="Q141">
        <v>0.82299999999999995</v>
      </c>
      <c r="R141" t="s">
        <v>23</v>
      </c>
      <c r="S141">
        <v>4</v>
      </c>
    </row>
    <row r="142" spans="1:19">
      <c r="A142">
        <v>141</v>
      </c>
      <c r="B142" t="s">
        <v>221</v>
      </c>
      <c r="C142">
        <v>303.23239999999998</v>
      </c>
      <c r="D142">
        <v>186.7</v>
      </c>
      <c r="E142">
        <v>-0.89382528209961298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1</v>
      </c>
      <c r="L142" t="s">
        <v>53</v>
      </c>
      <c r="M142" t="s">
        <v>19</v>
      </c>
      <c r="N142">
        <v>1</v>
      </c>
      <c r="O142" t="s">
        <v>54</v>
      </c>
      <c r="P142" t="s">
        <v>19</v>
      </c>
      <c r="Q142">
        <v>0.89100000000000001</v>
      </c>
      <c r="R142" t="s">
        <v>23</v>
      </c>
      <c r="S142">
        <v>4</v>
      </c>
    </row>
    <row r="143" spans="1:19">
      <c r="A143">
        <v>142</v>
      </c>
      <c r="B143" t="s">
        <v>222</v>
      </c>
      <c r="C143">
        <v>158.04339999999999</v>
      </c>
      <c r="D143">
        <v>137</v>
      </c>
      <c r="E143">
        <v>-0.86693633856074803</v>
      </c>
      <c r="F143" t="s">
        <v>18</v>
      </c>
      <c r="G143" t="s">
        <v>19</v>
      </c>
      <c r="H143">
        <v>1</v>
      </c>
      <c r="I143" t="s">
        <v>43</v>
      </c>
      <c r="J143" t="s">
        <v>19</v>
      </c>
      <c r="K143">
        <v>0.85</v>
      </c>
      <c r="L143" t="s">
        <v>97</v>
      </c>
      <c r="M143" t="s">
        <v>19</v>
      </c>
      <c r="N143">
        <v>0.86</v>
      </c>
      <c r="O143" t="s">
        <v>98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223</v>
      </c>
      <c r="C144">
        <v>728.55970000000002</v>
      </c>
      <c r="D144">
        <v>270.10000000000002</v>
      </c>
      <c r="E144">
        <v>-0.74622526939390399</v>
      </c>
      <c r="F144" t="s">
        <v>18</v>
      </c>
      <c r="G144" t="s">
        <v>19</v>
      </c>
      <c r="H144">
        <v>1</v>
      </c>
      <c r="I144" t="s">
        <v>20</v>
      </c>
      <c r="J144" t="s">
        <v>19</v>
      </c>
      <c r="K144">
        <v>1</v>
      </c>
      <c r="L144" t="s">
        <v>21</v>
      </c>
      <c r="M144" t="s">
        <v>19</v>
      </c>
      <c r="N144">
        <v>1</v>
      </c>
      <c r="O144" t="s">
        <v>40</v>
      </c>
      <c r="P144" t="s">
        <v>19</v>
      </c>
      <c r="Q144">
        <v>0.995</v>
      </c>
      <c r="R144" t="s">
        <v>23</v>
      </c>
      <c r="S144">
        <v>4</v>
      </c>
    </row>
    <row r="145" spans="1:19">
      <c r="A145">
        <v>144</v>
      </c>
      <c r="B145" t="s">
        <v>224</v>
      </c>
      <c r="C145">
        <v>574.38480000000004</v>
      </c>
      <c r="D145">
        <v>249.5</v>
      </c>
      <c r="E145">
        <v>-0.74346954973725599</v>
      </c>
      <c r="F145" t="s">
        <v>18</v>
      </c>
      <c r="G145" t="s">
        <v>19</v>
      </c>
      <c r="H145">
        <v>1</v>
      </c>
      <c r="I145" t="s">
        <v>20</v>
      </c>
      <c r="J145" t="s">
        <v>19</v>
      </c>
      <c r="K145">
        <v>1</v>
      </c>
      <c r="L145" t="s">
        <v>21</v>
      </c>
      <c r="M145" t="s">
        <v>19</v>
      </c>
      <c r="N145">
        <v>1</v>
      </c>
      <c r="O145" t="s">
        <v>22</v>
      </c>
      <c r="P145" t="s">
        <v>19</v>
      </c>
      <c r="Q145">
        <v>0.91</v>
      </c>
      <c r="R145" t="s">
        <v>23</v>
      </c>
      <c r="S145">
        <v>4</v>
      </c>
    </row>
    <row r="146" spans="1:19">
      <c r="A146">
        <v>145</v>
      </c>
      <c r="B146" t="s">
        <v>225</v>
      </c>
      <c r="C146">
        <v>746.56299999999999</v>
      </c>
      <c r="D146">
        <v>274.7</v>
      </c>
      <c r="E146">
        <v>-0.72942365024368905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0.93</v>
      </c>
      <c r="L146" t="s">
        <v>21</v>
      </c>
      <c r="M146" t="s">
        <v>19</v>
      </c>
      <c r="N146">
        <v>1</v>
      </c>
      <c r="O146" t="s">
        <v>40</v>
      </c>
      <c r="P146" t="s">
        <v>19</v>
      </c>
      <c r="Q146">
        <v>0.99299999999999999</v>
      </c>
      <c r="R146" t="s">
        <v>23</v>
      </c>
      <c r="S146">
        <v>4</v>
      </c>
    </row>
    <row r="147" spans="1:19">
      <c r="A147">
        <v>146</v>
      </c>
      <c r="B147" t="s">
        <v>226</v>
      </c>
      <c r="C147">
        <v>790.63250000000005</v>
      </c>
      <c r="D147">
        <v>297.60000000000002</v>
      </c>
      <c r="E147">
        <v>-0.74971776548170499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1</v>
      </c>
      <c r="L147" t="s">
        <v>21</v>
      </c>
      <c r="M147" t="s">
        <v>19</v>
      </c>
      <c r="N147">
        <v>0.73</v>
      </c>
      <c r="O147" t="s">
        <v>22</v>
      </c>
      <c r="P147" t="s">
        <v>19</v>
      </c>
      <c r="Q147">
        <v>0.99099999999999999</v>
      </c>
      <c r="R147" t="s">
        <v>23</v>
      </c>
      <c r="S147">
        <v>4</v>
      </c>
    </row>
    <row r="148" spans="1:19">
      <c r="A148">
        <v>147</v>
      </c>
      <c r="B148" t="s">
        <v>227</v>
      </c>
      <c r="C148">
        <v>197.00620000000001</v>
      </c>
      <c r="D148">
        <v>145.9</v>
      </c>
      <c r="E148">
        <v>-0.78623234947974696</v>
      </c>
      <c r="F148" t="s">
        <v>18</v>
      </c>
      <c r="G148" t="s">
        <v>19</v>
      </c>
      <c r="H148">
        <v>1</v>
      </c>
      <c r="I148" t="s">
        <v>35</v>
      </c>
      <c r="J148" t="s">
        <v>19</v>
      </c>
      <c r="K148">
        <v>0.83</v>
      </c>
      <c r="L148" t="s">
        <v>36</v>
      </c>
      <c r="M148" t="s">
        <v>19</v>
      </c>
      <c r="N148">
        <v>1</v>
      </c>
      <c r="O148" t="s">
        <v>228</v>
      </c>
      <c r="P148" t="s">
        <v>19</v>
      </c>
      <c r="Q148">
        <v>0.77900000000000003</v>
      </c>
      <c r="R148" t="s">
        <v>23</v>
      </c>
      <c r="S148">
        <v>4</v>
      </c>
    </row>
    <row r="149" spans="1:19">
      <c r="A149">
        <v>148</v>
      </c>
      <c r="B149" t="s">
        <v>229</v>
      </c>
      <c r="C149">
        <v>693.35699999999997</v>
      </c>
      <c r="D149">
        <v>253.6</v>
      </c>
      <c r="E149">
        <v>-0.582830911606948</v>
      </c>
      <c r="F149" t="s">
        <v>18</v>
      </c>
      <c r="G149" t="s">
        <v>19</v>
      </c>
      <c r="H149">
        <v>1</v>
      </c>
      <c r="I149" t="s">
        <v>35</v>
      </c>
      <c r="J149" t="s">
        <v>19</v>
      </c>
      <c r="K149">
        <v>0.93</v>
      </c>
      <c r="L149" t="s">
        <v>36</v>
      </c>
      <c r="M149" t="s">
        <v>19</v>
      </c>
      <c r="N149">
        <v>0.96</v>
      </c>
      <c r="O149" t="s">
        <v>37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230</v>
      </c>
      <c r="C150">
        <v>1062.55</v>
      </c>
      <c r="D150">
        <v>325.60000000000002</v>
      </c>
      <c r="E150">
        <v>-0.36360775924663402</v>
      </c>
      <c r="F150" t="s">
        <v>18</v>
      </c>
      <c r="G150" t="s">
        <v>19</v>
      </c>
      <c r="H150">
        <v>1</v>
      </c>
      <c r="I150" t="s">
        <v>35</v>
      </c>
      <c r="J150" t="s">
        <v>19</v>
      </c>
      <c r="K150">
        <v>1</v>
      </c>
      <c r="L150" t="s">
        <v>36</v>
      </c>
      <c r="M150" t="s">
        <v>19</v>
      </c>
      <c r="N150">
        <v>0.73</v>
      </c>
      <c r="O150" t="s">
        <v>37</v>
      </c>
      <c r="P150" t="s">
        <v>19</v>
      </c>
      <c r="Q150">
        <v>0.999</v>
      </c>
      <c r="R150" t="s">
        <v>23</v>
      </c>
      <c r="S150">
        <v>4</v>
      </c>
    </row>
    <row r="151" spans="1:19">
      <c r="A151">
        <v>150</v>
      </c>
      <c r="B151" t="s">
        <v>231</v>
      </c>
      <c r="C151">
        <v>167.03200000000001</v>
      </c>
      <c r="D151">
        <v>132.4</v>
      </c>
      <c r="E151">
        <v>-0.84550009998824305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0.88</v>
      </c>
      <c r="L151" t="s">
        <v>53</v>
      </c>
      <c r="M151" t="s">
        <v>19</v>
      </c>
      <c r="N151">
        <v>1</v>
      </c>
      <c r="O151" t="s">
        <v>54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232</v>
      </c>
      <c r="C152">
        <v>311.29559999999998</v>
      </c>
      <c r="D152">
        <v>185.9</v>
      </c>
      <c r="E152">
        <v>-0.948022300672278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1</v>
      </c>
      <c r="L152" t="s">
        <v>53</v>
      </c>
      <c r="M152" t="s">
        <v>19</v>
      </c>
      <c r="N152">
        <v>0.96</v>
      </c>
      <c r="O152" t="s">
        <v>54</v>
      </c>
      <c r="P152" t="s">
        <v>19</v>
      </c>
      <c r="Q152">
        <v>0.95699999999999996</v>
      </c>
      <c r="R152" t="s">
        <v>23</v>
      </c>
      <c r="S152">
        <v>4</v>
      </c>
    </row>
    <row r="153" spans="1:19">
      <c r="A153">
        <v>152</v>
      </c>
      <c r="B153" t="s">
        <v>233</v>
      </c>
      <c r="C153">
        <v>1581.8492000000001</v>
      </c>
      <c r="D153">
        <v>218.6</v>
      </c>
      <c r="E153">
        <v>-8.2983241332840393E-2</v>
      </c>
      <c r="F153" t="s">
        <v>86</v>
      </c>
      <c r="G153" t="s">
        <v>19</v>
      </c>
      <c r="H153">
        <v>1</v>
      </c>
      <c r="I153" t="s">
        <v>87</v>
      </c>
      <c r="J153" t="s">
        <v>19</v>
      </c>
      <c r="K153">
        <v>0.99</v>
      </c>
      <c r="L153" t="s">
        <v>88</v>
      </c>
      <c r="M153" t="s">
        <v>19</v>
      </c>
      <c r="N153">
        <v>1</v>
      </c>
      <c r="O153" t="s">
        <v>89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234</v>
      </c>
      <c r="C154">
        <v>212.03120000000001</v>
      </c>
      <c r="D154">
        <v>151.19999999999999</v>
      </c>
      <c r="E154">
        <v>-0.79445615690781302</v>
      </c>
      <c r="F154" t="s">
        <v>18</v>
      </c>
      <c r="G154" t="s">
        <v>19</v>
      </c>
      <c r="H154">
        <v>1</v>
      </c>
      <c r="I154" t="s">
        <v>43</v>
      </c>
      <c r="J154" t="s">
        <v>19</v>
      </c>
      <c r="K154">
        <v>0.67</v>
      </c>
      <c r="L154" t="s">
        <v>235</v>
      </c>
      <c r="M154" t="s">
        <v>19</v>
      </c>
      <c r="N154">
        <v>0.66</v>
      </c>
      <c r="O154" t="s">
        <v>236</v>
      </c>
      <c r="P154" t="s">
        <v>19</v>
      </c>
      <c r="Q154">
        <v>0.98799999999999999</v>
      </c>
      <c r="R154" t="s">
        <v>23</v>
      </c>
      <c r="S154">
        <v>4</v>
      </c>
    </row>
    <row r="155" spans="1:19">
      <c r="A155">
        <v>154</v>
      </c>
      <c r="B155" t="s">
        <v>171</v>
      </c>
      <c r="C155">
        <v>792.67169999999999</v>
      </c>
      <c r="D155">
        <v>297.60000000000002</v>
      </c>
      <c r="E155">
        <v>-0.78664089280994198</v>
      </c>
      <c r="F155" t="s">
        <v>18</v>
      </c>
      <c r="G155" t="s">
        <v>19</v>
      </c>
      <c r="H155">
        <v>1</v>
      </c>
      <c r="I155" t="s">
        <v>20</v>
      </c>
      <c r="J155" t="s">
        <v>19</v>
      </c>
      <c r="K155">
        <v>1</v>
      </c>
      <c r="L155" t="s">
        <v>32</v>
      </c>
      <c r="M155" t="s">
        <v>19</v>
      </c>
      <c r="N155">
        <v>0.92</v>
      </c>
      <c r="O155" t="s">
        <v>100</v>
      </c>
      <c r="P155" t="s">
        <v>19</v>
      </c>
      <c r="Q155">
        <v>0.84799999999999998</v>
      </c>
      <c r="R155" t="s">
        <v>23</v>
      </c>
      <c r="S155">
        <v>4</v>
      </c>
    </row>
    <row r="156" spans="1:19">
      <c r="A156">
        <v>155</v>
      </c>
      <c r="B156" t="s">
        <v>237</v>
      </c>
      <c r="C156">
        <v>167.02109999999999</v>
      </c>
      <c r="D156">
        <v>126.2</v>
      </c>
      <c r="E156">
        <v>-0.83461227040413599</v>
      </c>
      <c r="F156" t="s">
        <v>18</v>
      </c>
      <c r="G156" t="s">
        <v>19</v>
      </c>
      <c r="H156">
        <v>1</v>
      </c>
      <c r="I156" t="s">
        <v>43</v>
      </c>
      <c r="J156" t="s">
        <v>19</v>
      </c>
      <c r="K156">
        <v>0.92</v>
      </c>
      <c r="L156" t="s">
        <v>97</v>
      </c>
      <c r="M156" t="s">
        <v>19</v>
      </c>
      <c r="N156">
        <v>0.89</v>
      </c>
      <c r="O156" t="s">
        <v>98</v>
      </c>
      <c r="P156" t="s">
        <v>19</v>
      </c>
      <c r="Q156">
        <v>1</v>
      </c>
      <c r="R156" t="s">
        <v>23</v>
      </c>
      <c r="S156">
        <v>4</v>
      </c>
    </row>
    <row r="157" spans="1:19">
      <c r="A157">
        <v>156</v>
      </c>
      <c r="B157" t="s">
        <v>238</v>
      </c>
      <c r="C157">
        <v>249.04750000000001</v>
      </c>
      <c r="D157">
        <v>154.69999999999999</v>
      </c>
      <c r="E157">
        <v>-0.76942553613571396</v>
      </c>
      <c r="F157" t="s">
        <v>18</v>
      </c>
      <c r="G157" t="s">
        <v>19</v>
      </c>
      <c r="H157">
        <v>1</v>
      </c>
      <c r="I157" t="s">
        <v>25</v>
      </c>
      <c r="J157" t="s">
        <v>19</v>
      </c>
      <c r="K157">
        <v>0.59</v>
      </c>
      <c r="L157" t="s">
        <v>26</v>
      </c>
      <c r="M157" t="s">
        <v>19</v>
      </c>
      <c r="N157">
        <v>0.75</v>
      </c>
      <c r="O157" t="s">
        <v>27</v>
      </c>
      <c r="P157" t="s">
        <v>19</v>
      </c>
      <c r="Q157">
        <v>0.75900000000000001</v>
      </c>
      <c r="R157" t="s">
        <v>23</v>
      </c>
      <c r="S157">
        <v>4</v>
      </c>
    </row>
    <row r="158" spans="1:19">
      <c r="A158">
        <v>157</v>
      </c>
      <c r="B158" t="s">
        <v>239</v>
      </c>
      <c r="C158">
        <v>780.49450000000002</v>
      </c>
      <c r="D158">
        <v>280</v>
      </c>
      <c r="E158">
        <v>-0.62303736882904603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1</v>
      </c>
      <c r="L158" t="s">
        <v>21</v>
      </c>
      <c r="M158" t="s">
        <v>19</v>
      </c>
      <c r="N158">
        <v>1</v>
      </c>
      <c r="O158" t="s">
        <v>40</v>
      </c>
      <c r="P158" t="s">
        <v>19</v>
      </c>
      <c r="Q158">
        <v>0.97799999999999998</v>
      </c>
      <c r="R158" t="s">
        <v>23</v>
      </c>
      <c r="S158">
        <v>4</v>
      </c>
    </row>
    <row r="159" spans="1:19">
      <c r="A159">
        <v>158</v>
      </c>
      <c r="B159" t="s">
        <v>240</v>
      </c>
      <c r="C159">
        <v>1013.32</v>
      </c>
      <c r="D159">
        <v>281.5</v>
      </c>
      <c r="E159">
        <v>-0.18857561018296601</v>
      </c>
      <c r="F159" t="s">
        <v>18</v>
      </c>
      <c r="G159" t="s">
        <v>19</v>
      </c>
      <c r="H159">
        <v>0.96199999999999997</v>
      </c>
      <c r="I159" t="s">
        <v>49</v>
      </c>
      <c r="J159" t="s">
        <v>19</v>
      </c>
      <c r="K159">
        <v>0.67</v>
      </c>
      <c r="L159" t="s">
        <v>50</v>
      </c>
      <c r="M159" t="s">
        <v>19</v>
      </c>
      <c r="N159">
        <v>0.98</v>
      </c>
      <c r="O159" t="s">
        <v>51</v>
      </c>
      <c r="P159" t="s">
        <v>19</v>
      </c>
      <c r="Q159">
        <v>0.97699999999999998</v>
      </c>
      <c r="R159" t="s">
        <v>23</v>
      </c>
      <c r="S159">
        <v>4</v>
      </c>
    </row>
    <row r="160" spans="1:19">
      <c r="A160">
        <v>159</v>
      </c>
      <c r="B160" t="s">
        <v>241</v>
      </c>
      <c r="C160">
        <v>587.02949999999998</v>
      </c>
      <c r="D160">
        <v>215.7</v>
      </c>
      <c r="E160">
        <v>-0.37405108569635098</v>
      </c>
      <c r="F160" t="s">
        <v>18</v>
      </c>
      <c r="G160" t="s">
        <v>19</v>
      </c>
      <c r="H160">
        <v>1</v>
      </c>
      <c r="I160" t="s">
        <v>58</v>
      </c>
      <c r="J160" t="s">
        <v>19</v>
      </c>
      <c r="K160">
        <v>1</v>
      </c>
      <c r="L160" t="s">
        <v>133</v>
      </c>
      <c r="M160" t="s">
        <v>19</v>
      </c>
      <c r="N160">
        <v>0.99</v>
      </c>
      <c r="O160" t="s">
        <v>151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242</v>
      </c>
      <c r="C161">
        <v>148.04320000000001</v>
      </c>
      <c r="D161">
        <v>140.5</v>
      </c>
      <c r="E161">
        <v>-0.87790208105380396</v>
      </c>
      <c r="F161" t="s">
        <v>18</v>
      </c>
      <c r="G161" t="s">
        <v>19</v>
      </c>
      <c r="H161">
        <v>1</v>
      </c>
      <c r="I161" t="s">
        <v>35</v>
      </c>
      <c r="J161" t="s">
        <v>19</v>
      </c>
      <c r="K161">
        <v>0.81</v>
      </c>
      <c r="L161" t="s">
        <v>36</v>
      </c>
      <c r="M161" t="s">
        <v>19</v>
      </c>
      <c r="N161">
        <v>1</v>
      </c>
      <c r="O161" t="s">
        <v>37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243</v>
      </c>
      <c r="C162">
        <v>247.1069</v>
      </c>
      <c r="D162">
        <v>153.4</v>
      </c>
      <c r="E162">
        <v>-0.83099231678826901</v>
      </c>
      <c r="F162" t="s">
        <v>18</v>
      </c>
      <c r="G162" t="s">
        <v>19</v>
      </c>
      <c r="H162">
        <v>1</v>
      </c>
      <c r="I162" t="s">
        <v>35</v>
      </c>
      <c r="J162" t="s">
        <v>19</v>
      </c>
      <c r="K162">
        <v>0.88</v>
      </c>
      <c r="L162" t="s">
        <v>36</v>
      </c>
      <c r="M162" t="s">
        <v>19</v>
      </c>
      <c r="N162">
        <v>0.85</v>
      </c>
      <c r="O162" t="s">
        <v>37</v>
      </c>
      <c r="P162" t="s">
        <v>19</v>
      </c>
      <c r="Q162">
        <v>0.99099999999999999</v>
      </c>
      <c r="R162" t="s">
        <v>23</v>
      </c>
      <c r="S162">
        <v>4</v>
      </c>
    </row>
    <row r="163" spans="1:19">
      <c r="A163">
        <v>162</v>
      </c>
      <c r="B163" t="s">
        <v>244</v>
      </c>
      <c r="C163">
        <v>284.10109999999997</v>
      </c>
      <c r="D163">
        <v>175</v>
      </c>
      <c r="E163">
        <v>-0.78388637181353704</v>
      </c>
      <c r="F163" t="s">
        <v>18</v>
      </c>
      <c r="G163" t="s">
        <v>19</v>
      </c>
      <c r="H163">
        <v>1</v>
      </c>
      <c r="I163" t="s">
        <v>35</v>
      </c>
      <c r="J163" t="s">
        <v>19</v>
      </c>
      <c r="K163">
        <v>0.74</v>
      </c>
      <c r="L163" t="s">
        <v>36</v>
      </c>
      <c r="M163" t="s">
        <v>19</v>
      </c>
      <c r="N163">
        <v>1</v>
      </c>
      <c r="O163" t="s">
        <v>37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163</v>
      </c>
      <c r="B164" t="s">
        <v>245</v>
      </c>
      <c r="C164">
        <v>418.79180000000002</v>
      </c>
      <c r="D164">
        <v>168.6</v>
      </c>
      <c r="E164">
        <v>-0.32419721235601201</v>
      </c>
      <c r="F164" t="s">
        <v>18</v>
      </c>
      <c r="G164" t="s">
        <v>19</v>
      </c>
      <c r="H164">
        <v>1</v>
      </c>
      <c r="I164" t="s">
        <v>25</v>
      </c>
      <c r="J164" t="s">
        <v>19</v>
      </c>
      <c r="K164">
        <v>0.99</v>
      </c>
      <c r="L164" t="s">
        <v>26</v>
      </c>
      <c r="M164" t="s">
        <v>19</v>
      </c>
      <c r="N164">
        <v>1</v>
      </c>
      <c r="O164" t="s">
        <v>246</v>
      </c>
      <c r="P164" t="s">
        <v>19</v>
      </c>
      <c r="Q164">
        <v>0.995</v>
      </c>
      <c r="R164" t="s">
        <v>23</v>
      </c>
      <c r="S164">
        <v>4</v>
      </c>
    </row>
    <row r="165" spans="1:19">
      <c r="A165">
        <v>164</v>
      </c>
      <c r="B165" t="s">
        <v>247</v>
      </c>
      <c r="C165">
        <v>251.0684</v>
      </c>
      <c r="D165">
        <v>149.1</v>
      </c>
      <c r="E165">
        <v>-0.78806909636406897</v>
      </c>
      <c r="F165" t="s">
        <v>18</v>
      </c>
      <c r="G165" t="s">
        <v>19</v>
      </c>
      <c r="H165">
        <v>1</v>
      </c>
      <c r="I165" t="s">
        <v>35</v>
      </c>
      <c r="J165" t="s">
        <v>19</v>
      </c>
      <c r="K165">
        <v>0.67</v>
      </c>
      <c r="L165" t="s">
        <v>36</v>
      </c>
      <c r="M165" t="s">
        <v>19</v>
      </c>
      <c r="N165">
        <v>0.99</v>
      </c>
      <c r="O165" t="s">
        <v>228</v>
      </c>
      <c r="P165" t="s">
        <v>19</v>
      </c>
      <c r="Q165">
        <v>0.59099999999999997</v>
      </c>
      <c r="R165" t="s">
        <v>23</v>
      </c>
      <c r="S165">
        <v>4</v>
      </c>
    </row>
    <row r="166" spans="1:19">
      <c r="A166">
        <v>165</v>
      </c>
      <c r="B166" t="s">
        <v>210</v>
      </c>
      <c r="C166">
        <v>1093.6509000000001</v>
      </c>
      <c r="D166">
        <v>337.2</v>
      </c>
      <c r="E166">
        <v>-0.42978198969194598</v>
      </c>
      <c r="F166" t="s">
        <v>18</v>
      </c>
      <c r="G166" t="s">
        <v>19</v>
      </c>
      <c r="H166">
        <v>1</v>
      </c>
      <c r="I166" t="s">
        <v>35</v>
      </c>
      <c r="J166" t="s">
        <v>19</v>
      </c>
      <c r="K166">
        <v>1</v>
      </c>
      <c r="L166" t="s">
        <v>36</v>
      </c>
      <c r="M166" t="s">
        <v>19</v>
      </c>
      <c r="N166">
        <v>0.57999999999999996</v>
      </c>
      <c r="O166" t="s">
        <v>37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248</v>
      </c>
      <c r="C167">
        <v>828.6816</v>
      </c>
      <c r="D167">
        <v>298.2</v>
      </c>
      <c r="E167">
        <v>-0.75633396988837398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1</v>
      </c>
      <c r="L167" t="s">
        <v>32</v>
      </c>
      <c r="M167" t="s">
        <v>19</v>
      </c>
      <c r="N167">
        <v>0.99</v>
      </c>
      <c r="O167" t="s">
        <v>100</v>
      </c>
      <c r="P167" t="s">
        <v>19</v>
      </c>
      <c r="Q167">
        <v>0.98499999999999999</v>
      </c>
      <c r="R167" t="s">
        <v>23</v>
      </c>
      <c r="S167">
        <v>4</v>
      </c>
    </row>
    <row r="168" spans="1:19">
      <c r="A168">
        <v>167</v>
      </c>
      <c r="B168" t="s">
        <v>249</v>
      </c>
      <c r="C168">
        <v>219.09880000000001</v>
      </c>
      <c r="D168">
        <v>155.30000000000001</v>
      </c>
      <c r="E168">
        <v>-0.85416481457028204</v>
      </c>
      <c r="F168" t="s">
        <v>18</v>
      </c>
      <c r="G168" t="s">
        <v>19</v>
      </c>
      <c r="H168">
        <v>1</v>
      </c>
      <c r="I168" t="s">
        <v>49</v>
      </c>
      <c r="J168" t="s">
        <v>19</v>
      </c>
      <c r="K168">
        <v>0.66</v>
      </c>
      <c r="L168" t="s">
        <v>50</v>
      </c>
      <c r="M168" t="s">
        <v>19</v>
      </c>
      <c r="N168">
        <v>1</v>
      </c>
      <c r="O168" t="s">
        <v>51</v>
      </c>
      <c r="P168" t="s">
        <v>19</v>
      </c>
      <c r="Q168">
        <v>0.65200000000000002</v>
      </c>
      <c r="R168" t="s">
        <v>23</v>
      </c>
      <c r="S168">
        <v>4</v>
      </c>
    </row>
    <row r="169" spans="1:19">
      <c r="A169">
        <v>168</v>
      </c>
      <c r="B169" t="s">
        <v>250</v>
      </c>
      <c r="C169">
        <v>496.70229999999998</v>
      </c>
      <c r="D169">
        <v>176.6</v>
      </c>
      <c r="E169">
        <v>-0.14770609412795499</v>
      </c>
      <c r="F169" t="s">
        <v>18</v>
      </c>
      <c r="G169" t="s">
        <v>19</v>
      </c>
      <c r="H169">
        <v>1</v>
      </c>
      <c r="I169" t="s">
        <v>25</v>
      </c>
      <c r="J169" t="s">
        <v>19</v>
      </c>
      <c r="K169">
        <v>1</v>
      </c>
      <c r="L169" t="s">
        <v>26</v>
      </c>
      <c r="M169" t="s">
        <v>19</v>
      </c>
      <c r="N169">
        <v>1</v>
      </c>
      <c r="O169" t="s">
        <v>246</v>
      </c>
      <c r="P169" t="s">
        <v>19</v>
      </c>
      <c r="Q169">
        <v>0.998</v>
      </c>
      <c r="R169" t="s">
        <v>23</v>
      </c>
      <c r="S169">
        <v>4</v>
      </c>
    </row>
    <row r="170" spans="1:19">
      <c r="A170">
        <v>169</v>
      </c>
      <c r="B170" t="s">
        <v>251</v>
      </c>
      <c r="C170">
        <v>792.57539999999995</v>
      </c>
      <c r="D170">
        <v>289.5</v>
      </c>
      <c r="E170">
        <v>-0.69044841675963697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1</v>
      </c>
      <c r="L170" t="s">
        <v>21</v>
      </c>
      <c r="M170" t="s">
        <v>19</v>
      </c>
      <c r="N170">
        <v>0.99</v>
      </c>
      <c r="O170" t="s">
        <v>22</v>
      </c>
      <c r="P170" t="s">
        <v>19</v>
      </c>
      <c r="Q170">
        <v>0.98199999999999998</v>
      </c>
      <c r="R170" t="s">
        <v>23</v>
      </c>
      <c r="S170">
        <v>4</v>
      </c>
    </row>
    <row r="171" spans="1:19">
      <c r="A171">
        <v>170</v>
      </c>
      <c r="B171" t="s">
        <v>252</v>
      </c>
      <c r="C171">
        <v>130.0874</v>
      </c>
      <c r="D171">
        <v>130.6</v>
      </c>
      <c r="E171">
        <v>-0.94215066398780301</v>
      </c>
      <c r="F171" t="s">
        <v>18</v>
      </c>
      <c r="G171" t="s">
        <v>19</v>
      </c>
      <c r="H171">
        <v>1</v>
      </c>
      <c r="I171" t="s">
        <v>35</v>
      </c>
      <c r="J171" t="s">
        <v>19</v>
      </c>
      <c r="K171">
        <v>1</v>
      </c>
      <c r="L171" t="s">
        <v>36</v>
      </c>
      <c r="M171" t="s">
        <v>19</v>
      </c>
      <c r="N171">
        <v>1</v>
      </c>
      <c r="O171" t="s">
        <v>37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253</v>
      </c>
      <c r="C172">
        <v>793.60239999999999</v>
      </c>
      <c r="D172">
        <v>294.7</v>
      </c>
      <c r="E172">
        <v>-0.71630171793958697</v>
      </c>
      <c r="F172" t="s">
        <v>18</v>
      </c>
      <c r="G172" t="s">
        <v>19</v>
      </c>
      <c r="H172">
        <v>1</v>
      </c>
      <c r="I172" t="s">
        <v>20</v>
      </c>
      <c r="J172" t="s">
        <v>19</v>
      </c>
      <c r="K172">
        <v>1</v>
      </c>
      <c r="L172" t="s">
        <v>32</v>
      </c>
      <c r="M172" t="s">
        <v>19</v>
      </c>
      <c r="N172">
        <v>0.95</v>
      </c>
      <c r="O172" t="s">
        <v>33</v>
      </c>
      <c r="P172" t="s">
        <v>19</v>
      </c>
      <c r="Q172">
        <v>0.78</v>
      </c>
      <c r="R172" t="s">
        <v>23</v>
      </c>
      <c r="S172">
        <v>4</v>
      </c>
    </row>
    <row r="173" spans="1:19">
      <c r="A173">
        <v>172</v>
      </c>
      <c r="B173" t="s">
        <v>254</v>
      </c>
      <c r="C173">
        <v>151.02770000000001</v>
      </c>
      <c r="D173">
        <v>122.2</v>
      </c>
      <c r="E173">
        <v>-0.85906973185373703</v>
      </c>
      <c r="F173" t="s">
        <v>18</v>
      </c>
      <c r="G173" t="s">
        <v>19</v>
      </c>
      <c r="H173">
        <v>1</v>
      </c>
      <c r="I173" t="s">
        <v>43</v>
      </c>
      <c r="J173" t="s">
        <v>19</v>
      </c>
      <c r="K173">
        <v>0.73</v>
      </c>
      <c r="L173" t="s">
        <v>97</v>
      </c>
      <c r="M173" t="s">
        <v>19</v>
      </c>
      <c r="N173">
        <v>0.57999999999999996</v>
      </c>
      <c r="O173" t="s">
        <v>98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255</v>
      </c>
      <c r="C174">
        <v>762.56960000000004</v>
      </c>
      <c r="D174">
        <v>284.2</v>
      </c>
      <c r="E174">
        <v>-0.71815145030882399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1</v>
      </c>
      <c r="L174" t="s">
        <v>32</v>
      </c>
      <c r="M174" t="s">
        <v>19</v>
      </c>
      <c r="N174">
        <v>0.72</v>
      </c>
      <c r="O174" t="s">
        <v>100</v>
      </c>
      <c r="P174" t="s">
        <v>19</v>
      </c>
      <c r="Q174">
        <v>0.628</v>
      </c>
      <c r="R174" t="s">
        <v>23</v>
      </c>
      <c r="S174">
        <v>4</v>
      </c>
    </row>
    <row r="175" spans="1:19">
      <c r="A175">
        <v>174</v>
      </c>
      <c r="B175" t="s">
        <v>256</v>
      </c>
      <c r="C175">
        <v>768.55190000000005</v>
      </c>
      <c r="D175">
        <v>287.8</v>
      </c>
      <c r="E175">
        <v>-0.69377190176817305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0.59</v>
      </c>
      <c r="L175" t="s">
        <v>26</v>
      </c>
      <c r="M175" t="s">
        <v>19</v>
      </c>
      <c r="N175">
        <v>0.85</v>
      </c>
      <c r="O175" t="s">
        <v>27</v>
      </c>
      <c r="P175" t="s">
        <v>19</v>
      </c>
      <c r="Q175">
        <v>0.81699999999999995</v>
      </c>
      <c r="R175" t="s">
        <v>23</v>
      </c>
      <c r="S175">
        <v>4</v>
      </c>
    </row>
    <row r="176" spans="1:19">
      <c r="A176">
        <v>175</v>
      </c>
      <c r="B176" t="s">
        <v>257</v>
      </c>
      <c r="C176">
        <v>817.65629999999999</v>
      </c>
      <c r="D176">
        <v>305.60000000000002</v>
      </c>
      <c r="E176">
        <v>-0.74334428975282696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1</v>
      </c>
      <c r="L176" t="s">
        <v>32</v>
      </c>
      <c r="M176" t="s">
        <v>19</v>
      </c>
      <c r="N176">
        <v>1</v>
      </c>
      <c r="O176" t="s">
        <v>33</v>
      </c>
      <c r="P176" t="s">
        <v>19</v>
      </c>
      <c r="Q176">
        <v>0.81899999999999995</v>
      </c>
      <c r="R176" t="s">
        <v>23</v>
      </c>
      <c r="S176">
        <v>4</v>
      </c>
    </row>
    <row r="177" spans="1:19">
      <c r="A177">
        <v>176</v>
      </c>
      <c r="B177" t="s">
        <v>258</v>
      </c>
      <c r="C177">
        <v>527.15840000000003</v>
      </c>
      <c r="D177">
        <v>208.2</v>
      </c>
      <c r="E177">
        <v>-0.56980027725012405</v>
      </c>
      <c r="F177" t="s">
        <v>18</v>
      </c>
      <c r="G177" t="s">
        <v>19</v>
      </c>
      <c r="H177">
        <v>1</v>
      </c>
      <c r="I177" t="s">
        <v>49</v>
      </c>
      <c r="J177" t="s">
        <v>19</v>
      </c>
      <c r="K177">
        <v>0.94</v>
      </c>
      <c r="L177" t="s">
        <v>50</v>
      </c>
      <c r="M177" t="s">
        <v>19</v>
      </c>
      <c r="N177">
        <v>1</v>
      </c>
      <c r="O177" t="s">
        <v>51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259</v>
      </c>
      <c r="C178">
        <v>529.39919999999995</v>
      </c>
      <c r="D178">
        <v>235</v>
      </c>
      <c r="E178">
        <v>-0.80809830771158897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0.99</v>
      </c>
      <c r="L178" t="s">
        <v>21</v>
      </c>
      <c r="M178" t="s">
        <v>19</v>
      </c>
      <c r="N178">
        <v>0.96</v>
      </c>
      <c r="O178" t="s">
        <v>22</v>
      </c>
      <c r="P178" t="s">
        <v>19</v>
      </c>
      <c r="Q178">
        <v>0.96099999999999997</v>
      </c>
      <c r="R178" t="s">
        <v>23</v>
      </c>
      <c r="S178">
        <v>4</v>
      </c>
    </row>
    <row r="179" spans="1:19">
      <c r="A179">
        <v>178</v>
      </c>
      <c r="B179" t="s">
        <v>260</v>
      </c>
      <c r="C179">
        <v>758.47119999999995</v>
      </c>
      <c r="D179">
        <v>263.8</v>
      </c>
      <c r="E179">
        <v>-0.62432752669053604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0.7</v>
      </c>
      <c r="L179" t="s">
        <v>21</v>
      </c>
      <c r="M179" t="s">
        <v>19</v>
      </c>
      <c r="N179">
        <v>1</v>
      </c>
      <c r="O179" t="s">
        <v>40</v>
      </c>
      <c r="P179" t="s">
        <v>19</v>
      </c>
      <c r="Q179">
        <v>0.73199999999999998</v>
      </c>
      <c r="R179" t="s">
        <v>23</v>
      </c>
      <c r="S179">
        <v>4</v>
      </c>
    </row>
    <row r="180" spans="1:19">
      <c r="A180">
        <v>179</v>
      </c>
      <c r="B180" t="s">
        <v>261</v>
      </c>
      <c r="C180">
        <v>2421.9144999999999</v>
      </c>
      <c r="D180">
        <v>411.2</v>
      </c>
      <c r="E180">
        <v>-0.21030671914922999</v>
      </c>
      <c r="F180" t="s">
        <v>18</v>
      </c>
      <c r="G180" t="s">
        <v>19</v>
      </c>
      <c r="H180">
        <v>0.99199999999999999</v>
      </c>
      <c r="I180" t="s">
        <v>62</v>
      </c>
      <c r="J180" t="s">
        <v>19</v>
      </c>
      <c r="K180">
        <v>0.98</v>
      </c>
      <c r="L180" t="s">
        <v>63</v>
      </c>
      <c r="M180" t="s">
        <v>19</v>
      </c>
      <c r="N180">
        <v>1</v>
      </c>
      <c r="O180" t="s">
        <v>64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262</v>
      </c>
      <c r="C181">
        <v>188.06870000000001</v>
      </c>
      <c r="D181">
        <v>138.19999999999999</v>
      </c>
      <c r="E181">
        <v>-0.858711532249259</v>
      </c>
      <c r="F181" t="s">
        <v>18</v>
      </c>
      <c r="G181" t="s">
        <v>19</v>
      </c>
      <c r="H181">
        <v>1</v>
      </c>
      <c r="I181" t="s">
        <v>35</v>
      </c>
      <c r="J181" t="s">
        <v>19</v>
      </c>
      <c r="K181">
        <v>0.82</v>
      </c>
      <c r="L181" t="s">
        <v>36</v>
      </c>
      <c r="M181" t="s">
        <v>19</v>
      </c>
      <c r="N181">
        <v>1</v>
      </c>
      <c r="O181" t="s">
        <v>37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263</v>
      </c>
      <c r="C182">
        <v>168.00630000000001</v>
      </c>
      <c r="D182">
        <v>128.6</v>
      </c>
      <c r="E182">
        <v>-0.81871224345425697</v>
      </c>
      <c r="F182" t="s">
        <v>18</v>
      </c>
      <c r="G182" t="s">
        <v>19</v>
      </c>
      <c r="H182">
        <v>1</v>
      </c>
      <c r="I182" t="s">
        <v>35</v>
      </c>
      <c r="J182" t="s">
        <v>19</v>
      </c>
      <c r="K182">
        <v>0.77</v>
      </c>
      <c r="L182" t="s">
        <v>36</v>
      </c>
      <c r="M182" t="s">
        <v>19</v>
      </c>
      <c r="N182">
        <v>1</v>
      </c>
      <c r="O182" t="s">
        <v>37</v>
      </c>
      <c r="P182" t="s">
        <v>19</v>
      </c>
      <c r="Q182">
        <v>0.91900000000000004</v>
      </c>
      <c r="R182" t="s">
        <v>23</v>
      </c>
      <c r="S182">
        <v>4</v>
      </c>
    </row>
    <row r="183" spans="1:19">
      <c r="A183">
        <v>182</v>
      </c>
      <c r="B183" t="s">
        <v>264</v>
      </c>
      <c r="C183">
        <v>271.03149999999999</v>
      </c>
      <c r="D183">
        <v>158</v>
      </c>
      <c r="E183">
        <v>-0.72887925876454995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0.67</v>
      </c>
      <c r="L183" t="s">
        <v>26</v>
      </c>
      <c r="M183" t="s">
        <v>19</v>
      </c>
      <c r="N183">
        <v>0.98</v>
      </c>
      <c r="O183" t="s">
        <v>265</v>
      </c>
      <c r="P183" t="s">
        <v>19</v>
      </c>
      <c r="Q183">
        <v>0.625</v>
      </c>
      <c r="R183" t="s">
        <v>23</v>
      </c>
      <c r="S183">
        <v>4</v>
      </c>
    </row>
    <row r="184" spans="1:19">
      <c r="A184">
        <v>183</v>
      </c>
      <c r="B184" t="s">
        <v>266</v>
      </c>
      <c r="C184">
        <v>648.62940000000003</v>
      </c>
      <c r="D184">
        <v>278.95999999999998</v>
      </c>
      <c r="E184">
        <v>-0.90517159918647405</v>
      </c>
      <c r="F184" t="s">
        <v>18</v>
      </c>
      <c r="G184" t="s">
        <v>19</v>
      </c>
      <c r="H184">
        <v>1</v>
      </c>
      <c r="I184" t="s">
        <v>20</v>
      </c>
      <c r="J184" t="s">
        <v>19</v>
      </c>
      <c r="K184">
        <v>1</v>
      </c>
      <c r="L184" t="s">
        <v>32</v>
      </c>
      <c r="M184" t="s">
        <v>19</v>
      </c>
      <c r="N184">
        <v>1</v>
      </c>
      <c r="O184" t="s">
        <v>114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267</v>
      </c>
      <c r="C185">
        <v>812.54409999999996</v>
      </c>
      <c r="D185">
        <v>286.7</v>
      </c>
      <c r="E185">
        <v>-0.63685232646935197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1</v>
      </c>
      <c r="L185" t="s">
        <v>21</v>
      </c>
      <c r="M185" t="s">
        <v>19</v>
      </c>
      <c r="N185">
        <v>1</v>
      </c>
      <c r="O185" t="s">
        <v>153</v>
      </c>
      <c r="P185" t="s">
        <v>19</v>
      </c>
      <c r="Q185">
        <v>0.82699999999999996</v>
      </c>
      <c r="R185" t="s">
        <v>23</v>
      </c>
      <c r="S185">
        <v>4</v>
      </c>
    </row>
    <row r="186" spans="1:19">
      <c r="A186">
        <v>185</v>
      </c>
      <c r="B186" t="s">
        <v>104</v>
      </c>
      <c r="C186">
        <v>170.0909</v>
      </c>
      <c r="D186">
        <v>133.6</v>
      </c>
      <c r="E186">
        <v>-0.90098467932543302</v>
      </c>
      <c r="F186" t="s">
        <v>18</v>
      </c>
      <c r="G186" t="s">
        <v>19</v>
      </c>
      <c r="H186">
        <v>1</v>
      </c>
      <c r="I186" t="s">
        <v>35</v>
      </c>
      <c r="J186" t="s">
        <v>19</v>
      </c>
      <c r="K186">
        <v>0.76</v>
      </c>
      <c r="L186" t="s">
        <v>36</v>
      </c>
      <c r="M186" t="s">
        <v>19</v>
      </c>
      <c r="N186">
        <v>1</v>
      </c>
      <c r="O186" t="s">
        <v>37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268</v>
      </c>
      <c r="C187">
        <v>848.60199999999998</v>
      </c>
      <c r="D187">
        <v>300.5</v>
      </c>
      <c r="E187">
        <v>-0.65449180905579896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1</v>
      </c>
      <c r="L187" t="s">
        <v>21</v>
      </c>
      <c r="M187" t="s">
        <v>19</v>
      </c>
      <c r="N187">
        <v>0.97</v>
      </c>
      <c r="O187" t="s">
        <v>22</v>
      </c>
      <c r="P187" t="s">
        <v>19</v>
      </c>
      <c r="Q187">
        <v>0.879</v>
      </c>
      <c r="R187" t="s">
        <v>23</v>
      </c>
      <c r="S187">
        <v>4</v>
      </c>
    </row>
    <row r="188" spans="1:19">
      <c r="A188">
        <v>187</v>
      </c>
      <c r="B188" t="s">
        <v>92</v>
      </c>
      <c r="C188">
        <v>773.50969999999995</v>
      </c>
      <c r="D188">
        <v>282.89999999999998</v>
      </c>
      <c r="E188">
        <v>-0.64603626066775599</v>
      </c>
      <c r="F188" t="s">
        <v>18</v>
      </c>
      <c r="G188" t="s">
        <v>19</v>
      </c>
      <c r="H188">
        <v>1</v>
      </c>
      <c r="I188" t="s">
        <v>20</v>
      </c>
      <c r="J188" t="s">
        <v>19</v>
      </c>
      <c r="K188">
        <v>1</v>
      </c>
      <c r="L188" t="s">
        <v>21</v>
      </c>
      <c r="M188" t="s">
        <v>19</v>
      </c>
      <c r="N188">
        <v>1</v>
      </c>
      <c r="O188" t="s">
        <v>93</v>
      </c>
      <c r="P188" t="s">
        <v>19</v>
      </c>
      <c r="Q188">
        <v>0.60799999999999998</v>
      </c>
      <c r="R188" t="s">
        <v>23</v>
      </c>
      <c r="S188">
        <v>4</v>
      </c>
    </row>
    <row r="189" spans="1:19">
      <c r="A189">
        <v>188</v>
      </c>
      <c r="B189" t="s">
        <v>269</v>
      </c>
      <c r="C189">
        <v>302.67630000000003</v>
      </c>
      <c r="D189">
        <v>274</v>
      </c>
      <c r="E189">
        <v>-0.338346196621444</v>
      </c>
      <c r="F189" t="s">
        <v>18</v>
      </c>
      <c r="G189" t="s">
        <v>19</v>
      </c>
      <c r="H189">
        <v>0.99399999999999999</v>
      </c>
      <c r="I189" t="s">
        <v>35</v>
      </c>
      <c r="J189" t="s">
        <v>19</v>
      </c>
      <c r="K189">
        <v>0.88</v>
      </c>
      <c r="L189" t="s">
        <v>36</v>
      </c>
      <c r="M189" t="s">
        <v>19</v>
      </c>
      <c r="N189">
        <v>1</v>
      </c>
      <c r="O189" t="s">
        <v>37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270</v>
      </c>
      <c r="C190">
        <v>766.53620000000001</v>
      </c>
      <c r="D190">
        <v>285.8</v>
      </c>
      <c r="E190">
        <v>-0.68032253546982702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21</v>
      </c>
      <c r="M190" t="s">
        <v>19</v>
      </c>
      <c r="N190">
        <v>1</v>
      </c>
      <c r="O190" t="s">
        <v>40</v>
      </c>
      <c r="P190" t="s">
        <v>19</v>
      </c>
      <c r="Q190">
        <v>0.75</v>
      </c>
      <c r="R190" t="s">
        <v>23</v>
      </c>
      <c r="S190">
        <v>4</v>
      </c>
    </row>
    <row r="191" spans="1:19">
      <c r="A191">
        <v>190</v>
      </c>
      <c r="B191" t="s">
        <v>271</v>
      </c>
      <c r="C191">
        <v>874.6748</v>
      </c>
      <c r="D191">
        <v>307.89999999999998</v>
      </c>
      <c r="E191">
        <v>-0.69818017420118395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1</v>
      </c>
      <c r="L191" t="s">
        <v>32</v>
      </c>
      <c r="M191" t="s">
        <v>19</v>
      </c>
      <c r="N191">
        <v>0.94</v>
      </c>
      <c r="O191" t="s">
        <v>100</v>
      </c>
      <c r="P191" t="s">
        <v>19</v>
      </c>
      <c r="Q191">
        <v>0.97899999999999998</v>
      </c>
      <c r="R191" t="s">
        <v>23</v>
      </c>
      <c r="S191">
        <v>4</v>
      </c>
    </row>
    <row r="192" spans="1:19">
      <c r="A192">
        <v>191</v>
      </c>
      <c r="B192" t="s">
        <v>272</v>
      </c>
      <c r="C192">
        <v>204.0402</v>
      </c>
      <c r="D192">
        <v>141.80000000000001</v>
      </c>
      <c r="E192">
        <v>-0.81237852328666804</v>
      </c>
      <c r="F192" t="s">
        <v>18</v>
      </c>
      <c r="G192" t="s">
        <v>19</v>
      </c>
      <c r="H192">
        <v>1</v>
      </c>
      <c r="I192" t="s">
        <v>35</v>
      </c>
      <c r="J192" t="s">
        <v>19</v>
      </c>
      <c r="K192">
        <v>0.77</v>
      </c>
      <c r="L192" t="s">
        <v>36</v>
      </c>
      <c r="M192" t="s">
        <v>19</v>
      </c>
      <c r="N192">
        <v>1</v>
      </c>
      <c r="O192" t="s">
        <v>37</v>
      </c>
      <c r="P192" t="s">
        <v>19</v>
      </c>
      <c r="Q192">
        <v>0.997</v>
      </c>
      <c r="R192" t="s">
        <v>23</v>
      </c>
      <c r="S192">
        <v>4</v>
      </c>
    </row>
    <row r="193" spans="1:19">
      <c r="A193">
        <v>192</v>
      </c>
      <c r="B193" t="s">
        <v>273</v>
      </c>
      <c r="C193">
        <v>187.0581</v>
      </c>
      <c r="D193">
        <v>138.6</v>
      </c>
      <c r="E193">
        <v>-0.84923991961784395</v>
      </c>
      <c r="F193" t="s">
        <v>18</v>
      </c>
      <c r="G193" t="s">
        <v>19</v>
      </c>
      <c r="H193">
        <v>1</v>
      </c>
      <c r="I193" t="s">
        <v>49</v>
      </c>
      <c r="J193" t="s">
        <v>19</v>
      </c>
      <c r="K193">
        <v>0.75</v>
      </c>
      <c r="L193" t="s">
        <v>50</v>
      </c>
      <c r="M193" t="s">
        <v>19</v>
      </c>
      <c r="N193">
        <v>1</v>
      </c>
      <c r="O193" t="s">
        <v>51</v>
      </c>
      <c r="P193" t="s">
        <v>19</v>
      </c>
      <c r="Q193">
        <v>0.99099999999999999</v>
      </c>
      <c r="R193" t="s">
        <v>23</v>
      </c>
      <c r="S193">
        <v>4</v>
      </c>
    </row>
    <row r="194" spans="1:19">
      <c r="A194">
        <v>193</v>
      </c>
      <c r="B194" t="s">
        <v>274</v>
      </c>
      <c r="C194">
        <v>834.52369999999996</v>
      </c>
      <c r="D194">
        <v>290.2</v>
      </c>
      <c r="E194">
        <v>-0.591910961926715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1</v>
      </c>
      <c r="L194" t="s">
        <v>21</v>
      </c>
      <c r="M194" t="s">
        <v>19</v>
      </c>
      <c r="N194">
        <v>1</v>
      </c>
      <c r="O194" t="s">
        <v>153</v>
      </c>
      <c r="P194" t="s">
        <v>19</v>
      </c>
      <c r="Q194">
        <v>0.83199999999999996</v>
      </c>
      <c r="R194" t="s">
        <v>23</v>
      </c>
      <c r="S194">
        <v>4</v>
      </c>
    </row>
    <row r="195" spans="1:19">
      <c r="A195">
        <v>194</v>
      </c>
      <c r="B195" t="s">
        <v>275</v>
      </c>
      <c r="C195">
        <v>652.52530000000002</v>
      </c>
      <c r="D195">
        <v>152.80000000000001</v>
      </c>
      <c r="E195">
        <v>-0.79672162456802198</v>
      </c>
      <c r="F195" t="s">
        <v>86</v>
      </c>
      <c r="G195" t="s">
        <v>19</v>
      </c>
      <c r="H195">
        <v>0.872</v>
      </c>
      <c r="I195" t="s">
        <v>87</v>
      </c>
      <c r="J195" t="s">
        <v>19</v>
      </c>
      <c r="K195">
        <v>0.64</v>
      </c>
      <c r="L195" t="s">
        <v>88</v>
      </c>
      <c r="M195" t="s">
        <v>19</v>
      </c>
      <c r="N195">
        <v>0.96</v>
      </c>
      <c r="O195" t="s">
        <v>89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276</v>
      </c>
      <c r="C196">
        <v>173.04169999999999</v>
      </c>
      <c r="D196">
        <v>136.80000000000001</v>
      </c>
      <c r="E196">
        <v>-0.84848995792501103</v>
      </c>
      <c r="F196" t="s">
        <v>18</v>
      </c>
      <c r="G196" t="s">
        <v>19</v>
      </c>
      <c r="H196">
        <v>1</v>
      </c>
      <c r="I196" t="s">
        <v>49</v>
      </c>
      <c r="J196" t="s">
        <v>19</v>
      </c>
      <c r="K196">
        <v>0.97</v>
      </c>
      <c r="L196" t="s">
        <v>50</v>
      </c>
      <c r="M196" t="s">
        <v>19</v>
      </c>
      <c r="N196">
        <v>1</v>
      </c>
      <c r="O196" t="s">
        <v>51</v>
      </c>
      <c r="P196" t="s">
        <v>19</v>
      </c>
      <c r="Q196">
        <v>0.995</v>
      </c>
      <c r="R196" t="s">
        <v>23</v>
      </c>
      <c r="S196">
        <v>4</v>
      </c>
    </row>
    <row r="197" spans="1:19">
      <c r="A197">
        <v>196</v>
      </c>
      <c r="B197" t="s">
        <v>241</v>
      </c>
      <c r="C197">
        <v>589.04190000000006</v>
      </c>
      <c r="D197">
        <v>210.5</v>
      </c>
      <c r="E197">
        <v>-0.38420413661606301</v>
      </c>
      <c r="F197" t="s">
        <v>18</v>
      </c>
      <c r="G197" t="s">
        <v>19</v>
      </c>
      <c r="H197">
        <v>1</v>
      </c>
      <c r="I197" t="s">
        <v>58</v>
      </c>
      <c r="J197" t="s">
        <v>19</v>
      </c>
      <c r="K197">
        <v>1</v>
      </c>
      <c r="L197" t="s">
        <v>133</v>
      </c>
      <c r="M197" t="s">
        <v>19</v>
      </c>
      <c r="N197">
        <v>0.99</v>
      </c>
      <c r="O197" t="s">
        <v>151</v>
      </c>
      <c r="P197" t="s">
        <v>19</v>
      </c>
      <c r="Q197">
        <v>0.998</v>
      </c>
      <c r="R197" t="s">
        <v>23</v>
      </c>
      <c r="S197">
        <v>4</v>
      </c>
    </row>
    <row r="198" spans="1:19">
      <c r="A198">
        <v>197</v>
      </c>
      <c r="B198" t="s">
        <v>277</v>
      </c>
      <c r="C198">
        <v>1283.711</v>
      </c>
      <c r="D198">
        <v>372.9</v>
      </c>
      <c r="E198">
        <v>-0.27767002045106898</v>
      </c>
      <c r="F198" t="s">
        <v>18</v>
      </c>
      <c r="G198" t="s">
        <v>19</v>
      </c>
      <c r="H198">
        <v>1</v>
      </c>
      <c r="I198" t="s">
        <v>35</v>
      </c>
      <c r="J198" t="s">
        <v>19</v>
      </c>
      <c r="K198">
        <v>0.95</v>
      </c>
      <c r="L198" t="s">
        <v>36</v>
      </c>
      <c r="M198" t="s">
        <v>19</v>
      </c>
      <c r="N198">
        <v>0.97</v>
      </c>
      <c r="O198" t="s">
        <v>37</v>
      </c>
      <c r="P198" t="s">
        <v>19</v>
      </c>
      <c r="Q198">
        <v>1</v>
      </c>
      <c r="R198" t="s">
        <v>23</v>
      </c>
      <c r="S198">
        <v>4</v>
      </c>
    </row>
    <row r="199" spans="1:19">
      <c r="A199">
        <v>198</v>
      </c>
      <c r="B199" t="s">
        <v>278</v>
      </c>
      <c r="C199">
        <v>169.05889999999999</v>
      </c>
      <c r="D199">
        <v>137.19999999999999</v>
      </c>
      <c r="E199">
        <v>-0.87013696090508597</v>
      </c>
      <c r="F199" t="s">
        <v>18</v>
      </c>
      <c r="G199" t="s">
        <v>19</v>
      </c>
      <c r="H199">
        <v>1</v>
      </c>
      <c r="I199" t="s">
        <v>35</v>
      </c>
      <c r="J199" t="s">
        <v>19</v>
      </c>
      <c r="K199">
        <v>0.75</v>
      </c>
      <c r="L199" t="s">
        <v>36</v>
      </c>
      <c r="M199" t="s">
        <v>19</v>
      </c>
      <c r="N199">
        <v>1</v>
      </c>
      <c r="O199" t="s">
        <v>37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279</v>
      </c>
      <c r="C200">
        <v>732.35299999999995</v>
      </c>
      <c r="D200">
        <v>247.4</v>
      </c>
      <c r="E200">
        <v>-0.53528985300226894</v>
      </c>
      <c r="F200" t="s">
        <v>18</v>
      </c>
      <c r="G200" t="s">
        <v>19</v>
      </c>
      <c r="H200">
        <v>1</v>
      </c>
      <c r="I200" t="s">
        <v>35</v>
      </c>
      <c r="J200" t="s">
        <v>19</v>
      </c>
      <c r="K200">
        <v>0.73</v>
      </c>
      <c r="L200" t="s">
        <v>148</v>
      </c>
      <c r="M200" t="s">
        <v>19</v>
      </c>
      <c r="N200">
        <v>0.75</v>
      </c>
      <c r="O200" t="s">
        <v>280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200</v>
      </c>
      <c r="B201" t="s">
        <v>281</v>
      </c>
      <c r="C201">
        <v>769.56259999999997</v>
      </c>
      <c r="D201">
        <v>288.3</v>
      </c>
      <c r="E201">
        <v>-0.703343402744395</v>
      </c>
      <c r="F201" t="s">
        <v>18</v>
      </c>
      <c r="G201" t="s">
        <v>19</v>
      </c>
      <c r="H201">
        <v>1</v>
      </c>
      <c r="I201" t="s">
        <v>20</v>
      </c>
      <c r="J201" t="s">
        <v>19</v>
      </c>
      <c r="K201">
        <v>0.98</v>
      </c>
      <c r="L201" t="s">
        <v>32</v>
      </c>
      <c r="M201" t="s">
        <v>19</v>
      </c>
      <c r="N201">
        <v>0.57999999999999996</v>
      </c>
      <c r="O201" t="s">
        <v>33</v>
      </c>
      <c r="P201" t="s">
        <v>19</v>
      </c>
      <c r="Q201">
        <v>0.746</v>
      </c>
      <c r="R201" t="s">
        <v>23</v>
      </c>
      <c r="S201">
        <v>4</v>
      </c>
    </row>
    <row r="202" spans="1:19">
      <c r="A202">
        <v>201</v>
      </c>
      <c r="B202" t="s">
        <v>282</v>
      </c>
      <c r="C202">
        <v>103.0515</v>
      </c>
      <c r="D202">
        <v>118.5</v>
      </c>
      <c r="E202">
        <v>-0.93643764999482904</v>
      </c>
      <c r="F202" t="s">
        <v>18</v>
      </c>
      <c r="G202" t="s">
        <v>19</v>
      </c>
      <c r="H202">
        <v>1</v>
      </c>
      <c r="I202" t="s">
        <v>35</v>
      </c>
      <c r="J202" t="s">
        <v>19</v>
      </c>
      <c r="K202">
        <v>0.93</v>
      </c>
      <c r="L202" t="s">
        <v>36</v>
      </c>
      <c r="M202" t="s">
        <v>19</v>
      </c>
      <c r="N202">
        <v>1</v>
      </c>
      <c r="O202" t="s">
        <v>37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283</v>
      </c>
      <c r="C203">
        <v>383.21980000000002</v>
      </c>
      <c r="D203">
        <v>193.3</v>
      </c>
      <c r="E203">
        <v>-0.79191519719256598</v>
      </c>
      <c r="F203" t="s">
        <v>18</v>
      </c>
      <c r="G203" t="s">
        <v>19</v>
      </c>
      <c r="H203">
        <v>1</v>
      </c>
      <c r="I203" t="s">
        <v>20</v>
      </c>
      <c r="J203" t="s">
        <v>19</v>
      </c>
      <c r="K203">
        <v>0.9</v>
      </c>
      <c r="L203" t="s">
        <v>53</v>
      </c>
      <c r="M203" t="s">
        <v>19</v>
      </c>
      <c r="N203">
        <v>0.99</v>
      </c>
      <c r="O203" t="s">
        <v>54</v>
      </c>
      <c r="P203" t="s">
        <v>19</v>
      </c>
      <c r="Q203">
        <v>0.83899999999999997</v>
      </c>
      <c r="R203" t="s">
        <v>23</v>
      </c>
      <c r="S203">
        <v>4</v>
      </c>
    </row>
    <row r="204" spans="1:19">
      <c r="A204">
        <v>203</v>
      </c>
      <c r="B204" t="s">
        <v>284</v>
      </c>
      <c r="C204">
        <v>283.01760000000002</v>
      </c>
      <c r="D204">
        <v>158.80000000000001</v>
      </c>
      <c r="E204">
        <v>-0.70159615581701495</v>
      </c>
      <c r="F204" t="s">
        <v>18</v>
      </c>
      <c r="G204" t="s">
        <v>19</v>
      </c>
      <c r="H204">
        <v>1</v>
      </c>
      <c r="I204" t="s">
        <v>49</v>
      </c>
      <c r="J204" t="s">
        <v>19</v>
      </c>
      <c r="K204">
        <v>0.97</v>
      </c>
      <c r="L204" t="s">
        <v>50</v>
      </c>
      <c r="M204" t="s">
        <v>19</v>
      </c>
      <c r="N204">
        <v>1</v>
      </c>
      <c r="O204" t="s">
        <v>51</v>
      </c>
      <c r="P204" t="s">
        <v>19</v>
      </c>
      <c r="Q204">
        <v>1</v>
      </c>
      <c r="R204" t="s">
        <v>23</v>
      </c>
      <c r="S204">
        <v>4</v>
      </c>
    </row>
    <row r="205" spans="1:19">
      <c r="A205">
        <v>204</v>
      </c>
      <c r="B205" t="s">
        <v>285</v>
      </c>
      <c r="C205">
        <v>821.65120000000002</v>
      </c>
      <c r="D205">
        <v>297.5</v>
      </c>
      <c r="E205">
        <v>-0.73378377649464699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1</v>
      </c>
      <c r="L205" t="s">
        <v>32</v>
      </c>
      <c r="M205" t="s">
        <v>19</v>
      </c>
      <c r="N205">
        <v>0.97</v>
      </c>
      <c r="O205" t="s">
        <v>33</v>
      </c>
      <c r="P205" t="s">
        <v>19</v>
      </c>
      <c r="Q205">
        <v>0.72799999999999998</v>
      </c>
      <c r="R205" t="s">
        <v>23</v>
      </c>
      <c r="S205">
        <v>4</v>
      </c>
    </row>
    <row r="206" spans="1:19">
      <c r="A206">
        <v>205</v>
      </c>
      <c r="B206" t="s">
        <v>286</v>
      </c>
      <c r="C206">
        <v>288.1207</v>
      </c>
      <c r="D206">
        <v>160.80000000000001</v>
      </c>
      <c r="E206">
        <v>-0.79899827972292303</v>
      </c>
      <c r="F206" t="s">
        <v>18</v>
      </c>
      <c r="G206" t="s">
        <v>19</v>
      </c>
      <c r="H206">
        <v>1</v>
      </c>
      <c r="I206" t="s">
        <v>35</v>
      </c>
      <c r="J206" t="s">
        <v>19</v>
      </c>
      <c r="K206">
        <v>0.67</v>
      </c>
      <c r="L206" t="s">
        <v>36</v>
      </c>
      <c r="M206" t="s">
        <v>19</v>
      </c>
      <c r="N206">
        <v>1</v>
      </c>
      <c r="O206" t="s">
        <v>37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287</v>
      </c>
      <c r="C207">
        <v>946.47760000000005</v>
      </c>
      <c r="D207">
        <v>341.7</v>
      </c>
      <c r="E207">
        <v>-0.42080862012437598</v>
      </c>
      <c r="F207" t="s">
        <v>18</v>
      </c>
      <c r="G207" t="s">
        <v>19</v>
      </c>
      <c r="H207">
        <v>1</v>
      </c>
      <c r="I207" t="s">
        <v>49</v>
      </c>
      <c r="J207" t="s">
        <v>19</v>
      </c>
      <c r="K207">
        <v>0.96</v>
      </c>
      <c r="L207" t="s">
        <v>50</v>
      </c>
      <c r="M207" t="s">
        <v>19</v>
      </c>
      <c r="N207">
        <v>1</v>
      </c>
      <c r="O207" t="s">
        <v>51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288</v>
      </c>
      <c r="C208">
        <v>181.07210000000001</v>
      </c>
      <c r="D208">
        <v>131.1</v>
      </c>
      <c r="E208">
        <v>-0.86992359940057895</v>
      </c>
      <c r="F208" t="s">
        <v>18</v>
      </c>
      <c r="G208" t="s">
        <v>19</v>
      </c>
      <c r="H208">
        <v>1</v>
      </c>
      <c r="I208" t="s">
        <v>43</v>
      </c>
      <c r="J208" t="s">
        <v>19</v>
      </c>
      <c r="K208">
        <v>0.72</v>
      </c>
      <c r="L208" t="s">
        <v>97</v>
      </c>
      <c r="M208" t="s">
        <v>19</v>
      </c>
      <c r="N208">
        <v>0.74</v>
      </c>
      <c r="O208" t="s">
        <v>98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289</v>
      </c>
      <c r="C209">
        <v>104.07129999999999</v>
      </c>
      <c r="D209">
        <v>123.9</v>
      </c>
      <c r="E209">
        <v>-0.95509899034857404</v>
      </c>
      <c r="F209" t="s">
        <v>18</v>
      </c>
      <c r="G209" t="s">
        <v>19</v>
      </c>
      <c r="H209">
        <v>1</v>
      </c>
      <c r="I209" t="s">
        <v>35</v>
      </c>
      <c r="J209" t="s">
        <v>19</v>
      </c>
      <c r="K209">
        <v>0.94</v>
      </c>
      <c r="L209" t="s">
        <v>36</v>
      </c>
      <c r="M209" t="s">
        <v>19</v>
      </c>
      <c r="N209">
        <v>1</v>
      </c>
      <c r="O209" t="s">
        <v>37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290</v>
      </c>
      <c r="C210">
        <v>173.0385</v>
      </c>
      <c r="D210">
        <v>155.1</v>
      </c>
      <c r="E210">
        <v>-0.845293530891155</v>
      </c>
      <c r="F210" t="s">
        <v>18</v>
      </c>
      <c r="G210" t="s">
        <v>19</v>
      </c>
      <c r="H210">
        <v>1</v>
      </c>
      <c r="I210" t="s">
        <v>25</v>
      </c>
      <c r="J210" t="s">
        <v>19</v>
      </c>
      <c r="K210">
        <v>0.72</v>
      </c>
      <c r="L210" t="s">
        <v>26</v>
      </c>
      <c r="M210" t="s">
        <v>19</v>
      </c>
      <c r="N210">
        <v>0.98</v>
      </c>
      <c r="O210" t="s">
        <v>265</v>
      </c>
      <c r="P210" t="s">
        <v>19</v>
      </c>
      <c r="Q210">
        <v>0.60399999999999998</v>
      </c>
      <c r="R210" t="s">
        <v>23</v>
      </c>
      <c r="S210">
        <v>4</v>
      </c>
    </row>
    <row r="211" spans="1:19">
      <c r="A211">
        <v>210</v>
      </c>
      <c r="B211" t="s">
        <v>291</v>
      </c>
      <c r="C211">
        <v>215.06030000000001</v>
      </c>
      <c r="D211">
        <v>148.4</v>
      </c>
      <c r="E211">
        <v>-0.820174009492177</v>
      </c>
      <c r="F211" t="s">
        <v>18</v>
      </c>
      <c r="G211" t="s">
        <v>19</v>
      </c>
      <c r="H211">
        <v>1</v>
      </c>
      <c r="I211" t="s">
        <v>25</v>
      </c>
      <c r="J211" t="s">
        <v>19</v>
      </c>
      <c r="K211">
        <v>0.66</v>
      </c>
      <c r="L211" t="s">
        <v>26</v>
      </c>
      <c r="M211" t="s">
        <v>19</v>
      </c>
      <c r="N211">
        <v>0.96</v>
      </c>
      <c r="O211" t="s">
        <v>265</v>
      </c>
      <c r="P211" t="s">
        <v>19</v>
      </c>
      <c r="Q211">
        <v>0.67</v>
      </c>
      <c r="R211" t="s">
        <v>23</v>
      </c>
      <c r="S211">
        <v>4</v>
      </c>
    </row>
    <row r="212" spans="1:19">
      <c r="A212">
        <v>211</v>
      </c>
      <c r="B212" t="s">
        <v>292</v>
      </c>
      <c r="C212">
        <v>1481.9537</v>
      </c>
      <c r="D212">
        <v>241.5</v>
      </c>
      <c r="E212">
        <v>-0.29902175348388499</v>
      </c>
      <c r="F212" t="s">
        <v>86</v>
      </c>
      <c r="G212" t="s">
        <v>19</v>
      </c>
      <c r="H212">
        <v>0.998</v>
      </c>
      <c r="I212" t="s">
        <v>87</v>
      </c>
      <c r="J212" t="s">
        <v>19</v>
      </c>
      <c r="K212">
        <v>1</v>
      </c>
      <c r="L212" t="s">
        <v>88</v>
      </c>
      <c r="M212" t="s">
        <v>19</v>
      </c>
      <c r="N212">
        <v>1</v>
      </c>
      <c r="O212" t="s">
        <v>89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293</v>
      </c>
      <c r="C213">
        <v>407.27980000000002</v>
      </c>
      <c r="D213">
        <v>201.2</v>
      </c>
      <c r="E213">
        <v>-0.82505095803912798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0.84</v>
      </c>
      <c r="L213" t="s">
        <v>69</v>
      </c>
      <c r="M213" t="s">
        <v>19</v>
      </c>
      <c r="N213">
        <v>0.92</v>
      </c>
      <c r="O213" t="s">
        <v>107</v>
      </c>
      <c r="P213" t="s">
        <v>19</v>
      </c>
      <c r="Q213">
        <v>0.97699999999999998</v>
      </c>
      <c r="R213" t="s">
        <v>23</v>
      </c>
      <c r="S213">
        <v>4</v>
      </c>
    </row>
    <row r="214" spans="1:19">
      <c r="A214">
        <v>213</v>
      </c>
      <c r="B214" t="s">
        <v>190</v>
      </c>
      <c r="C214">
        <v>880.50800000000004</v>
      </c>
      <c r="D214">
        <v>298</v>
      </c>
      <c r="E214">
        <v>-0.52486710355162802</v>
      </c>
      <c r="F214" t="s">
        <v>18</v>
      </c>
      <c r="G214" t="s">
        <v>19</v>
      </c>
      <c r="H214">
        <v>0.998</v>
      </c>
      <c r="I214" t="s">
        <v>20</v>
      </c>
      <c r="J214" t="s">
        <v>19</v>
      </c>
      <c r="K214">
        <v>1</v>
      </c>
      <c r="L214" t="s">
        <v>21</v>
      </c>
      <c r="M214" t="s">
        <v>19</v>
      </c>
      <c r="N214">
        <v>1</v>
      </c>
      <c r="O214" t="s">
        <v>153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116</v>
      </c>
      <c r="C215">
        <v>212.054</v>
      </c>
      <c r="D215">
        <v>142.5</v>
      </c>
      <c r="E215">
        <v>-0.81723069952406002</v>
      </c>
      <c r="F215" t="s">
        <v>18</v>
      </c>
      <c r="G215" t="s">
        <v>19</v>
      </c>
      <c r="H215">
        <v>1</v>
      </c>
      <c r="I215" t="s">
        <v>35</v>
      </c>
      <c r="J215" t="s">
        <v>19</v>
      </c>
      <c r="K215">
        <v>0.91</v>
      </c>
      <c r="L215" t="s">
        <v>36</v>
      </c>
      <c r="M215" t="s">
        <v>19</v>
      </c>
      <c r="N215">
        <v>1</v>
      </c>
      <c r="O215" t="s">
        <v>37</v>
      </c>
      <c r="P215" t="s">
        <v>19</v>
      </c>
      <c r="Q215">
        <v>0.98899999999999999</v>
      </c>
      <c r="R215" t="s">
        <v>23</v>
      </c>
      <c r="S215">
        <v>4</v>
      </c>
    </row>
    <row r="216" spans="1:19">
      <c r="A216">
        <v>215</v>
      </c>
      <c r="B216" t="s">
        <v>286</v>
      </c>
      <c r="C216">
        <v>290.13510000000002</v>
      </c>
      <c r="D216">
        <v>164.5</v>
      </c>
      <c r="E216">
        <v>-0.81114909753875997</v>
      </c>
      <c r="F216" t="s">
        <v>18</v>
      </c>
      <c r="G216" t="s">
        <v>19</v>
      </c>
      <c r="H216">
        <v>1</v>
      </c>
      <c r="I216" t="s">
        <v>35</v>
      </c>
      <c r="J216" t="s">
        <v>19</v>
      </c>
      <c r="K216">
        <v>0.69</v>
      </c>
      <c r="L216" t="s">
        <v>36</v>
      </c>
      <c r="M216" t="s">
        <v>19</v>
      </c>
      <c r="N216">
        <v>1</v>
      </c>
      <c r="O216" t="s">
        <v>37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294</v>
      </c>
      <c r="C217">
        <v>1043.9858999999999</v>
      </c>
      <c r="D217">
        <v>256.68</v>
      </c>
      <c r="E217">
        <v>-0.82023554071247395</v>
      </c>
      <c r="F217" t="s">
        <v>18</v>
      </c>
      <c r="G217" t="s">
        <v>19</v>
      </c>
      <c r="H217">
        <v>0.99399999999999999</v>
      </c>
      <c r="I217" t="s">
        <v>62</v>
      </c>
      <c r="J217" t="s">
        <v>19</v>
      </c>
      <c r="K217">
        <v>0.93</v>
      </c>
      <c r="L217" t="s">
        <v>63</v>
      </c>
      <c r="M217" t="s">
        <v>19</v>
      </c>
      <c r="N217">
        <v>0.97</v>
      </c>
      <c r="O217" t="s">
        <v>64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295</v>
      </c>
      <c r="C218">
        <v>1362.0179000000001</v>
      </c>
      <c r="D218">
        <v>211.3</v>
      </c>
      <c r="E218">
        <v>-0.49713630104270101</v>
      </c>
      <c r="F218" t="s">
        <v>86</v>
      </c>
      <c r="G218" t="s">
        <v>19</v>
      </c>
      <c r="H218">
        <v>1</v>
      </c>
      <c r="I218" t="s">
        <v>87</v>
      </c>
      <c r="J218" t="s">
        <v>19</v>
      </c>
      <c r="K218">
        <v>0.99</v>
      </c>
      <c r="L218" t="s">
        <v>88</v>
      </c>
      <c r="M218" t="s">
        <v>19</v>
      </c>
      <c r="N218">
        <v>1</v>
      </c>
      <c r="O218" t="s">
        <v>89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296</v>
      </c>
      <c r="C219">
        <v>522.31960000000004</v>
      </c>
      <c r="D219">
        <v>225.9</v>
      </c>
      <c r="E219">
        <v>-0.73640304867217299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0.97</v>
      </c>
      <c r="L219" t="s">
        <v>21</v>
      </c>
      <c r="M219" t="s">
        <v>19</v>
      </c>
      <c r="N219">
        <v>0.8</v>
      </c>
      <c r="O219" t="s">
        <v>40</v>
      </c>
      <c r="P219" t="s">
        <v>19</v>
      </c>
      <c r="Q219">
        <v>0.71499999999999997</v>
      </c>
      <c r="R219" t="s">
        <v>23</v>
      </c>
      <c r="S219">
        <v>4</v>
      </c>
    </row>
    <row r="220" spans="1:19">
      <c r="A220">
        <v>219</v>
      </c>
      <c r="B220" t="s">
        <v>272</v>
      </c>
      <c r="C220">
        <v>182.0582</v>
      </c>
      <c r="D220">
        <v>139.30000000000001</v>
      </c>
      <c r="E220">
        <v>-0.85492256755398399</v>
      </c>
      <c r="F220" t="s">
        <v>18</v>
      </c>
      <c r="G220" t="s">
        <v>19</v>
      </c>
      <c r="H220">
        <v>1</v>
      </c>
      <c r="I220" t="s">
        <v>35</v>
      </c>
      <c r="J220" t="s">
        <v>19</v>
      </c>
      <c r="K220">
        <v>0.78</v>
      </c>
      <c r="L220" t="s">
        <v>36</v>
      </c>
      <c r="M220" t="s">
        <v>19</v>
      </c>
      <c r="N220">
        <v>1</v>
      </c>
      <c r="O220" t="s">
        <v>37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220</v>
      </c>
      <c r="B221" t="s">
        <v>297</v>
      </c>
      <c r="C221">
        <v>130.04920000000001</v>
      </c>
      <c r="D221">
        <v>130.6</v>
      </c>
      <c r="E221">
        <v>-0.90399331627108404</v>
      </c>
      <c r="F221" t="s">
        <v>18</v>
      </c>
      <c r="G221" t="s">
        <v>19</v>
      </c>
      <c r="H221">
        <v>1</v>
      </c>
      <c r="I221" t="s">
        <v>35</v>
      </c>
      <c r="J221" t="s">
        <v>19</v>
      </c>
      <c r="K221">
        <v>0.98</v>
      </c>
      <c r="L221" t="s">
        <v>36</v>
      </c>
      <c r="M221" t="s">
        <v>19</v>
      </c>
      <c r="N221">
        <v>1</v>
      </c>
      <c r="O221" t="s">
        <v>37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221</v>
      </c>
      <c r="B222" t="s">
        <v>298</v>
      </c>
      <c r="C222">
        <v>693.41899999999998</v>
      </c>
      <c r="D222">
        <v>244.3</v>
      </c>
      <c r="E222">
        <v>-0.644761685388062</v>
      </c>
      <c r="F222" t="s">
        <v>18</v>
      </c>
      <c r="G222" t="s">
        <v>19</v>
      </c>
      <c r="H222">
        <v>1</v>
      </c>
      <c r="I222" t="s">
        <v>20</v>
      </c>
      <c r="J222" t="s">
        <v>19</v>
      </c>
      <c r="K222">
        <v>0.97</v>
      </c>
      <c r="L222" t="s">
        <v>53</v>
      </c>
      <c r="M222" t="s">
        <v>19</v>
      </c>
      <c r="N222">
        <v>0.99</v>
      </c>
      <c r="O222" t="s">
        <v>54</v>
      </c>
      <c r="P222" t="s">
        <v>19</v>
      </c>
      <c r="Q222">
        <v>0.999</v>
      </c>
      <c r="R222" t="s">
        <v>23</v>
      </c>
      <c r="S222">
        <v>4</v>
      </c>
    </row>
    <row r="223" spans="1:19">
      <c r="A223">
        <v>222</v>
      </c>
      <c r="B223" t="s">
        <v>299</v>
      </c>
      <c r="C223">
        <v>152.06710000000001</v>
      </c>
      <c r="D223">
        <v>139</v>
      </c>
      <c r="E223">
        <v>-0.897309187789887</v>
      </c>
      <c r="F223" t="s">
        <v>18</v>
      </c>
      <c r="G223" t="s">
        <v>19</v>
      </c>
      <c r="H223">
        <v>1</v>
      </c>
      <c r="I223" t="s">
        <v>35</v>
      </c>
      <c r="J223" t="s">
        <v>19</v>
      </c>
      <c r="K223">
        <v>0.92</v>
      </c>
      <c r="L223" t="s">
        <v>36</v>
      </c>
      <c r="M223" t="s">
        <v>19</v>
      </c>
      <c r="N223">
        <v>1</v>
      </c>
      <c r="O223" t="s">
        <v>37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300</v>
      </c>
      <c r="C224">
        <v>329.0154</v>
      </c>
      <c r="D224">
        <v>171.9</v>
      </c>
      <c r="E224">
        <v>-0.64803722399102504</v>
      </c>
      <c r="F224" t="s">
        <v>18</v>
      </c>
      <c r="G224" t="s">
        <v>19</v>
      </c>
      <c r="H224">
        <v>1</v>
      </c>
      <c r="I224" t="s">
        <v>58</v>
      </c>
      <c r="J224" t="s">
        <v>19</v>
      </c>
      <c r="K224">
        <v>0.99</v>
      </c>
      <c r="L224" t="s">
        <v>133</v>
      </c>
      <c r="M224" t="s">
        <v>19</v>
      </c>
      <c r="N224">
        <v>0.79</v>
      </c>
      <c r="O224" t="s">
        <v>140</v>
      </c>
      <c r="P224" t="s">
        <v>19</v>
      </c>
      <c r="Q224">
        <v>0.95</v>
      </c>
      <c r="R224" t="s">
        <v>23</v>
      </c>
      <c r="S224">
        <v>4</v>
      </c>
    </row>
    <row r="225" spans="1:19">
      <c r="A225">
        <v>224</v>
      </c>
      <c r="B225" t="s">
        <v>301</v>
      </c>
      <c r="C225">
        <v>466.25700000000001</v>
      </c>
      <c r="D225">
        <v>213.4</v>
      </c>
      <c r="E225">
        <v>-0.73639985224514204</v>
      </c>
      <c r="F225" t="s">
        <v>18</v>
      </c>
      <c r="G225" t="s">
        <v>19</v>
      </c>
      <c r="H225">
        <v>1</v>
      </c>
      <c r="I225" t="s">
        <v>20</v>
      </c>
      <c r="J225" t="s">
        <v>19</v>
      </c>
      <c r="K225">
        <v>0.91</v>
      </c>
      <c r="L225" t="s">
        <v>21</v>
      </c>
      <c r="M225" t="s">
        <v>19</v>
      </c>
      <c r="N225">
        <v>0.65</v>
      </c>
      <c r="O225" t="s">
        <v>40</v>
      </c>
      <c r="P225" t="s">
        <v>19</v>
      </c>
      <c r="Q225">
        <v>0.878</v>
      </c>
      <c r="R225" t="s">
        <v>23</v>
      </c>
      <c r="S225">
        <v>4</v>
      </c>
    </row>
    <row r="226" spans="1:19">
      <c r="A226">
        <v>225</v>
      </c>
      <c r="B226" t="s">
        <v>302</v>
      </c>
      <c r="C226">
        <v>365.10559999999998</v>
      </c>
      <c r="D226">
        <v>175.2</v>
      </c>
      <c r="E226">
        <v>-0.69794064195036798</v>
      </c>
      <c r="F226" t="s">
        <v>18</v>
      </c>
      <c r="G226" t="s">
        <v>19</v>
      </c>
      <c r="H226">
        <v>1</v>
      </c>
      <c r="I226" t="s">
        <v>49</v>
      </c>
      <c r="J226" t="s">
        <v>19</v>
      </c>
      <c r="K226">
        <v>1</v>
      </c>
      <c r="L226" t="s">
        <v>50</v>
      </c>
      <c r="M226" t="s">
        <v>19</v>
      </c>
      <c r="N226">
        <v>1</v>
      </c>
      <c r="O226" t="s">
        <v>51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241</v>
      </c>
      <c r="C227">
        <v>565.04669999999999</v>
      </c>
      <c r="D227">
        <v>207.3</v>
      </c>
      <c r="E227">
        <v>-0.41579602320518899</v>
      </c>
      <c r="F227" t="s">
        <v>18</v>
      </c>
      <c r="G227" t="s">
        <v>19</v>
      </c>
      <c r="H227">
        <v>1</v>
      </c>
      <c r="I227" t="s">
        <v>58</v>
      </c>
      <c r="J227" t="s">
        <v>19</v>
      </c>
      <c r="K227">
        <v>1</v>
      </c>
      <c r="L227" t="s">
        <v>133</v>
      </c>
      <c r="M227" t="s">
        <v>19</v>
      </c>
      <c r="N227">
        <v>0.94</v>
      </c>
      <c r="O227" t="s">
        <v>151</v>
      </c>
      <c r="P227" t="s">
        <v>19</v>
      </c>
      <c r="Q227">
        <v>0.97299999999999998</v>
      </c>
      <c r="R227" t="s">
        <v>23</v>
      </c>
      <c r="S227">
        <v>4</v>
      </c>
    </row>
    <row r="228" spans="1:19">
      <c r="A228">
        <v>227</v>
      </c>
      <c r="B228" t="s">
        <v>303</v>
      </c>
      <c r="C228">
        <v>658.31600000000003</v>
      </c>
      <c r="D228">
        <v>243</v>
      </c>
      <c r="E228">
        <v>-0.58095600737499398</v>
      </c>
      <c r="F228" t="s">
        <v>18</v>
      </c>
      <c r="G228" t="s">
        <v>19</v>
      </c>
      <c r="H228">
        <v>1</v>
      </c>
      <c r="I228" t="s">
        <v>35</v>
      </c>
      <c r="J228" t="s">
        <v>19</v>
      </c>
      <c r="K228">
        <v>0.82</v>
      </c>
      <c r="L228" t="s">
        <v>36</v>
      </c>
      <c r="M228" t="s">
        <v>19</v>
      </c>
      <c r="N228">
        <v>0.87</v>
      </c>
      <c r="O228" t="s">
        <v>37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82</v>
      </c>
      <c r="C229">
        <v>341.10759999999999</v>
      </c>
      <c r="D229">
        <v>178</v>
      </c>
      <c r="E229">
        <v>-0.72673565488491898</v>
      </c>
      <c r="F229" t="s">
        <v>18</v>
      </c>
      <c r="G229" t="s">
        <v>19</v>
      </c>
      <c r="H229">
        <v>1</v>
      </c>
      <c r="I229" t="s">
        <v>49</v>
      </c>
      <c r="J229" t="s">
        <v>19</v>
      </c>
      <c r="K229">
        <v>0.99</v>
      </c>
      <c r="L229" t="s">
        <v>50</v>
      </c>
      <c r="M229" t="s">
        <v>19</v>
      </c>
      <c r="N229">
        <v>1</v>
      </c>
      <c r="O229" t="s">
        <v>51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304</v>
      </c>
      <c r="C230">
        <v>130.0874</v>
      </c>
      <c r="D230">
        <v>134.80000000000001</v>
      </c>
      <c r="E230">
        <v>-0.94215066398780301</v>
      </c>
      <c r="F230" t="s">
        <v>18</v>
      </c>
      <c r="G230" t="s">
        <v>19</v>
      </c>
      <c r="H230">
        <v>1</v>
      </c>
      <c r="I230" t="s">
        <v>35</v>
      </c>
      <c r="J230" t="s">
        <v>19</v>
      </c>
      <c r="K230">
        <v>1</v>
      </c>
      <c r="L230" t="s">
        <v>36</v>
      </c>
      <c r="M230" t="s">
        <v>19</v>
      </c>
      <c r="N230">
        <v>1</v>
      </c>
      <c r="O230" t="s">
        <v>37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108</v>
      </c>
      <c r="C231">
        <v>215.0522</v>
      </c>
      <c r="D231">
        <v>151.80000000000001</v>
      </c>
      <c r="E231">
        <v>-0.81208305356270205</v>
      </c>
      <c r="F231" t="s">
        <v>18</v>
      </c>
      <c r="G231" t="s">
        <v>19</v>
      </c>
      <c r="H231">
        <v>1</v>
      </c>
      <c r="I231" t="s">
        <v>49</v>
      </c>
      <c r="J231" t="s">
        <v>19</v>
      </c>
      <c r="K231">
        <v>0.74</v>
      </c>
      <c r="L231" t="s">
        <v>50</v>
      </c>
      <c r="M231" t="s">
        <v>19</v>
      </c>
      <c r="N231">
        <v>1</v>
      </c>
      <c r="O231" t="s">
        <v>109</v>
      </c>
      <c r="P231" t="s">
        <v>19</v>
      </c>
      <c r="Q231">
        <v>0.57999999999999996</v>
      </c>
      <c r="R231" t="s">
        <v>23</v>
      </c>
      <c r="S231">
        <v>4</v>
      </c>
    </row>
    <row r="232" spans="1:19">
      <c r="A232">
        <v>231</v>
      </c>
      <c r="B232" t="s">
        <v>267</v>
      </c>
      <c r="C232">
        <v>810.53030000000001</v>
      </c>
      <c r="D232">
        <v>285.3</v>
      </c>
      <c r="E232">
        <v>-0.62530083872241005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1</v>
      </c>
      <c r="L232" t="s">
        <v>21</v>
      </c>
      <c r="M232" t="s">
        <v>19</v>
      </c>
      <c r="N232">
        <v>1</v>
      </c>
      <c r="O232" t="s">
        <v>153</v>
      </c>
      <c r="P232" t="s">
        <v>19</v>
      </c>
      <c r="Q232">
        <v>0.754</v>
      </c>
      <c r="R232" t="s">
        <v>23</v>
      </c>
      <c r="S232">
        <v>4</v>
      </c>
    </row>
    <row r="233" spans="1:19">
      <c r="A233">
        <v>232</v>
      </c>
      <c r="B233" t="s">
        <v>305</v>
      </c>
      <c r="C233">
        <v>354.19490000000002</v>
      </c>
      <c r="D233">
        <v>448.3</v>
      </c>
      <c r="E233">
        <v>-0.79942300496503504</v>
      </c>
      <c r="F233" t="s">
        <v>18</v>
      </c>
      <c r="G233" t="s">
        <v>19</v>
      </c>
      <c r="H233">
        <v>1</v>
      </c>
      <c r="I233" t="s">
        <v>35</v>
      </c>
      <c r="J233" t="s">
        <v>19</v>
      </c>
      <c r="K233">
        <v>0.99</v>
      </c>
      <c r="L233" t="s">
        <v>36</v>
      </c>
      <c r="M233" t="s">
        <v>19</v>
      </c>
      <c r="N233">
        <v>0.97</v>
      </c>
      <c r="O233" t="s">
        <v>37</v>
      </c>
      <c r="P233" t="s">
        <v>19</v>
      </c>
      <c r="Q233">
        <v>0.999</v>
      </c>
      <c r="R233" t="s">
        <v>23</v>
      </c>
      <c r="S233">
        <v>4</v>
      </c>
    </row>
    <row r="234" spans="1:19">
      <c r="A234">
        <v>233</v>
      </c>
      <c r="B234" t="s">
        <v>74</v>
      </c>
      <c r="C234">
        <v>487.35230000000001</v>
      </c>
      <c r="D234">
        <v>217.8</v>
      </c>
      <c r="E234">
        <v>-0.80814585456374699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0.99</v>
      </c>
      <c r="L234" t="s">
        <v>21</v>
      </c>
      <c r="M234" t="s">
        <v>19</v>
      </c>
      <c r="N234">
        <v>0.94</v>
      </c>
      <c r="O234" t="s">
        <v>40</v>
      </c>
      <c r="P234" t="s">
        <v>19</v>
      </c>
      <c r="Q234">
        <v>0.86299999999999999</v>
      </c>
      <c r="R234" t="s">
        <v>23</v>
      </c>
      <c r="S234">
        <v>4</v>
      </c>
    </row>
    <row r="235" spans="1:19">
      <c r="A235">
        <v>234</v>
      </c>
      <c r="B235" t="s">
        <v>306</v>
      </c>
      <c r="C235">
        <v>416.28730000000002</v>
      </c>
      <c r="D235">
        <v>205.3</v>
      </c>
      <c r="E235">
        <v>-0.82249361663531295</v>
      </c>
      <c r="F235" t="s">
        <v>18</v>
      </c>
      <c r="G235" t="s">
        <v>19</v>
      </c>
      <c r="H235">
        <v>1</v>
      </c>
      <c r="I235" t="s">
        <v>35</v>
      </c>
      <c r="J235" t="s">
        <v>19</v>
      </c>
      <c r="K235">
        <v>0.63</v>
      </c>
      <c r="L235" t="s">
        <v>36</v>
      </c>
      <c r="M235" t="s">
        <v>19</v>
      </c>
      <c r="N235">
        <v>1</v>
      </c>
      <c r="O235" t="s">
        <v>37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235</v>
      </c>
      <c r="B236" t="s">
        <v>307</v>
      </c>
      <c r="C236">
        <v>2471.1945999999998</v>
      </c>
      <c r="D236">
        <v>267.39999999999998</v>
      </c>
      <c r="E236">
        <v>-0.43538292896164399</v>
      </c>
      <c r="F236" t="s">
        <v>86</v>
      </c>
      <c r="G236" t="s">
        <v>19</v>
      </c>
      <c r="H236">
        <v>0.996</v>
      </c>
      <c r="I236" t="s">
        <v>87</v>
      </c>
      <c r="J236" t="s">
        <v>19</v>
      </c>
      <c r="K236">
        <v>0.92</v>
      </c>
      <c r="L236" t="s">
        <v>88</v>
      </c>
      <c r="M236" t="s">
        <v>19</v>
      </c>
      <c r="N236">
        <v>1</v>
      </c>
      <c r="O236" t="s">
        <v>89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236</v>
      </c>
      <c r="B237" t="s">
        <v>308</v>
      </c>
      <c r="C237">
        <v>1643.9476</v>
      </c>
      <c r="D237">
        <v>324.67</v>
      </c>
      <c r="E237">
        <v>-0.112047153691492</v>
      </c>
      <c r="F237" t="s">
        <v>18</v>
      </c>
      <c r="G237" t="s">
        <v>19</v>
      </c>
      <c r="H237">
        <v>1</v>
      </c>
      <c r="I237" t="s">
        <v>62</v>
      </c>
      <c r="J237" t="s">
        <v>19</v>
      </c>
      <c r="K237">
        <v>0.99</v>
      </c>
      <c r="L237" t="s">
        <v>63</v>
      </c>
      <c r="M237" t="s">
        <v>19</v>
      </c>
      <c r="N237">
        <v>1</v>
      </c>
      <c r="O237" t="s">
        <v>64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309</v>
      </c>
      <c r="C238">
        <v>187.05760000000001</v>
      </c>
      <c r="D238">
        <v>142.69999999999999</v>
      </c>
      <c r="E238">
        <v>-0.84874047789381302</v>
      </c>
      <c r="F238" t="s">
        <v>18</v>
      </c>
      <c r="G238" t="s">
        <v>19</v>
      </c>
      <c r="H238">
        <v>1</v>
      </c>
      <c r="I238" t="s">
        <v>49</v>
      </c>
      <c r="J238" t="s">
        <v>19</v>
      </c>
      <c r="K238">
        <v>0.85</v>
      </c>
      <c r="L238" t="s">
        <v>50</v>
      </c>
      <c r="M238" t="s">
        <v>19</v>
      </c>
      <c r="N238">
        <v>1</v>
      </c>
      <c r="O238" t="s">
        <v>51</v>
      </c>
      <c r="P238" t="s">
        <v>19</v>
      </c>
      <c r="Q238">
        <v>0.99299999999999999</v>
      </c>
      <c r="R238" t="s">
        <v>23</v>
      </c>
      <c r="S238">
        <v>4</v>
      </c>
    </row>
    <row r="239" spans="1:19">
      <c r="A239">
        <v>238</v>
      </c>
      <c r="B239" t="s">
        <v>160</v>
      </c>
      <c r="C239">
        <v>425.04340000000002</v>
      </c>
      <c r="D239">
        <v>182</v>
      </c>
      <c r="E239">
        <v>-0.56881697638380002</v>
      </c>
      <c r="F239" t="s">
        <v>18</v>
      </c>
      <c r="G239" t="s">
        <v>19</v>
      </c>
      <c r="H239">
        <v>1</v>
      </c>
      <c r="I239" t="s">
        <v>43</v>
      </c>
      <c r="J239" t="s">
        <v>19</v>
      </c>
      <c r="K239">
        <v>0.62</v>
      </c>
      <c r="L239" t="s">
        <v>161</v>
      </c>
      <c r="M239" t="s">
        <v>19</v>
      </c>
      <c r="N239">
        <v>0.95</v>
      </c>
      <c r="O239" t="s">
        <v>162</v>
      </c>
      <c r="P239" t="s">
        <v>19</v>
      </c>
      <c r="Q239">
        <v>0.98699999999999999</v>
      </c>
      <c r="R239" t="s">
        <v>23</v>
      </c>
      <c r="S239">
        <v>4</v>
      </c>
    </row>
    <row r="240" spans="1:19">
      <c r="A240">
        <v>239</v>
      </c>
      <c r="B240" t="s">
        <v>310</v>
      </c>
      <c r="C240">
        <v>589.04219999999998</v>
      </c>
      <c r="D240">
        <v>210.5</v>
      </c>
      <c r="E240">
        <v>-0.384503801650453</v>
      </c>
      <c r="F240" t="s">
        <v>18</v>
      </c>
      <c r="G240" t="s">
        <v>19</v>
      </c>
      <c r="H240">
        <v>1</v>
      </c>
      <c r="I240" t="s">
        <v>58</v>
      </c>
      <c r="J240" t="s">
        <v>19</v>
      </c>
      <c r="K240">
        <v>1</v>
      </c>
      <c r="L240" t="s">
        <v>133</v>
      </c>
      <c r="M240" t="s">
        <v>19</v>
      </c>
      <c r="N240">
        <v>0.99</v>
      </c>
      <c r="O240" t="s">
        <v>151</v>
      </c>
      <c r="P240" t="s">
        <v>19</v>
      </c>
      <c r="Q240">
        <v>0.998</v>
      </c>
      <c r="R240" t="s">
        <v>23</v>
      </c>
      <c r="S240">
        <v>4</v>
      </c>
    </row>
    <row r="241" spans="1:19">
      <c r="A241">
        <v>240</v>
      </c>
      <c r="B241" t="s">
        <v>311</v>
      </c>
      <c r="C241">
        <v>1659.9214999999999</v>
      </c>
      <c r="D241">
        <v>327.89</v>
      </c>
      <c r="E241">
        <v>-6.81114650042218E-2</v>
      </c>
      <c r="F241" t="s">
        <v>18</v>
      </c>
      <c r="G241" t="s">
        <v>19</v>
      </c>
      <c r="H241">
        <v>1</v>
      </c>
      <c r="I241" t="s">
        <v>62</v>
      </c>
      <c r="J241" t="s">
        <v>19</v>
      </c>
      <c r="K241">
        <v>0.93</v>
      </c>
      <c r="L241" t="s">
        <v>63</v>
      </c>
      <c r="M241" t="s">
        <v>19</v>
      </c>
      <c r="N241">
        <v>1</v>
      </c>
      <c r="O241" t="s">
        <v>64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312</v>
      </c>
      <c r="C242">
        <v>833.6721</v>
      </c>
      <c r="D242">
        <v>303.39999999999998</v>
      </c>
      <c r="E242">
        <v>-0.74126181754036202</v>
      </c>
      <c r="F242" t="s">
        <v>18</v>
      </c>
      <c r="G242" t="s">
        <v>19</v>
      </c>
      <c r="H242">
        <v>1</v>
      </c>
      <c r="I242" t="s">
        <v>20</v>
      </c>
      <c r="J242" t="s">
        <v>19</v>
      </c>
      <c r="K242">
        <v>1</v>
      </c>
      <c r="L242" t="s">
        <v>32</v>
      </c>
      <c r="M242" t="s">
        <v>19</v>
      </c>
      <c r="N242">
        <v>1</v>
      </c>
      <c r="O242" t="s">
        <v>33</v>
      </c>
      <c r="P242" t="s">
        <v>19</v>
      </c>
      <c r="Q242">
        <v>0.69399999999999995</v>
      </c>
      <c r="R242" t="s">
        <v>23</v>
      </c>
      <c r="S242">
        <v>4</v>
      </c>
    </row>
    <row r="243" spans="1:19">
      <c r="A243">
        <v>242</v>
      </c>
      <c r="B243" t="s">
        <v>312</v>
      </c>
      <c r="C243">
        <v>789.68489999999997</v>
      </c>
      <c r="D243">
        <v>300.8</v>
      </c>
      <c r="E243">
        <v>-0.80317581007943795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1</v>
      </c>
      <c r="L243" t="s">
        <v>32</v>
      </c>
      <c r="M243" t="s">
        <v>19</v>
      </c>
      <c r="N243">
        <v>0.9</v>
      </c>
      <c r="O243" t="s">
        <v>33</v>
      </c>
      <c r="P243" t="s">
        <v>19</v>
      </c>
      <c r="Q243">
        <v>0.67600000000000005</v>
      </c>
      <c r="R243" t="s">
        <v>23</v>
      </c>
      <c r="S243">
        <v>4</v>
      </c>
    </row>
    <row r="244" spans="1:19">
      <c r="A244">
        <v>243</v>
      </c>
      <c r="B244" t="s">
        <v>313</v>
      </c>
      <c r="C244">
        <v>418.79180000000002</v>
      </c>
      <c r="D244">
        <v>171.5</v>
      </c>
      <c r="E244">
        <v>-0.32419721235601201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0.97</v>
      </c>
      <c r="L244" t="s">
        <v>26</v>
      </c>
      <c r="M244" t="s">
        <v>19</v>
      </c>
      <c r="N244">
        <v>1</v>
      </c>
      <c r="O244" t="s">
        <v>246</v>
      </c>
      <c r="P244" t="s">
        <v>19</v>
      </c>
      <c r="Q244">
        <v>0.94499999999999995</v>
      </c>
      <c r="R244" t="s">
        <v>23</v>
      </c>
      <c r="S244">
        <v>4</v>
      </c>
    </row>
    <row r="245" spans="1:19">
      <c r="A245">
        <v>245</v>
      </c>
      <c r="B245" t="s">
        <v>315</v>
      </c>
      <c r="C245">
        <v>725.50969999999995</v>
      </c>
      <c r="D245">
        <v>274.5</v>
      </c>
      <c r="E245">
        <v>-0.69963075274449704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1</v>
      </c>
      <c r="L245" t="s">
        <v>21</v>
      </c>
      <c r="M245" t="s">
        <v>19</v>
      </c>
      <c r="N245">
        <v>1</v>
      </c>
      <c r="O245" t="s">
        <v>93</v>
      </c>
      <c r="P245" t="s">
        <v>19</v>
      </c>
      <c r="Q245">
        <v>0.56200000000000006</v>
      </c>
      <c r="R245" t="s">
        <v>23</v>
      </c>
      <c r="S245">
        <v>4</v>
      </c>
    </row>
    <row r="246" spans="1:19">
      <c r="A246">
        <v>246</v>
      </c>
      <c r="B246" t="s">
        <v>316</v>
      </c>
      <c r="C246">
        <v>822.57600000000002</v>
      </c>
      <c r="D246">
        <v>296.3</v>
      </c>
      <c r="E246">
        <v>-0.65755118928063905</v>
      </c>
      <c r="F246" t="s">
        <v>18</v>
      </c>
      <c r="G246" t="s">
        <v>19</v>
      </c>
      <c r="H246">
        <v>1</v>
      </c>
      <c r="I246" t="s">
        <v>20</v>
      </c>
      <c r="J246" t="s">
        <v>19</v>
      </c>
      <c r="K246">
        <v>1</v>
      </c>
      <c r="L246" t="s">
        <v>21</v>
      </c>
      <c r="M246" t="s">
        <v>19</v>
      </c>
      <c r="N246">
        <v>1</v>
      </c>
      <c r="O246" t="s">
        <v>22</v>
      </c>
      <c r="P246" t="s">
        <v>19</v>
      </c>
      <c r="Q246">
        <v>0.93700000000000006</v>
      </c>
      <c r="R246" t="s">
        <v>23</v>
      </c>
      <c r="S246">
        <v>4</v>
      </c>
    </row>
    <row r="247" spans="1:19">
      <c r="A247">
        <v>247</v>
      </c>
      <c r="B247" t="s">
        <v>317</v>
      </c>
      <c r="C247">
        <v>154.0616</v>
      </c>
      <c r="D247">
        <v>128.9</v>
      </c>
      <c r="E247">
        <v>-0.88958222498888495</v>
      </c>
      <c r="F247" t="s">
        <v>18</v>
      </c>
      <c r="G247" t="s">
        <v>19</v>
      </c>
      <c r="H247">
        <v>1</v>
      </c>
      <c r="I247" t="s">
        <v>35</v>
      </c>
      <c r="J247" t="s">
        <v>19</v>
      </c>
      <c r="K247">
        <v>0.88</v>
      </c>
      <c r="L247" t="s">
        <v>36</v>
      </c>
      <c r="M247" t="s">
        <v>19</v>
      </c>
      <c r="N247">
        <v>1</v>
      </c>
      <c r="O247" t="s">
        <v>37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248</v>
      </c>
      <c r="B248" t="s">
        <v>318</v>
      </c>
      <c r="C248">
        <v>175.119</v>
      </c>
      <c r="D248">
        <v>136.6</v>
      </c>
      <c r="E248">
        <v>-0.92347054462521805</v>
      </c>
      <c r="F248" t="s">
        <v>18</v>
      </c>
      <c r="G248" t="s">
        <v>19</v>
      </c>
      <c r="H248">
        <v>1</v>
      </c>
      <c r="I248" t="s">
        <v>35</v>
      </c>
      <c r="J248" t="s">
        <v>19</v>
      </c>
      <c r="K248">
        <v>0.96</v>
      </c>
      <c r="L248" t="s">
        <v>36</v>
      </c>
      <c r="M248" t="s">
        <v>19</v>
      </c>
      <c r="N248">
        <v>1</v>
      </c>
      <c r="O248" t="s">
        <v>37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249</v>
      </c>
      <c r="B249" t="s">
        <v>319</v>
      </c>
      <c r="C249">
        <v>846.58330000000001</v>
      </c>
      <c r="D249">
        <v>299.5</v>
      </c>
      <c r="E249">
        <v>-0.63804579241320902</v>
      </c>
      <c r="F249" t="s">
        <v>18</v>
      </c>
      <c r="G249" t="s">
        <v>19</v>
      </c>
      <c r="H249">
        <v>1</v>
      </c>
      <c r="I249" t="s">
        <v>20</v>
      </c>
      <c r="J249" t="s">
        <v>19</v>
      </c>
      <c r="K249">
        <v>1</v>
      </c>
      <c r="L249" t="s">
        <v>21</v>
      </c>
      <c r="M249" t="s">
        <v>19</v>
      </c>
      <c r="N249">
        <v>0.98</v>
      </c>
      <c r="O249" t="s">
        <v>22</v>
      </c>
      <c r="P249" t="s">
        <v>19</v>
      </c>
      <c r="Q249">
        <v>0.872</v>
      </c>
      <c r="R249" t="s">
        <v>23</v>
      </c>
      <c r="S249">
        <v>4</v>
      </c>
    </row>
    <row r="250" spans="1:19">
      <c r="A250">
        <v>250</v>
      </c>
      <c r="B250" t="s">
        <v>320</v>
      </c>
      <c r="C250">
        <v>158.06059999999999</v>
      </c>
      <c r="D250">
        <v>131</v>
      </c>
      <c r="E250">
        <v>-0.88411713386776103</v>
      </c>
      <c r="F250" t="s">
        <v>18</v>
      </c>
      <c r="G250" t="s">
        <v>19</v>
      </c>
      <c r="H250">
        <v>1</v>
      </c>
      <c r="I250" t="s">
        <v>43</v>
      </c>
      <c r="J250" t="s">
        <v>19</v>
      </c>
      <c r="K250">
        <v>0.67</v>
      </c>
      <c r="L250" t="s">
        <v>111</v>
      </c>
      <c r="M250" t="s">
        <v>19</v>
      </c>
      <c r="N250">
        <v>0.57999999999999996</v>
      </c>
      <c r="O250" t="s">
        <v>321</v>
      </c>
      <c r="P250" t="s">
        <v>19</v>
      </c>
      <c r="Q250">
        <v>0.97799999999999998</v>
      </c>
      <c r="R250" t="s">
        <v>23</v>
      </c>
      <c r="S250">
        <v>4</v>
      </c>
    </row>
    <row r="251" spans="1:19">
      <c r="A251">
        <v>251</v>
      </c>
      <c r="B251" t="s">
        <v>322</v>
      </c>
      <c r="C251">
        <v>748.57029999999997</v>
      </c>
      <c r="D251">
        <v>282.60000000000002</v>
      </c>
      <c r="E251">
        <v>-0.73448239557819806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0.97</v>
      </c>
      <c r="L251" t="s">
        <v>32</v>
      </c>
      <c r="M251" t="s">
        <v>19</v>
      </c>
      <c r="N251">
        <v>0.84</v>
      </c>
      <c r="O251" t="s">
        <v>100</v>
      </c>
      <c r="P251" t="s">
        <v>19</v>
      </c>
      <c r="Q251">
        <v>0.71299999999999997</v>
      </c>
      <c r="R251" t="s">
        <v>23</v>
      </c>
      <c r="S251">
        <v>4</v>
      </c>
    </row>
    <row r="252" spans="1:19">
      <c r="A252">
        <v>252</v>
      </c>
      <c r="B252" t="s">
        <v>159</v>
      </c>
      <c r="C252">
        <v>208.98169999999999</v>
      </c>
      <c r="D252">
        <v>141.9</v>
      </c>
      <c r="E252">
        <v>-0.74836108198252305</v>
      </c>
      <c r="F252" t="s">
        <v>18</v>
      </c>
      <c r="G252" t="s">
        <v>19</v>
      </c>
      <c r="H252">
        <v>1</v>
      </c>
      <c r="I252" t="s">
        <v>49</v>
      </c>
      <c r="J252" t="s">
        <v>19</v>
      </c>
      <c r="K252">
        <v>0.84</v>
      </c>
      <c r="L252" t="s">
        <v>50</v>
      </c>
      <c r="M252" t="s">
        <v>19</v>
      </c>
      <c r="N252">
        <v>1</v>
      </c>
      <c r="O252" t="s">
        <v>51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323</v>
      </c>
      <c r="C253">
        <v>786.60119999999995</v>
      </c>
      <c r="D253">
        <v>287.10000000000002</v>
      </c>
      <c r="E253">
        <v>-0.722918921229734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1</v>
      </c>
      <c r="L253" t="s">
        <v>21</v>
      </c>
      <c r="M253" t="s">
        <v>19</v>
      </c>
      <c r="N253">
        <v>0.85</v>
      </c>
      <c r="O253" t="s">
        <v>22</v>
      </c>
      <c r="P253" t="s">
        <v>19</v>
      </c>
      <c r="Q253">
        <v>0.88700000000000001</v>
      </c>
      <c r="R253" t="s">
        <v>23</v>
      </c>
      <c r="S253">
        <v>4</v>
      </c>
    </row>
    <row r="254" spans="1:19">
      <c r="A254">
        <v>254</v>
      </c>
      <c r="B254" t="s">
        <v>324</v>
      </c>
      <c r="C254">
        <v>742.54179999999997</v>
      </c>
      <c r="D254">
        <v>272</v>
      </c>
      <c r="E254">
        <v>-0.71271352881740302</v>
      </c>
      <c r="F254" t="s">
        <v>18</v>
      </c>
      <c r="G254" t="s">
        <v>19</v>
      </c>
      <c r="H254">
        <v>1</v>
      </c>
      <c r="I254" t="s">
        <v>20</v>
      </c>
      <c r="J254" t="s">
        <v>19</v>
      </c>
      <c r="K254">
        <v>0.98</v>
      </c>
      <c r="L254" t="s">
        <v>21</v>
      </c>
      <c r="M254" t="s">
        <v>19</v>
      </c>
      <c r="N254">
        <v>0.94</v>
      </c>
      <c r="O254" t="s">
        <v>40</v>
      </c>
      <c r="P254" t="s">
        <v>19</v>
      </c>
      <c r="Q254">
        <v>0.996</v>
      </c>
      <c r="R254" t="s">
        <v>23</v>
      </c>
      <c r="S254">
        <v>4</v>
      </c>
    </row>
    <row r="255" spans="1:19">
      <c r="A255">
        <v>255</v>
      </c>
      <c r="B255" t="s">
        <v>239</v>
      </c>
      <c r="C255">
        <v>742.53869999999995</v>
      </c>
      <c r="D255">
        <v>274.39999999999998</v>
      </c>
      <c r="E255">
        <v>-0.70961699012832502</v>
      </c>
      <c r="F255" t="s">
        <v>18</v>
      </c>
      <c r="G255" t="s">
        <v>19</v>
      </c>
      <c r="H255">
        <v>1</v>
      </c>
      <c r="I255" t="s">
        <v>20</v>
      </c>
      <c r="J255" t="s">
        <v>19</v>
      </c>
      <c r="K255">
        <v>0.99</v>
      </c>
      <c r="L255" t="s">
        <v>21</v>
      </c>
      <c r="M255" t="s">
        <v>19</v>
      </c>
      <c r="N255">
        <v>1</v>
      </c>
      <c r="O255" t="s">
        <v>40</v>
      </c>
      <c r="P255" t="s">
        <v>19</v>
      </c>
      <c r="Q255">
        <v>0.97299999999999998</v>
      </c>
      <c r="R255" t="s">
        <v>23</v>
      </c>
      <c r="S255">
        <v>4</v>
      </c>
    </row>
    <row r="256" spans="1:19">
      <c r="A256">
        <v>256</v>
      </c>
      <c r="B256" t="s">
        <v>325</v>
      </c>
      <c r="C256">
        <v>380.21850000000001</v>
      </c>
      <c r="D256">
        <v>191.3</v>
      </c>
      <c r="E256">
        <v>-0.79396630446484595</v>
      </c>
      <c r="F256" t="s">
        <v>18</v>
      </c>
      <c r="G256" t="s">
        <v>19</v>
      </c>
      <c r="H256">
        <v>1</v>
      </c>
      <c r="I256" t="s">
        <v>35</v>
      </c>
      <c r="J256" t="s">
        <v>19</v>
      </c>
      <c r="K256">
        <v>0.77</v>
      </c>
      <c r="L256" t="s">
        <v>36</v>
      </c>
      <c r="M256" t="s">
        <v>19</v>
      </c>
      <c r="N256">
        <v>1</v>
      </c>
      <c r="O256" t="s">
        <v>37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257</v>
      </c>
      <c r="B257" t="s">
        <v>326</v>
      </c>
      <c r="C257">
        <v>209.0299</v>
      </c>
      <c r="D257">
        <v>132.9</v>
      </c>
      <c r="E257">
        <v>-0.79650726418009299</v>
      </c>
      <c r="F257" t="s">
        <v>18</v>
      </c>
      <c r="G257" t="s">
        <v>19</v>
      </c>
      <c r="H257">
        <v>1</v>
      </c>
      <c r="I257" t="s">
        <v>49</v>
      </c>
      <c r="J257" t="s">
        <v>19</v>
      </c>
      <c r="K257">
        <v>0.88</v>
      </c>
      <c r="L257" t="s">
        <v>50</v>
      </c>
      <c r="M257" t="s">
        <v>19</v>
      </c>
      <c r="N257">
        <v>1</v>
      </c>
      <c r="O257" t="s">
        <v>51</v>
      </c>
      <c r="P257" t="s">
        <v>19</v>
      </c>
      <c r="Q257">
        <v>0.999</v>
      </c>
      <c r="R257" t="s">
        <v>23</v>
      </c>
      <c r="S257">
        <v>4</v>
      </c>
    </row>
    <row r="258" spans="1:19">
      <c r="A258">
        <v>258</v>
      </c>
      <c r="B258" t="s">
        <v>327</v>
      </c>
      <c r="C258">
        <v>524.37159999999994</v>
      </c>
      <c r="D258">
        <v>240.7</v>
      </c>
      <c r="E258">
        <v>-0.78611188413583499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21</v>
      </c>
      <c r="M258" t="s">
        <v>19</v>
      </c>
      <c r="N258">
        <v>1</v>
      </c>
      <c r="O258" t="s">
        <v>22</v>
      </c>
      <c r="P258" t="s">
        <v>19</v>
      </c>
      <c r="Q258">
        <v>0.99399999999999999</v>
      </c>
      <c r="R258" t="s">
        <v>23</v>
      </c>
      <c r="S258">
        <v>4</v>
      </c>
    </row>
    <row r="259" spans="1:19">
      <c r="A259">
        <v>259</v>
      </c>
      <c r="B259" t="s">
        <v>328</v>
      </c>
      <c r="C259">
        <v>232.05950000000001</v>
      </c>
      <c r="D259">
        <v>150.80000000000001</v>
      </c>
      <c r="E259">
        <v>-0.80039352012320797</v>
      </c>
      <c r="F259" t="s">
        <v>18</v>
      </c>
      <c r="G259" t="s">
        <v>19</v>
      </c>
      <c r="H259">
        <v>1</v>
      </c>
      <c r="I259" t="s">
        <v>35</v>
      </c>
      <c r="J259" t="s">
        <v>19</v>
      </c>
      <c r="K259">
        <v>0.74</v>
      </c>
      <c r="L259" t="s">
        <v>36</v>
      </c>
      <c r="M259" t="s">
        <v>19</v>
      </c>
      <c r="N259">
        <v>0.87</v>
      </c>
      <c r="O259" t="s">
        <v>37</v>
      </c>
      <c r="P259" t="s">
        <v>19</v>
      </c>
      <c r="Q259">
        <v>0.97099999999999997</v>
      </c>
      <c r="R259" t="s">
        <v>23</v>
      </c>
      <c r="S259">
        <v>4</v>
      </c>
    </row>
    <row r="260" spans="1:19">
      <c r="A260">
        <v>260</v>
      </c>
      <c r="B260" t="s">
        <v>329</v>
      </c>
      <c r="C260">
        <v>804.49450000000002</v>
      </c>
      <c r="D260">
        <v>283.89999999999998</v>
      </c>
      <c r="E260">
        <v>-0.59624012279073202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0.87</v>
      </c>
      <c r="L260" t="s">
        <v>21</v>
      </c>
      <c r="M260" t="s">
        <v>19</v>
      </c>
      <c r="N260">
        <v>1</v>
      </c>
      <c r="O260" t="s">
        <v>40</v>
      </c>
      <c r="P260" t="s">
        <v>19</v>
      </c>
      <c r="Q260">
        <v>0.74</v>
      </c>
      <c r="R260" t="s">
        <v>23</v>
      </c>
      <c r="S260">
        <v>4</v>
      </c>
    </row>
    <row r="261" spans="1:19">
      <c r="A261">
        <v>261</v>
      </c>
      <c r="B261" t="s">
        <v>330</v>
      </c>
      <c r="C261">
        <v>904.50800000000004</v>
      </c>
      <c r="D261">
        <v>297.60000000000002</v>
      </c>
      <c r="E261">
        <v>-0.49806985751320099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0.97</v>
      </c>
      <c r="L261" t="s">
        <v>21</v>
      </c>
      <c r="M261" t="s">
        <v>19</v>
      </c>
      <c r="N261">
        <v>1</v>
      </c>
      <c r="O261" t="s">
        <v>153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262</v>
      </c>
      <c r="B262" t="s">
        <v>331</v>
      </c>
      <c r="C262">
        <v>862.55499999999995</v>
      </c>
      <c r="D262">
        <v>297.7</v>
      </c>
      <c r="E262">
        <v>-0.59191256014014504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1</v>
      </c>
      <c r="L262" t="s">
        <v>21</v>
      </c>
      <c r="M262" t="s">
        <v>19</v>
      </c>
      <c r="N262">
        <v>1</v>
      </c>
      <c r="O262" t="s">
        <v>153</v>
      </c>
      <c r="P262" t="s">
        <v>19</v>
      </c>
      <c r="Q262">
        <v>0.98199999999999998</v>
      </c>
      <c r="R262" t="s">
        <v>23</v>
      </c>
      <c r="S262">
        <v>4</v>
      </c>
    </row>
    <row r="263" spans="1:19">
      <c r="A263">
        <v>263</v>
      </c>
      <c r="B263" t="s">
        <v>332</v>
      </c>
      <c r="C263">
        <v>352.04059999999998</v>
      </c>
      <c r="D263">
        <v>174.9</v>
      </c>
      <c r="E263">
        <v>-0.64752839276252405</v>
      </c>
      <c r="F263" t="s">
        <v>18</v>
      </c>
      <c r="G263" t="s">
        <v>19</v>
      </c>
      <c r="H263">
        <v>1</v>
      </c>
      <c r="I263" t="s">
        <v>58</v>
      </c>
      <c r="J263" t="s">
        <v>19</v>
      </c>
      <c r="K263">
        <v>0.97</v>
      </c>
      <c r="L263" t="s">
        <v>59</v>
      </c>
      <c r="M263" t="s">
        <v>19</v>
      </c>
      <c r="N263">
        <v>0.97</v>
      </c>
      <c r="O263" t="s">
        <v>60</v>
      </c>
      <c r="P263" t="s">
        <v>19</v>
      </c>
      <c r="Q263">
        <v>0.73899999999999999</v>
      </c>
      <c r="R263" t="s">
        <v>23</v>
      </c>
      <c r="S263">
        <v>4</v>
      </c>
    </row>
    <row r="264" spans="1:19">
      <c r="A264">
        <v>264</v>
      </c>
      <c r="B264" t="s">
        <v>333</v>
      </c>
      <c r="C264">
        <v>538.38720000000001</v>
      </c>
      <c r="D264">
        <v>244.2</v>
      </c>
      <c r="E264">
        <v>-0.78606273907018898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1</v>
      </c>
      <c r="L264" t="s">
        <v>21</v>
      </c>
      <c r="M264" t="s">
        <v>19</v>
      </c>
      <c r="N264">
        <v>1</v>
      </c>
      <c r="O264" t="s">
        <v>22</v>
      </c>
      <c r="P264" t="s">
        <v>19</v>
      </c>
      <c r="Q264">
        <v>0.97799999999999998</v>
      </c>
      <c r="R264" t="s">
        <v>23</v>
      </c>
      <c r="S264">
        <v>4</v>
      </c>
    </row>
    <row r="265" spans="1:19">
      <c r="A265">
        <v>265</v>
      </c>
      <c r="B265" t="s">
        <v>334</v>
      </c>
      <c r="C265">
        <v>496.70229999999998</v>
      </c>
      <c r="D265">
        <v>171.4</v>
      </c>
      <c r="E265">
        <v>-0.14770609412795499</v>
      </c>
      <c r="F265" t="s">
        <v>18</v>
      </c>
      <c r="G265" t="s">
        <v>19</v>
      </c>
      <c r="H265">
        <v>0.97599999999999998</v>
      </c>
      <c r="I265" t="s">
        <v>25</v>
      </c>
      <c r="J265" t="s">
        <v>19</v>
      </c>
      <c r="K265">
        <v>0.86</v>
      </c>
      <c r="L265" t="s">
        <v>26</v>
      </c>
      <c r="M265" t="s">
        <v>19</v>
      </c>
      <c r="N265">
        <v>1</v>
      </c>
      <c r="O265" t="s">
        <v>246</v>
      </c>
      <c r="P265" t="s">
        <v>19</v>
      </c>
      <c r="Q265">
        <v>0.999</v>
      </c>
      <c r="R265" t="s">
        <v>23</v>
      </c>
      <c r="S265">
        <v>4</v>
      </c>
    </row>
    <row r="266" spans="1:19">
      <c r="A266">
        <v>266</v>
      </c>
      <c r="B266" t="s">
        <v>335</v>
      </c>
      <c r="C266">
        <v>822.44740000000002</v>
      </c>
      <c r="D266">
        <v>280</v>
      </c>
      <c r="E266">
        <v>-0.529094777857267</v>
      </c>
      <c r="F266" t="s">
        <v>18</v>
      </c>
      <c r="G266" t="s">
        <v>19</v>
      </c>
      <c r="H266">
        <v>1</v>
      </c>
      <c r="I266" t="s">
        <v>35</v>
      </c>
      <c r="J266" t="s">
        <v>19</v>
      </c>
      <c r="K266">
        <v>0.98</v>
      </c>
      <c r="L266" t="s">
        <v>36</v>
      </c>
      <c r="M266" t="s">
        <v>19</v>
      </c>
      <c r="N266">
        <v>0.99</v>
      </c>
      <c r="O266" t="s">
        <v>37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267</v>
      </c>
      <c r="B267" t="s">
        <v>336</v>
      </c>
      <c r="C267">
        <v>508.988</v>
      </c>
      <c r="D267">
        <v>193.1</v>
      </c>
      <c r="E267">
        <v>-0.41968847222574401</v>
      </c>
      <c r="F267" t="s">
        <v>18</v>
      </c>
      <c r="G267" t="s">
        <v>19</v>
      </c>
      <c r="H267">
        <v>1</v>
      </c>
      <c r="I267" t="s">
        <v>58</v>
      </c>
      <c r="J267" t="s">
        <v>19</v>
      </c>
      <c r="K267">
        <v>1</v>
      </c>
      <c r="L267" t="s">
        <v>59</v>
      </c>
      <c r="M267" t="s">
        <v>19</v>
      </c>
      <c r="N267">
        <v>0.99</v>
      </c>
      <c r="O267" t="s">
        <v>67</v>
      </c>
      <c r="P267" t="s">
        <v>19</v>
      </c>
      <c r="Q267">
        <v>0.86099999999999999</v>
      </c>
      <c r="R267" t="s">
        <v>23</v>
      </c>
      <c r="S267">
        <v>4</v>
      </c>
    </row>
    <row r="268" spans="1:19">
      <c r="A268">
        <v>268</v>
      </c>
      <c r="B268" t="s">
        <v>337</v>
      </c>
      <c r="C268">
        <v>795.63559999999995</v>
      </c>
      <c r="D268">
        <v>295.7</v>
      </c>
      <c r="E268">
        <v>-0.74723154457933605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1</v>
      </c>
      <c r="L268" t="s">
        <v>32</v>
      </c>
      <c r="M268" t="s">
        <v>19</v>
      </c>
      <c r="N268">
        <v>0.98</v>
      </c>
      <c r="O268" t="s">
        <v>33</v>
      </c>
      <c r="P268" t="s">
        <v>19</v>
      </c>
      <c r="Q268">
        <v>0.92500000000000004</v>
      </c>
      <c r="R268" t="s">
        <v>23</v>
      </c>
      <c r="S268">
        <v>4</v>
      </c>
    </row>
    <row r="269" spans="1:19">
      <c r="A269">
        <v>269</v>
      </c>
      <c r="B269" t="s">
        <v>338</v>
      </c>
      <c r="C269">
        <v>769.476</v>
      </c>
      <c r="D269">
        <v>277.2</v>
      </c>
      <c r="E269">
        <v>-0.616840096140436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0.94</v>
      </c>
      <c r="L269" t="s">
        <v>21</v>
      </c>
      <c r="M269" t="s">
        <v>19</v>
      </c>
      <c r="N269">
        <v>1</v>
      </c>
      <c r="O269" t="s">
        <v>93</v>
      </c>
      <c r="P269" t="s">
        <v>19</v>
      </c>
      <c r="Q269">
        <v>0.625</v>
      </c>
      <c r="R269" t="s">
        <v>23</v>
      </c>
      <c r="S269">
        <v>4</v>
      </c>
    </row>
    <row r="270" spans="1:19">
      <c r="A270">
        <v>270</v>
      </c>
      <c r="B270" t="s">
        <v>339</v>
      </c>
      <c r="C270">
        <v>1046.6155000000001</v>
      </c>
      <c r="D270">
        <v>332.1</v>
      </c>
      <c r="E270">
        <v>-0.44689945578829798</v>
      </c>
      <c r="F270" t="s">
        <v>18</v>
      </c>
      <c r="G270" t="s">
        <v>19</v>
      </c>
      <c r="H270">
        <v>1</v>
      </c>
      <c r="I270" t="s">
        <v>35</v>
      </c>
      <c r="J270" t="s">
        <v>19</v>
      </c>
      <c r="K270">
        <v>1</v>
      </c>
      <c r="L270" t="s">
        <v>148</v>
      </c>
      <c r="M270" t="s">
        <v>19</v>
      </c>
      <c r="N270">
        <v>0.98</v>
      </c>
      <c r="O270" t="s">
        <v>149</v>
      </c>
      <c r="P270" t="s">
        <v>19</v>
      </c>
      <c r="Q270">
        <v>0.999</v>
      </c>
      <c r="R270" t="s">
        <v>23</v>
      </c>
      <c r="S270">
        <v>4</v>
      </c>
    </row>
    <row r="271" spans="1:19">
      <c r="A271">
        <v>271</v>
      </c>
      <c r="B271" t="s">
        <v>340</v>
      </c>
      <c r="C271">
        <v>429.01769999999999</v>
      </c>
      <c r="D271">
        <v>186.5</v>
      </c>
      <c r="E271">
        <v>-0.53867946409502598</v>
      </c>
      <c r="F271" t="s">
        <v>18</v>
      </c>
      <c r="G271" t="s">
        <v>19</v>
      </c>
      <c r="H271">
        <v>1</v>
      </c>
      <c r="I271" t="s">
        <v>58</v>
      </c>
      <c r="J271" t="s">
        <v>19</v>
      </c>
      <c r="K271">
        <v>0.92</v>
      </c>
      <c r="L271" t="s">
        <v>59</v>
      </c>
      <c r="M271" t="s">
        <v>19</v>
      </c>
      <c r="N271">
        <v>0.97</v>
      </c>
      <c r="O271" t="s">
        <v>67</v>
      </c>
      <c r="P271" t="s">
        <v>19</v>
      </c>
      <c r="Q271">
        <v>0.78200000000000003</v>
      </c>
      <c r="R271" t="s">
        <v>23</v>
      </c>
      <c r="S271">
        <v>4</v>
      </c>
    </row>
    <row r="272" spans="1:19">
      <c r="A272">
        <v>272</v>
      </c>
      <c r="B272" t="s">
        <v>341</v>
      </c>
      <c r="C272">
        <v>253.00890000000001</v>
      </c>
      <c r="D272">
        <v>153.4</v>
      </c>
      <c r="E272">
        <v>-0.72640242736667904</v>
      </c>
      <c r="F272" t="s">
        <v>18</v>
      </c>
      <c r="G272" t="s">
        <v>19</v>
      </c>
      <c r="H272">
        <v>1</v>
      </c>
      <c r="I272" t="s">
        <v>49</v>
      </c>
      <c r="J272" t="s">
        <v>19</v>
      </c>
      <c r="K272">
        <v>0.88</v>
      </c>
      <c r="L272" t="s">
        <v>50</v>
      </c>
      <c r="M272" t="s">
        <v>19</v>
      </c>
      <c r="N272">
        <v>1</v>
      </c>
      <c r="O272" t="s">
        <v>51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273</v>
      </c>
      <c r="B273" t="s">
        <v>342</v>
      </c>
      <c r="C273">
        <v>647.22619999999995</v>
      </c>
      <c r="D273">
        <v>362</v>
      </c>
      <c r="E273">
        <v>-0.50353834483803395</v>
      </c>
      <c r="F273" t="s">
        <v>18</v>
      </c>
      <c r="G273" t="s">
        <v>19</v>
      </c>
      <c r="H273">
        <v>1</v>
      </c>
      <c r="I273" t="s">
        <v>35</v>
      </c>
      <c r="J273" t="s">
        <v>19</v>
      </c>
      <c r="K273">
        <v>1</v>
      </c>
      <c r="L273" t="s">
        <v>148</v>
      </c>
      <c r="M273" t="s">
        <v>19</v>
      </c>
      <c r="N273">
        <v>1</v>
      </c>
      <c r="O273" t="s">
        <v>149</v>
      </c>
      <c r="P273" t="s">
        <v>19</v>
      </c>
      <c r="Q273">
        <v>0.999</v>
      </c>
      <c r="R273" t="s">
        <v>23</v>
      </c>
      <c r="S273">
        <v>4</v>
      </c>
    </row>
    <row r="274" spans="1:19">
      <c r="A274">
        <v>274</v>
      </c>
      <c r="B274" t="s">
        <v>267</v>
      </c>
      <c r="C274">
        <v>856.50800000000004</v>
      </c>
      <c r="D274">
        <v>291</v>
      </c>
      <c r="E274">
        <v>-0.55166434959005495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1</v>
      </c>
      <c r="L274" t="s">
        <v>21</v>
      </c>
      <c r="M274" t="s">
        <v>19</v>
      </c>
      <c r="N274">
        <v>1</v>
      </c>
      <c r="O274" t="s">
        <v>153</v>
      </c>
      <c r="P274" t="s">
        <v>19</v>
      </c>
      <c r="Q274">
        <v>0.98399999999999999</v>
      </c>
      <c r="R274" t="s">
        <v>23</v>
      </c>
      <c r="S274">
        <v>4</v>
      </c>
    </row>
    <row r="275" spans="1:19">
      <c r="A275">
        <v>275</v>
      </c>
      <c r="B275" t="s">
        <v>343</v>
      </c>
      <c r="C275">
        <v>381.07929999999999</v>
      </c>
      <c r="D275">
        <v>180.6</v>
      </c>
      <c r="E275">
        <v>-0.65380517657359905</v>
      </c>
      <c r="F275" t="s">
        <v>18</v>
      </c>
      <c r="G275" t="s">
        <v>19</v>
      </c>
      <c r="H275">
        <v>1</v>
      </c>
      <c r="I275" t="s">
        <v>49</v>
      </c>
      <c r="J275" t="s">
        <v>19</v>
      </c>
      <c r="K275">
        <v>0.97</v>
      </c>
      <c r="L275" t="s">
        <v>50</v>
      </c>
      <c r="M275" t="s">
        <v>19</v>
      </c>
      <c r="N275">
        <v>1</v>
      </c>
      <c r="O275" t="s">
        <v>51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276</v>
      </c>
      <c r="B276" t="s">
        <v>344</v>
      </c>
      <c r="C276">
        <v>140.06700000000001</v>
      </c>
      <c r="D276">
        <v>133.80000000000001</v>
      </c>
      <c r="E276">
        <v>-0.91060792246426603</v>
      </c>
      <c r="F276" t="s">
        <v>18</v>
      </c>
      <c r="G276" t="s">
        <v>19</v>
      </c>
      <c r="H276">
        <v>1</v>
      </c>
      <c r="I276" t="s">
        <v>35</v>
      </c>
      <c r="J276" t="s">
        <v>19</v>
      </c>
      <c r="K276">
        <v>0.96</v>
      </c>
      <c r="L276" t="s">
        <v>36</v>
      </c>
      <c r="M276" t="s">
        <v>19</v>
      </c>
      <c r="N276">
        <v>1</v>
      </c>
      <c r="O276" t="s">
        <v>37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277</v>
      </c>
      <c r="B277" t="s">
        <v>345</v>
      </c>
      <c r="C277">
        <v>130.08680000000001</v>
      </c>
      <c r="D277">
        <v>130.5</v>
      </c>
      <c r="E277">
        <v>-0.94155133391893697</v>
      </c>
      <c r="F277" t="s">
        <v>18</v>
      </c>
      <c r="G277" t="s">
        <v>19</v>
      </c>
      <c r="H277">
        <v>1</v>
      </c>
      <c r="I277" t="s">
        <v>35</v>
      </c>
      <c r="J277" t="s">
        <v>19</v>
      </c>
      <c r="K277">
        <v>1</v>
      </c>
      <c r="L277" t="s">
        <v>36</v>
      </c>
      <c r="M277" t="s">
        <v>19</v>
      </c>
      <c r="N277">
        <v>1</v>
      </c>
      <c r="O277" t="s">
        <v>37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278</v>
      </c>
      <c r="B278" t="s">
        <v>346</v>
      </c>
      <c r="C278">
        <v>277.10169999999999</v>
      </c>
      <c r="D278">
        <v>155.5</v>
      </c>
      <c r="E278">
        <v>-0.79230156531025397</v>
      </c>
      <c r="F278" t="s">
        <v>18</v>
      </c>
      <c r="G278" t="s">
        <v>19</v>
      </c>
      <c r="H278">
        <v>1</v>
      </c>
      <c r="I278" t="s">
        <v>25</v>
      </c>
      <c r="J278" t="s">
        <v>19</v>
      </c>
      <c r="K278">
        <v>0.74</v>
      </c>
      <c r="L278" t="s">
        <v>29</v>
      </c>
      <c r="M278" t="s">
        <v>19</v>
      </c>
      <c r="N278">
        <v>0.7</v>
      </c>
      <c r="O278" t="s">
        <v>30</v>
      </c>
      <c r="P278" t="s">
        <v>19</v>
      </c>
      <c r="Q278">
        <v>0.99299999999999999</v>
      </c>
      <c r="R278" t="s">
        <v>23</v>
      </c>
      <c r="S278">
        <v>4</v>
      </c>
    </row>
    <row r="279" spans="1:19">
      <c r="A279">
        <v>279</v>
      </c>
      <c r="B279" t="s">
        <v>347</v>
      </c>
      <c r="C279">
        <v>415.15390000000002</v>
      </c>
      <c r="D279">
        <v>217.4</v>
      </c>
      <c r="E279">
        <v>-0.69035911657948601</v>
      </c>
      <c r="F279" t="s">
        <v>18</v>
      </c>
      <c r="G279" t="s">
        <v>19</v>
      </c>
      <c r="H279">
        <v>1</v>
      </c>
      <c r="I279" t="s">
        <v>43</v>
      </c>
      <c r="J279" t="s">
        <v>19</v>
      </c>
      <c r="K279">
        <v>0.64</v>
      </c>
      <c r="L279" t="s">
        <v>235</v>
      </c>
      <c r="M279" t="s">
        <v>19</v>
      </c>
      <c r="N279">
        <v>0.9</v>
      </c>
      <c r="O279" t="s">
        <v>236</v>
      </c>
      <c r="P279" t="s">
        <v>19</v>
      </c>
      <c r="Q279">
        <v>0.97099999999999997</v>
      </c>
      <c r="R279" t="s">
        <v>23</v>
      </c>
      <c r="S279">
        <v>4</v>
      </c>
    </row>
    <row r="280" spans="1:19">
      <c r="A280">
        <v>280</v>
      </c>
      <c r="B280" t="s">
        <v>312</v>
      </c>
      <c r="C280">
        <v>823.64239999999995</v>
      </c>
      <c r="D280">
        <v>301.5</v>
      </c>
      <c r="E280">
        <v>-0.72276049831486899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1</v>
      </c>
      <c r="L280" t="s">
        <v>32</v>
      </c>
      <c r="M280" t="s">
        <v>19</v>
      </c>
      <c r="N280">
        <v>0.99</v>
      </c>
      <c r="O280" t="s">
        <v>33</v>
      </c>
      <c r="P280" t="s">
        <v>19</v>
      </c>
      <c r="Q280">
        <v>0.71899999999999997</v>
      </c>
      <c r="R280" t="s">
        <v>23</v>
      </c>
      <c r="S280">
        <v>4</v>
      </c>
    </row>
    <row r="281" spans="1:19">
      <c r="A281">
        <v>281</v>
      </c>
      <c r="B281" t="s">
        <v>348</v>
      </c>
      <c r="C281">
        <v>507.2278</v>
      </c>
      <c r="D281">
        <v>196.3</v>
      </c>
      <c r="E281">
        <v>-0.66145382691223598</v>
      </c>
      <c r="F281" t="s">
        <v>18</v>
      </c>
      <c r="G281" t="s">
        <v>19</v>
      </c>
      <c r="H281">
        <v>1</v>
      </c>
      <c r="I281" t="s">
        <v>49</v>
      </c>
      <c r="J281" t="s">
        <v>19</v>
      </c>
      <c r="K281">
        <v>0.84</v>
      </c>
      <c r="L281" t="s">
        <v>50</v>
      </c>
      <c r="M281" t="s">
        <v>19</v>
      </c>
      <c r="N281">
        <v>1</v>
      </c>
      <c r="O281" t="s">
        <v>51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282</v>
      </c>
      <c r="B282" t="s">
        <v>349</v>
      </c>
      <c r="C282">
        <v>302.30459999999999</v>
      </c>
      <c r="D282">
        <v>188.9</v>
      </c>
      <c r="E282">
        <v>-0.96706121896943398</v>
      </c>
      <c r="F282" t="s">
        <v>18</v>
      </c>
      <c r="G282" t="s">
        <v>19</v>
      </c>
      <c r="H282">
        <v>1</v>
      </c>
      <c r="I282" t="s">
        <v>177</v>
      </c>
      <c r="J282" t="s">
        <v>19</v>
      </c>
      <c r="K282">
        <v>0.56000000000000005</v>
      </c>
      <c r="L282" t="s">
        <v>178</v>
      </c>
      <c r="M282" t="s">
        <v>19</v>
      </c>
      <c r="N282">
        <v>0.98</v>
      </c>
      <c r="O282" t="s">
        <v>179</v>
      </c>
      <c r="P282" t="s">
        <v>19</v>
      </c>
      <c r="Q282">
        <v>0.94599999999999995</v>
      </c>
      <c r="R282" t="s">
        <v>23</v>
      </c>
      <c r="S282">
        <v>4</v>
      </c>
    </row>
    <row r="283" spans="1:19">
      <c r="A283">
        <v>283</v>
      </c>
      <c r="B283" t="s">
        <v>350</v>
      </c>
      <c r="C283">
        <v>730.57079999999996</v>
      </c>
      <c r="D283">
        <v>271.7</v>
      </c>
      <c r="E283">
        <v>-0.75507977183099195</v>
      </c>
      <c r="F283" t="s">
        <v>18</v>
      </c>
      <c r="G283" t="s">
        <v>19</v>
      </c>
      <c r="H283">
        <v>1</v>
      </c>
      <c r="I283" t="s">
        <v>20</v>
      </c>
      <c r="J283" t="s">
        <v>19</v>
      </c>
      <c r="K283">
        <v>1</v>
      </c>
      <c r="L283" t="s">
        <v>21</v>
      </c>
      <c r="M283" t="s">
        <v>19</v>
      </c>
      <c r="N283">
        <v>1</v>
      </c>
      <c r="O283" t="s">
        <v>40</v>
      </c>
      <c r="P283" t="s">
        <v>19</v>
      </c>
      <c r="Q283">
        <v>0.97299999999999998</v>
      </c>
      <c r="R283" t="s">
        <v>23</v>
      </c>
      <c r="S283">
        <v>4</v>
      </c>
    </row>
    <row r="284" spans="1:19">
      <c r="A284">
        <v>284</v>
      </c>
      <c r="B284" t="s">
        <v>351</v>
      </c>
      <c r="C284">
        <v>535.26549999999997</v>
      </c>
      <c r="D284">
        <v>239.6</v>
      </c>
      <c r="E284">
        <v>-0.66784827919343603</v>
      </c>
      <c r="F284" t="s">
        <v>18</v>
      </c>
      <c r="G284" t="s">
        <v>19</v>
      </c>
      <c r="H284">
        <v>1</v>
      </c>
      <c r="I284" t="s">
        <v>25</v>
      </c>
      <c r="J284" t="s">
        <v>19</v>
      </c>
      <c r="K284">
        <v>0.8</v>
      </c>
      <c r="L284" t="s">
        <v>26</v>
      </c>
      <c r="M284" t="s">
        <v>19</v>
      </c>
      <c r="N284">
        <v>0.85</v>
      </c>
      <c r="O284" t="s">
        <v>129</v>
      </c>
      <c r="P284" t="s">
        <v>19</v>
      </c>
      <c r="Q284">
        <v>0.98599999999999999</v>
      </c>
      <c r="R284" t="s">
        <v>23</v>
      </c>
      <c r="S284">
        <v>4</v>
      </c>
    </row>
    <row r="285" spans="1:19">
      <c r="A285">
        <v>285</v>
      </c>
      <c r="B285" t="s">
        <v>352</v>
      </c>
      <c r="C285">
        <v>369.22770000000003</v>
      </c>
      <c r="D285">
        <v>193.8</v>
      </c>
      <c r="E285">
        <v>-0.81543810328815902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1</v>
      </c>
      <c r="L285" t="s">
        <v>53</v>
      </c>
      <c r="M285" t="s">
        <v>19</v>
      </c>
      <c r="N285">
        <v>0.99</v>
      </c>
      <c r="O285" t="s">
        <v>192</v>
      </c>
      <c r="P285" t="s">
        <v>19</v>
      </c>
      <c r="Q285">
        <v>0.81100000000000005</v>
      </c>
      <c r="R285" t="s">
        <v>23</v>
      </c>
      <c r="S285">
        <v>4</v>
      </c>
    </row>
    <row r="286" spans="1:19">
      <c r="A286">
        <v>286</v>
      </c>
      <c r="B286" t="s">
        <v>353</v>
      </c>
      <c r="C286">
        <v>793.476</v>
      </c>
      <c r="D286">
        <v>281.7</v>
      </c>
      <c r="E286">
        <v>-0.59004285010212199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0.89</v>
      </c>
      <c r="L286" t="s">
        <v>21</v>
      </c>
      <c r="M286" t="s">
        <v>19</v>
      </c>
      <c r="N286">
        <v>1</v>
      </c>
      <c r="O286" t="s">
        <v>93</v>
      </c>
      <c r="P286" t="s">
        <v>19</v>
      </c>
      <c r="Q286">
        <v>0.55200000000000005</v>
      </c>
      <c r="R286" t="s">
        <v>23</v>
      </c>
      <c r="S286">
        <v>4</v>
      </c>
    </row>
    <row r="287" spans="1:19">
      <c r="A287">
        <v>287</v>
      </c>
      <c r="B287" t="s">
        <v>354</v>
      </c>
      <c r="C287">
        <v>874.65369999999996</v>
      </c>
      <c r="D287">
        <v>304.3</v>
      </c>
      <c r="E287">
        <v>-0.67710373344664299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1</v>
      </c>
      <c r="L287" t="s">
        <v>21</v>
      </c>
      <c r="M287" t="s">
        <v>19</v>
      </c>
      <c r="N287">
        <v>0.83</v>
      </c>
      <c r="O287" t="s">
        <v>153</v>
      </c>
      <c r="P287" t="s">
        <v>19</v>
      </c>
      <c r="Q287">
        <v>0.86799999999999999</v>
      </c>
      <c r="R287" t="s">
        <v>23</v>
      </c>
      <c r="S287">
        <v>4</v>
      </c>
    </row>
    <row r="288" spans="1:19">
      <c r="A288">
        <v>288</v>
      </c>
      <c r="B288" t="s">
        <v>355</v>
      </c>
      <c r="C288">
        <v>743.46040000000005</v>
      </c>
      <c r="D288">
        <v>272.8</v>
      </c>
      <c r="E288">
        <v>-0.63028786422535199</v>
      </c>
      <c r="F288" t="s">
        <v>18</v>
      </c>
      <c r="G288" t="s">
        <v>19</v>
      </c>
      <c r="H288">
        <v>1</v>
      </c>
      <c r="I288" t="s">
        <v>20</v>
      </c>
      <c r="J288" t="s">
        <v>19</v>
      </c>
      <c r="K288">
        <v>0.89</v>
      </c>
      <c r="L288" t="s">
        <v>21</v>
      </c>
      <c r="M288" t="s">
        <v>19</v>
      </c>
      <c r="N288">
        <v>1</v>
      </c>
      <c r="O288" t="s">
        <v>93</v>
      </c>
      <c r="P288" t="s">
        <v>19</v>
      </c>
      <c r="Q288">
        <v>0.88900000000000001</v>
      </c>
      <c r="R288" t="s">
        <v>23</v>
      </c>
      <c r="S288">
        <v>4</v>
      </c>
    </row>
    <row r="289" spans="1:19">
      <c r="A289">
        <v>289</v>
      </c>
      <c r="B289" t="s">
        <v>356</v>
      </c>
      <c r="C289">
        <v>367.22489999999999</v>
      </c>
      <c r="D289">
        <v>188.9</v>
      </c>
      <c r="E289">
        <v>-0.81487433347001603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0.99</v>
      </c>
      <c r="L289" t="s">
        <v>53</v>
      </c>
      <c r="M289" t="s">
        <v>19</v>
      </c>
      <c r="N289">
        <v>0.8</v>
      </c>
      <c r="O289" t="s">
        <v>54</v>
      </c>
      <c r="P289" t="s">
        <v>19</v>
      </c>
      <c r="Q289">
        <v>0.85199999999999998</v>
      </c>
      <c r="R289" t="s">
        <v>23</v>
      </c>
      <c r="S289">
        <v>4</v>
      </c>
    </row>
    <row r="290" spans="1:19">
      <c r="A290">
        <v>290</v>
      </c>
      <c r="B290" t="s">
        <v>357</v>
      </c>
      <c r="C290">
        <v>806.49239999999998</v>
      </c>
      <c r="D290">
        <v>283</v>
      </c>
      <c r="E290">
        <v>-0.59190936371317104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0.96</v>
      </c>
      <c r="L290" t="s">
        <v>21</v>
      </c>
      <c r="M290" t="s">
        <v>19</v>
      </c>
      <c r="N290">
        <v>1</v>
      </c>
      <c r="O290" t="s">
        <v>153</v>
      </c>
      <c r="P290" t="s">
        <v>19</v>
      </c>
      <c r="Q290">
        <v>0.66200000000000003</v>
      </c>
      <c r="R290" t="s">
        <v>23</v>
      </c>
      <c r="S290">
        <v>4</v>
      </c>
    </row>
    <row r="291" spans="1:19">
      <c r="A291">
        <v>291</v>
      </c>
      <c r="B291" t="s">
        <v>358</v>
      </c>
      <c r="C291">
        <v>242.0617</v>
      </c>
      <c r="D291">
        <v>146</v>
      </c>
      <c r="E291">
        <v>-0.79142554452630498</v>
      </c>
      <c r="F291" t="s">
        <v>18</v>
      </c>
      <c r="G291" t="s">
        <v>19</v>
      </c>
      <c r="H291">
        <v>1</v>
      </c>
      <c r="I291" t="s">
        <v>35</v>
      </c>
      <c r="J291" t="s">
        <v>19</v>
      </c>
      <c r="K291">
        <v>0.89</v>
      </c>
      <c r="L291" t="s">
        <v>36</v>
      </c>
      <c r="M291" t="s">
        <v>19</v>
      </c>
      <c r="N291">
        <v>1</v>
      </c>
      <c r="O291" t="s">
        <v>37</v>
      </c>
      <c r="P291" t="s">
        <v>19</v>
      </c>
      <c r="Q291">
        <v>0.97799999999999998</v>
      </c>
      <c r="R291" t="s">
        <v>23</v>
      </c>
      <c r="S291">
        <v>4</v>
      </c>
    </row>
    <row r="292" spans="1:19">
      <c r="A292">
        <v>292</v>
      </c>
      <c r="B292" t="s">
        <v>359</v>
      </c>
      <c r="C292">
        <v>756.55190000000005</v>
      </c>
      <c r="D292">
        <v>281.7</v>
      </c>
      <c r="E292">
        <v>-0.70717052478744302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1</v>
      </c>
      <c r="L292" t="s">
        <v>21</v>
      </c>
      <c r="M292" t="s">
        <v>19</v>
      </c>
      <c r="N292">
        <v>1</v>
      </c>
      <c r="O292" t="s">
        <v>22</v>
      </c>
      <c r="P292" t="s">
        <v>19</v>
      </c>
      <c r="Q292">
        <v>0.72599999999999998</v>
      </c>
      <c r="R292" t="s">
        <v>23</v>
      </c>
      <c r="S292">
        <v>4</v>
      </c>
    </row>
    <row r="293" spans="1:19">
      <c r="A293">
        <v>293</v>
      </c>
      <c r="B293" t="s">
        <v>288</v>
      </c>
      <c r="C293">
        <v>181.07210000000001</v>
      </c>
      <c r="D293">
        <v>137.1</v>
      </c>
      <c r="E293">
        <v>-0.86992359940057895</v>
      </c>
      <c r="F293" t="s">
        <v>18</v>
      </c>
      <c r="G293" t="s">
        <v>19</v>
      </c>
      <c r="H293">
        <v>1</v>
      </c>
      <c r="I293" t="s">
        <v>43</v>
      </c>
      <c r="J293" t="s">
        <v>19</v>
      </c>
      <c r="K293">
        <v>0.83</v>
      </c>
      <c r="L293" t="s">
        <v>97</v>
      </c>
      <c r="M293" t="s">
        <v>19</v>
      </c>
      <c r="N293">
        <v>0.91</v>
      </c>
      <c r="O293" t="s">
        <v>98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294</v>
      </c>
      <c r="B294" t="s">
        <v>213</v>
      </c>
      <c r="C294">
        <v>167.03870000000001</v>
      </c>
      <c r="D294">
        <v>130</v>
      </c>
      <c r="E294">
        <v>-0.85219261909037403</v>
      </c>
      <c r="F294" t="s">
        <v>18</v>
      </c>
      <c r="G294" t="s">
        <v>19</v>
      </c>
      <c r="H294">
        <v>1</v>
      </c>
      <c r="I294" t="s">
        <v>43</v>
      </c>
      <c r="J294" t="s">
        <v>19</v>
      </c>
      <c r="K294">
        <v>0.75</v>
      </c>
      <c r="L294" t="s">
        <v>97</v>
      </c>
      <c r="M294" t="s">
        <v>19</v>
      </c>
      <c r="N294">
        <v>0.76</v>
      </c>
      <c r="O294" t="s">
        <v>98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295</v>
      </c>
      <c r="B295" t="s">
        <v>360</v>
      </c>
      <c r="C295">
        <v>832.50800000000004</v>
      </c>
      <c r="D295">
        <v>288.2</v>
      </c>
      <c r="E295">
        <v>-0.57846159562836896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0.99</v>
      </c>
      <c r="L295" t="s">
        <v>21</v>
      </c>
      <c r="M295" t="s">
        <v>19</v>
      </c>
      <c r="N295">
        <v>1</v>
      </c>
      <c r="O295" t="s">
        <v>153</v>
      </c>
      <c r="P295" t="s">
        <v>19</v>
      </c>
      <c r="Q295">
        <v>0.84499999999999997</v>
      </c>
      <c r="R295" t="s">
        <v>23</v>
      </c>
      <c r="S295">
        <v>4</v>
      </c>
    </row>
    <row r="296" spans="1:19">
      <c r="A296">
        <v>296</v>
      </c>
      <c r="B296" t="s">
        <v>361</v>
      </c>
      <c r="C296">
        <v>151.0402</v>
      </c>
      <c r="D296">
        <v>127.7</v>
      </c>
      <c r="E296">
        <v>-0.87155577495474301</v>
      </c>
      <c r="F296" t="s">
        <v>18</v>
      </c>
      <c r="G296" t="s">
        <v>19</v>
      </c>
      <c r="H296">
        <v>0.99199999999999999</v>
      </c>
      <c r="I296" t="s">
        <v>25</v>
      </c>
      <c r="J296" t="s">
        <v>19</v>
      </c>
      <c r="K296">
        <v>0.68</v>
      </c>
      <c r="L296" t="s">
        <v>194</v>
      </c>
      <c r="M296" t="s">
        <v>19</v>
      </c>
      <c r="N296">
        <v>0.55000000000000004</v>
      </c>
      <c r="O296" t="s">
        <v>195</v>
      </c>
      <c r="P296" t="s">
        <v>19</v>
      </c>
      <c r="Q296">
        <v>0.997</v>
      </c>
      <c r="R296" t="s">
        <v>23</v>
      </c>
      <c r="S296">
        <v>4</v>
      </c>
    </row>
    <row r="297" spans="1:19">
      <c r="A297">
        <v>297</v>
      </c>
      <c r="B297" t="s">
        <v>362</v>
      </c>
      <c r="C297">
        <v>428.03300000000002</v>
      </c>
      <c r="D297">
        <v>187.2</v>
      </c>
      <c r="E297">
        <v>-0.55507893276893605</v>
      </c>
      <c r="F297" t="s">
        <v>18</v>
      </c>
      <c r="G297" t="s">
        <v>19</v>
      </c>
      <c r="H297">
        <v>1</v>
      </c>
      <c r="I297" t="s">
        <v>58</v>
      </c>
      <c r="J297" t="s">
        <v>19</v>
      </c>
      <c r="K297">
        <v>0.99</v>
      </c>
      <c r="L297" t="s">
        <v>59</v>
      </c>
      <c r="M297" t="s">
        <v>19</v>
      </c>
      <c r="N297">
        <v>0.87</v>
      </c>
      <c r="O297" t="s">
        <v>67</v>
      </c>
      <c r="P297" t="s">
        <v>19</v>
      </c>
      <c r="Q297">
        <v>0.754</v>
      </c>
      <c r="R297" t="s">
        <v>23</v>
      </c>
      <c r="S297">
        <v>4</v>
      </c>
    </row>
    <row r="298" spans="1:19">
      <c r="A298">
        <v>298</v>
      </c>
      <c r="B298" t="s">
        <v>221</v>
      </c>
      <c r="C298">
        <v>327.23</v>
      </c>
      <c r="D298">
        <v>180</v>
      </c>
      <c r="E298">
        <v>-0.86463071578589301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0.95</v>
      </c>
      <c r="L298" t="s">
        <v>53</v>
      </c>
      <c r="M298" t="s">
        <v>19</v>
      </c>
      <c r="N298">
        <v>1</v>
      </c>
      <c r="O298" t="s">
        <v>54</v>
      </c>
      <c r="P298" t="s">
        <v>19</v>
      </c>
      <c r="Q298">
        <v>0.90500000000000003</v>
      </c>
      <c r="R298" t="s">
        <v>23</v>
      </c>
      <c r="S298">
        <v>4</v>
      </c>
    </row>
    <row r="299" spans="1:19">
      <c r="A299">
        <v>299</v>
      </c>
      <c r="B299" t="s">
        <v>363</v>
      </c>
      <c r="C299">
        <v>487.1</v>
      </c>
      <c r="D299">
        <v>205.9</v>
      </c>
      <c r="E299">
        <v>-0.55612756061276503</v>
      </c>
      <c r="F299" t="s">
        <v>18</v>
      </c>
      <c r="G299" t="s">
        <v>19</v>
      </c>
      <c r="H299">
        <v>1</v>
      </c>
      <c r="I299" t="s">
        <v>58</v>
      </c>
      <c r="J299" t="s">
        <v>19</v>
      </c>
      <c r="K299">
        <v>0.99</v>
      </c>
      <c r="L299" t="s">
        <v>133</v>
      </c>
      <c r="M299" t="s">
        <v>19</v>
      </c>
      <c r="N299">
        <v>0.91</v>
      </c>
      <c r="O299" t="s">
        <v>134</v>
      </c>
      <c r="P299" t="s">
        <v>19</v>
      </c>
      <c r="Q299">
        <v>0.996</v>
      </c>
      <c r="R299" t="s">
        <v>23</v>
      </c>
      <c r="S299">
        <v>4</v>
      </c>
    </row>
    <row r="300" spans="1:19">
      <c r="A300">
        <v>300</v>
      </c>
      <c r="B300" t="s">
        <v>364</v>
      </c>
      <c r="C300">
        <v>204.124</v>
      </c>
      <c r="D300">
        <v>145.4</v>
      </c>
      <c r="E300">
        <v>-0.89608495623591</v>
      </c>
      <c r="F300" t="s">
        <v>18</v>
      </c>
      <c r="G300" t="s">
        <v>19</v>
      </c>
      <c r="H300">
        <v>1</v>
      </c>
      <c r="I300" t="s">
        <v>43</v>
      </c>
      <c r="J300" t="s">
        <v>19</v>
      </c>
      <c r="K300">
        <v>0.85</v>
      </c>
      <c r="L300" t="s">
        <v>97</v>
      </c>
      <c r="M300" t="s">
        <v>19</v>
      </c>
      <c r="N300">
        <v>0.49</v>
      </c>
      <c r="O300" t="s">
        <v>98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301</v>
      </c>
      <c r="B301" t="s">
        <v>365</v>
      </c>
      <c r="C301">
        <v>174.04079999999999</v>
      </c>
      <c r="D301">
        <v>131.30000000000001</v>
      </c>
      <c r="E301">
        <v>-0.84647441090348297</v>
      </c>
      <c r="F301" t="s">
        <v>18</v>
      </c>
      <c r="G301" t="s">
        <v>19</v>
      </c>
      <c r="H301">
        <v>1</v>
      </c>
      <c r="I301" t="s">
        <v>35</v>
      </c>
      <c r="J301" t="s">
        <v>19</v>
      </c>
      <c r="K301">
        <v>0.7</v>
      </c>
      <c r="L301" t="s">
        <v>36</v>
      </c>
      <c r="M301" t="s">
        <v>19</v>
      </c>
      <c r="N301">
        <v>1</v>
      </c>
      <c r="O301" t="s">
        <v>37</v>
      </c>
      <c r="P301" t="s">
        <v>19</v>
      </c>
      <c r="Q301">
        <v>0.995</v>
      </c>
      <c r="R301" t="s">
        <v>23</v>
      </c>
      <c r="S301">
        <v>4</v>
      </c>
    </row>
    <row r="302" spans="1:19">
      <c r="A302">
        <v>302</v>
      </c>
      <c r="B302" t="s">
        <v>52</v>
      </c>
      <c r="C302">
        <v>343.22109999999998</v>
      </c>
      <c r="D302">
        <v>185.9</v>
      </c>
      <c r="E302">
        <v>-0.83787582240569203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0.99</v>
      </c>
      <c r="L302" t="s">
        <v>53</v>
      </c>
      <c r="M302" t="s">
        <v>19</v>
      </c>
      <c r="N302">
        <v>0.98</v>
      </c>
      <c r="O302" t="s">
        <v>54</v>
      </c>
      <c r="P302" t="s">
        <v>19</v>
      </c>
      <c r="Q302">
        <v>0.69299999999999995</v>
      </c>
      <c r="R302" t="s">
        <v>23</v>
      </c>
      <c r="S302">
        <v>4</v>
      </c>
    </row>
    <row r="303" spans="1:19">
      <c r="A303">
        <v>303</v>
      </c>
      <c r="B303" t="s">
        <v>366</v>
      </c>
      <c r="C303">
        <v>1121.9975999999999</v>
      </c>
      <c r="D303">
        <v>270.69</v>
      </c>
      <c r="E303">
        <v>-0.74483142743019903</v>
      </c>
      <c r="F303" t="s">
        <v>18</v>
      </c>
      <c r="G303" t="s">
        <v>19</v>
      </c>
      <c r="H303">
        <v>0.96</v>
      </c>
      <c r="I303" t="s">
        <v>62</v>
      </c>
      <c r="J303" t="s">
        <v>19</v>
      </c>
      <c r="K303">
        <v>0.98</v>
      </c>
      <c r="L303" t="s">
        <v>63</v>
      </c>
      <c r="M303" t="s">
        <v>19</v>
      </c>
      <c r="N303">
        <v>0.89</v>
      </c>
      <c r="O303" t="s">
        <v>64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304</v>
      </c>
      <c r="B304" t="s">
        <v>367</v>
      </c>
      <c r="C304">
        <v>239.01660000000001</v>
      </c>
      <c r="D304">
        <v>144</v>
      </c>
      <c r="E304">
        <v>-0.74972555677263097</v>
      </c>
      <c r="F304" t="s">
        <v>18</v>
      </c>
      <c r="G304" t="s">
        <v>19</v>
      </c>
      <c r="H304">
        <v>1</v>
      </c>
      <c r="I304" t="s">
        <v>35</v>
      </c>
      <c r="J304" t="s">
        <v>19</v>
      </c>
      <c r="K304">
        <v>0.94</v>
      </c>
      <c r="L304" t="s">
        <v>36</v>
      </c>
      <c r="M304" t="s">
        <v>19</v>
      </c>
      <c r="N304">
        <v>1</v>
      </c>
      <c r="O304" t="s">
        <v>37</v>
      </c>
      <c r="P304" t="s">
        <v>19</v>
      </c>
      <c r="Q304">
        <v>1</v>
      </c>
      <c r="R304" t="s">
        <v>23</v>
      </c>
      <c r="S304">
        <v>4</v>
      </c>
    </row>
    <row r="305" spans="1:19">
      <c r="A305">
        <v>305</v>
      </c>
      <c r="B305" t="s">
        <v>368</v>
      </c>
      <c r="C305">
        <v>826.68209999999999</v>
      </c>
      <c r="D305">
        <v>305.3</v>
      </c>
      <c r="E305">
        <v>-0.75906651544892201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1</v>
      </c>
      <c r="L305" t="s">
        <v>32</v>
      </c>
      <c r="M305" t="s">
        <v>19</v>
      </c>
      <c r="N305">
        <v>1</v>
      </c>
      <c r="O305" t="s">
        <v>100</v>
      </c>
      <c r="P305" t="s">
        <v>19</v>
      </c>
      <c r="Q305">
        <v>0.89300000000000002</v>
      </c>
      <c r="R305" t="s">
        <v>23</v>
      </c>
      <c r="S305">
        <v>4</v>
      </c>
    </row>
    <row r="306" spans="1:19">
      <c r="A306">
        <v>306</v>
      </c>
      <c r="B306" t="s">
        <v>369</v>
      </c>
      <c r="C306">
        <v>1128.6655000000001</v>
      </c>
      <c r="D306">
        <v>331.8</v>
      </c>
      <c r="E306">
        <v>-0.40528637089460101</v>
      </c>
      <c r="F306" t="s">
        <v>18</v>
      </c>
      <c r="G306" t="s">
        <v>19</v>
      </c>
      <c r="H306">
        <v>1</v>
      </c>
      <c r="I306" t="s">
        <v>35</v>
      </c>
      <c r="J306" t="s">
        <v>19</v>
      </c>
      <c r="K306">
        <v>1</v>
      </c>
      <c r="L306" t="s">
        <v>148</v>
      </c>
      <c r="M306" t="s">
        <v>19</v>
      </c>
      <c r="N306">
        <v>0.76</v>
      </c>
      <c r="O306" t="s">
        <v>149</v>
      </c>
      <c r="P306" t="s">
        <v>19</v>
      </c>
      <c r="Q306">
        <v>0.997</v>
      </c>
      <c r="R306" t="s">
        <v>23</v>
      </c>
      <c r="S306">
        <v>4</v>
      </c>
    </row>
    <row r="307" spans="1:19">
      <c r="A307">
        <v>307</v>
      </c>
      <c r="B307" t="s">
        <v>370</v>
      </c>
      <c r="C307">
        <v>804.55190000000005</v>
      </c>
      <c r="D307">
        <v>286.2</v>
      </c>
      <c r="E307">
        <v>-0.65357603271058895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1</v>
      </c>
      <c r="L307" t="s">
        <v>21</v>
      </c>
      <c r="M307" t="s">
        <v>19</v>
      </c>
      <c r="N307">
        <v>1</v>
      </c>
      <c r="O307" t="s">
        <v>22</v>
      </c>
      <c r="P307" t="s">
        <v>19</v>
      </c>
      <c r="Q307">
        <v>0.75700000000000001</v>
      </c>
      <c r="R307" t="s">
        <v>23</v>
      </c>
      <c r="S307">
        <v>4</v>
      </c>
    </row>
    <row r="308" spans="1:19">
      <c r="A308">
        <v>308</v>
      </c>
      <c r="B308" t="s">
        <v>371</v>
      </c>
      <c r="C308">
        <v>568.32500000000005</v>
      </c>
      <c r="D308">
        <v>245.4</v>
      </c>
      <c r="E308">
        <v>-0.69043563105162797</v>
      </c>
      <c r="F308" t="s">
        <v>18</v>
      </c>
      <c r="G308" t="s">
        <v>19</v>
      </c>
      <c r="H308">
        <v>1</v>
      </c>
      <c r="I308" t="s">
        <v>20</v>
      </c>
      <c r="J308" t="s">
        <v>19</v>
      </c>
      <c r="K308">
        <v>0.68</v>
      </c>
      <c r="L308" t="s">
        <v>21</v>
      </c>
      <c r="M308" t="s">
        <v>19</v>
      </c>
      <c r="N308">
        <v>0.96</v>
      </c>
      <c r="O308" t="s">
        <v>22</v>
      </c>
      <c r="P308" t="s">
        <v>19</v>
      </c>
      <c r="Q308">
        <v>0.96</v>
      </c>
      <c r="R308" t="s">
        <v>23</v>
      </c>
      <c r="S308">
        <v>4</v>
      </c>
    </row>
    <row r="309" spans="1:19">
      <c r="A309">
        <v>309</v>
      </c>
      <c r="B309" t="s">
        <v>372</v>
      </c>
      <c r="C309">
        <v>299.01229999999998</v>
      </c>
      <c r="D309">
        <v>157.30000000000001</v>
      </c>
      <c r="E309">
        <v>-0.67843724284989504</v>
      </c>
      <c r="F309" t="s">
        <v>18</v>
      </c>
      <c r="G309" t="s">
        <v>19</v>
      </c>
      <c r="H309">
        <v>1</v>
      </c>
      <c r="I309" t="s">
        <v>25</v>
      </c>
      <c r="J309" t="s">
        <v>19</v>
      </c>
      <c r="K309">
        <v>0.77</v>
      </c>
      <c r="L309" t="s">
        <v>26</v>
      </c>
      <c r="M309" t="s">
        <v>19</v>
      </c>
      <c r="N309">
        <v>0.98</v>
      </c>
      <c r="O309" t="s">
        <v>27</v>
      </c>
      <c r="P309" t="s">
        <v>19</v>
      </c>
      <c r="Q309">
        <v>0.72299999999999998</v>
      </c>
      <c r="R309" t="s">
        <v>23</v>
      </c>
      <c r="S309">
        <v>4</v>
      </c>
    </row>
    <row r="310" spans="1:19">
      <c r="A310">
        <v>310</v>
      </c>
      <c r="B310" t="s">
        <v>373</v>
      </c>
      <c r="C310">
        <v>534.52779999999996</v>
      </c>
      <c r="D310">
        <v>257.89999999999998</v>
      </c>
      <c r="E310">
        <v>-0.93097195954351297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1</v>
      </c>
      <c r="L310" t="s">
        <v>32</v>
      </c>
      <c r="M310" t="s">
        <v>19</v>
      </c>
      <c r="N310">
        <v>0.96</v>
      </c>
      <c r="O310" t="s">
        <v>114</v>
      </c>
      <c r="P310" t="s">
        <v>19</v>
      </c>
      <c r="Q310">
        <v>0.98699999999999999</v>
      </c>
      <c r="R310" t="s">
        <v>23</v>
      </c>
      <c r="S310">
        <v>4</v>
      </c>
    </row>
    <row r="311" spans="1:19">
      <c r="A311">
        <v>311</v>
      </c>
      <c r="B311" t="s">
        <v>80</v>
      </c>
      <c r="C311">
        <v>346.05579999999998</v>
      </c>
      <c r="D311">
        <v>174.1</v>
      </c>
      <c r="E311">
        <v>-0.66941073268299101</v>
      </c>
      <c r="F311" t="s">
        <v>18</v>
      </c>
      <c r="G311" t="s">
        <v>19</v>
      </c>
      <c r="H311">
        <v>1</v>
      </c>
      <c r="I311" t="s">
        <v>58</v>
      </c>
      <c r="J311" t="s">
        <v>19</v>
      </c>
      <c r="K311">
        <v>0.83</v>
      </c>
      <c r="L311" t="s">
        <v>59</v>
      </c>
      <c r="M311" t="s">
        <v>19</v>
      </c>
      <c r="N311">
        <v>0.98</v>
      </c>
      <c r="O311" t="s">
        <v>67</v>
      </c>
      <c r="P311" t="s">
        <v>19</v>
      </c>
      <c r="Q311">
        <v>0.68200000000000005</v>
      </c>
      <c r="R311" t="s">
        <v>23</v>
      </c>
      <c r="S311">
        <v>4</v>
      </c>
    </row>
    <row r="312" spans="1:19">
      <c r="A312">
        <v>312</v>
      </c>
      <c r="B312" t="s">
        <v>138</v>
      </c>
      <c r="C312">
        <v>132.0652</v>
      </c>
      <c r="D312">
        <v>128.4</v>
      </c>
      <c r="E312">
        <v>-0.91774234760384799</v>
      </c>
      <c r="F312" t="s">
        <v>18</v>
      </c>
      <c r="G312" t="s">
        <v>19</v>
      </c>
      <c r="H312">
        <v>1</v>
      </c>
      <c r="I312" t="s">
        <v>35</v>
      </c>
      <c r="J312" t="s">
        <v>19</v>
      </c>
      <c r="K312">
        <v>0.97</v>
      </c>
      <c r="L312" t="s">
        <v>36</v>
      </c>
      <c r="M312" t="s">
        <v>19</v>
      </c>
      <c r="N312">
        <v>1</v>
      </c>
      <c r="O312" t="s">
        <v>37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313</v>
      </c>
      <c r="B313" t="s">
        <v>374</v>
      </c>
      <c r="C313">
        <v>1821.9529</v>
      </c>
      <c r="D313">
        <v>351.2</v>
      </c>
      <c r="E313">
        <v>-0.91859499451493298</v>
      </c>
      <c r="F313" t="s">
        <v>18</v>
      </c>
      <c r="G313" t="s">
        <v>19</v>
      </c>
      <c r="H313">
        <v>1</v>
      </c>
      <c r="I313" t="s">
        <v>62</v>
      </c>
      <c r="J313" t="s">
        <v>19</v>
      </c>
      <c r="K313">
        <v>1</v>
      </c>
      <c r="L313" t="s">
        <v>63</v>
      </c>
      <c r="M313" t="s">
        <v>19</v>
      </c>
      <c r="N313">
        <v>1</v>
      </c>
      <c r="O313" t="s">
        <v>64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314</v>
      </c>
      <c r="B314" t="s">
        <v>375</v>
      </c>
      <c r="C314">
        <v>678.50739999999996</v>
      </c>
      <c r="D314">
        <v>272.5</v>
      </c>
      <c r="E314">
        <v>-0.74981126097236495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1</v>
      </c>
      <c r="L314" t="s">
        <v>21</v>
      </c>
      <c r="M314" t="s">
        <v>19</v>
      </c>
      <c r="N314">
        <v>1</v>
      </c>
      <c r="O314" t="s">
        <v>22</v>
      </c>
      <c r="P314" t="s">
        <v>19</v>
      </c>
      <c r="Q314">
        <v>0.622</v>
      </c>
      <c r="R314" t="s">
        <v>23</v>
      </c>
      <c r="S314">
        <v>4</v>
      </c>
    </row>
    <row r="315" spans="1:19">
      <c r="A315">
        <v>315</v>
      </c>
      <c r="B315" t="s">
        <v>342</v>
      </c>
      <c r="C315">
        <v>1293.5922</v>
      </c>
      <c r="D315">
        <v>355</v>
      </c>
      <c r="E315">
        <v>-0.14783714763643699</v>
      </c>
      <c r="F315" t="s">
        <v>18</v>
      </c>
      <c r="G315" t="s">
        <v>19</v>
      </c>
      <c r="H315">
        <v>1</v>
      </c>
      <c r="I315" t="s">
        <v>35</v>
      </c>
      <c r="J315" t="s">
        <v>19</v>
      </c>
      <c r="K315">
        <v>1</v>
      </c>
      <c r="L315" t="s">
        <v>148</v>
      </c>
      <c r="M315" t="s">
        <v>19</v>
      </c>
      <c r="N315">
        <v>0.75</v>
      </c>
      <c r="O315" t="s">
        <v>149</v>
      </c>
      <c r="P315" t="s">
        <v>19</v>
      </c>
      <c r="Q315">
        <v>0.98299999999999998</v>
      </c>
      <c r="R315" t="s">
        <v>23</v>
      </c>
      <c r="S315">
        <v>4</v>
      </c>
    </row>
    <row r="316" spans="1:19">
      <c r="A316">
        <v>316</v>
      </c>
      <c r="B316" t="s">
        <v>376</v>
      </c>
      <c r="C316">
        <v>752.60159999999996</v>
      </c>
      <c r="D316">
        <v>285.60000000000002</v>
      </c>
      <c r="E316">
        <v>-0.76128123983005502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1</v>
      </c>
      <c r="L316" t="s">
        <v>32</v>
      </c>
      <c r="M316" t="s">
        <v>19</v>
      </c>
      <c r="N316">
        <v>0.73</v>
      </c>
      <c r="O316" t="s">
        <v>100</v>
      </c>
      <c r="P316" t="s">
        <v>19</v>
      </c>
      <c r="Q316">
        <v>0.82699999999999996</v>
      </c>
      <c r="R316" t="s">
        <v>23</v>
      </c>
      <c r="S316">
        <v>4</v>
      </c>
    </row>
    <row r="317" spans="1:19">
      <c r="A317">
        <v>317</v>
      </c>
      <c r="B317" t="s">
        <v>377</v>
      </c>
      <c r="C317">
        <v>521.98339999999996</v>
      </c>
      <c r="D317">
        <v>193.4</v>
      </c>
      <c r="E317">
        <v>-0.40057843342708599</v>
      </c>
      <c r="F317" t="s">
        <v>18</v>
      </c>
      <c r="G317" t="s">
        <v>19</v>
      </c>
      <c r="H317">
        <v>0.998</v>
      </c>
      <c r="I317" t="s">
        <v>58</v>
      </c>
      <c r="J317" t="s">
        <v>19</v>
      </c>
      <c r="K317">
        <v>0.99</v>
      </c>
      <c r="L317" t="s">
        <v>59</v>
      </c>
      <c r="M317" t="s">
        <v>19</v>
      </c>
      <c r="N317">
        <v>1</v>
      </c>
      <c r="O317" t="s">
        <v>67</v>
      </c>
      <c r="P317" t="s">
        <v>19</v>
      </c>
      <c r="Q317">
        <v>0.90200000000000002</v>
      </c>
      <c r="R317" t="s">
        <v>23</v>
      </c>
      <c r="S317">
        <v>4</v>
      </c>
    </row>
    <row r="318" spans="1:19">
      <c r="A318">
        <v>318</v>
      </c>
      <c r="B318" t="s">
        <v>378</v>
      </c>
      <c r="C318">
        <v>360.97469999999998</v>
      </c>
      <c r="D318">
        <v>197.1</v>
      </c>
      <c r="E318">
        <v>-0.57165300626957105</v>
      </c>
      <c r="F318" t="s">
        <v>18</v>
      </c>
      <c r="G318" t="s">
        <v>19</v>
      </c>
      <c r="H318">
        <v>1</v>
      </c>
      <c r="I318" t="s">
        <v>49</v>
      </c>
      <c r="J318" t="s">
        <v>19</v>
      </c>
      <c r="K318">
        <v>0.77</v>
      </c>
      <c r="L318" t="s">
        <v>50</v>
      </c>
      <c r="M318" t="s">
        <v>19</v>
      </c>
      <c r="N318">
        <v>1</v>
      </c>
      <c r="O318" t="s">
        <v>51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319</v>
      </c>
      <c r="B319" t="s">
        <v>379</v>
      </c>
      <c r="C319">
        <v>149.00970000000001</v>
      </c>
      <c r="D319">
        <v>118.3</v>
      </c>
      <c r="E319">
        <v>-0.84332293362479005</v>
      </c>
      <c r="F319" t="s">
        <v>18</v>
      </c>
      <c r="G319" t="s">
        <v>19</v>
      </c>
      <c r="H319">
        <v>1</v>
      </c>
      <c r="I319" t="s">
        <v>49</v>
      </c>
      <c r="J319" t="s">
        <v>19</v>
      </c>
      <c r="K319">
        <v>0.99</v>
      </c>
      <c r="L319" t="s">
        <v>50</v>
      </c>
      <c r="M319" t="s">
        <v>19</v>
      </c>
      <c r="N319">
        <v>1</v>
      </c>
      <c r="O319" t="s">
        <v>51</v>
      </c>
      <c r="P319" t="s">
        <v>19</v>
      </c>
      <c r="Q319">
        <v>0.92600000000000005</v>
      </c>
      <c r="R319" t="s">
        <v>23</v>
      </c>
      <c r="S319">
        <v>4</v>
      </c>
    </row>
    <row r="320" spans="1:19">
      <c r="A320">
        <v>320</v>
      </c>
      <c r="B320" t="s">
        <v>333</v>
      </c>
      <c r="C320">
        <v>560.36919999999998</v>
      </c>
      <c r="D320">
        <v>250.2</v>
      </c>
      <c r="E320">
        <v>-0.743518694802901</v>
      </c>
      <c r="F320" t="s">
        <v>18</v>
      </c>
      <c r="G320" t="s">
        <v>19</v>
      </c>
      <c r="H320">
        <v>1</v>
      </c>
      <c r="I320" t="s">
        <v>20</v>
      </c>
      <c r="J320" t="s">
        <v>19</v>
      </c>
      <c r="K320">
        <v>1</v>
      </c>
      <c r="L320" t="s">
        <v>21</v>
      </c>
      <c r="M320" t="s">
        <v>19</v>
      </c>
      <c r="N320">
        <v>1</v>
      </c>
      <c r="O320" t="s">
        <v>22</v>
      </c>
      <c r="P320" t="s">
        <v>19</v>
      </c>
      <c r="Q320">
        <v>0.97799999999999998</v>
      </c>
      <c r="R320" t="s">
        <v>23</v>
      </c>
      <c r="S320">
        <v>4</v>
      </c>
    </row>
    <row r="321" spans="1:19">
      <c r="A321">
        <v>321</v>
      </c>
      <c r="B321" t="s">
        <v>380</v>
      </c>
      <c r="C321">
        <v>308.10180000000003</v>
      </c>
      <c r="D321">
        <v>163.69999999999999</v>
      </c>
      <c r="E321">
        <v>-0.75778834418889596</v>
      </c>
      <c r="F321" t="s">
        <v>18</v>
      </c>
      <c r="G321" t="s">
        <v>19</v>
      </c>
      <c r="H321">
        <v>1</v>
      </c>
      <c r="I321" t="s">
        <v>49</v>
      </c>
      <c r="J321" t="s">
        <v>19</v>
      </c>
      <c r="K321">
        <v>0.74</v>
      </c>
      <c r="L321" t="s">
        <v>50</v>
      </c>
      <c r="M321" t="s">
        <v>19</v>
      </c>
      <c r="N321">
        <v>1</v>
      </c>
      <c r="O321" t="s">
        <v>51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322</v>
      </c>
      <c r="B322" t="s">
        <v>239</v>
      </c>
      <c r="C322">
        <v>786.50250000000005</v>
      </c>
      <c r="D322">
        <v>280.5</v>
      </c>
      <c r="E322">
        <v>-0.62432912490419301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1</v>
      </c>
      <c r="L322" t="s">
        <v>21</v>
      </c>
      <c r="M322" t="s">
        <v>19</v>
      </c>
      <c r="N322">
        <v>1</v>
      </c>
      <c r="O322" t="s">
        <v>40</v>
      </c>
      <c r="P322" t="s">
        <v>19</v>
      </c>
      <c r="Q322">
        <v>0.95599999999999996</v>
      </c>
      <c r="R322" t="s">
        <v>23</v>
      </c>
      <c r="S322">
        <v>4</v>
      </c>
    </row>
    <row r="323" spans="1:19">
      <c r="A323">
        <v>323</v>
      </c>
      <c r="B323" t="s">
        <v>381</v>
      </c>
      <c r="C323">
        <v>776.46320000000003</v>
      </c>
      <c r="D323">
        <v>275.5</v>
      </c>
      <c r="E323">
        <v>-0.59623852457718796</v>
      </c>
      <c r="F323" t="s">
        <v>18</v>
      </c>
      <c r="G323" t="s">
        <v>19</v>
      </c>
      <c r="H323">
        <v>1</v>
      </c>
      <c r="I323" t="s">
        <v>20</v>
      </c>
      <c r="J323" t="s">
        <v>19</v>
      </c>
      <c r="K323">
        <v>0.71</v>
      </c>
      <c r="L323" t="s">
        <v>21</v>
      </c>
      <c r="M323" t="s">
        <v>19</v>
      </c>
      <c r="N323">
        <v>1</v>
      </c>
      <c r="O323" t="s">
        <v>40</v>
      </c>
      <c r="P323" t="s">
        <v>19</v>
      </c>
      <c r="Q323">
        <v>0.80500000000000005</v>
      </c>
      <c r="R323" t="s">
        <v>23</v>
      </c>
      <c r="S323">
        <v>4</v>
      </c>
    </row>
    <row r="324" spans="1:19">
      <c r="A324">
        <v>324</v>
      </c>
      <c r="B324" t="s">
        <v>382</v>
      </c>
      <c r="C324">
        <v>154.04730000000001</v>
      </c>
      <c r="D324">
        <v>134.69999999999999</v>
      </c>
      <c r="E324">
        <v>-0.87529819168133804</v>
      </c>
      <c r="F324" t="s">
        <v>18</v>
      </c>
      <c r="G324" t="s">
        <v>19</v>
      </c>
      <c r="H324">
        <v>1</v>
      </c>
      <c r="I324" t="s">
        <v>35</v>
      </c>
      <c r="J324" t="s">
        <v>19</v>
      </c>
      <c r="K324">
        <v>0.8</v>
      </c>
      <c r="L324" t="s">
        <v>36</v>
      </c>
      <c r="M324" t="s">
        <v>19</v>
      </c>
      <c r="N324">
        <v>1</v>
      </c>
      <c r="O324" t="s">
        <v>37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325</v>
      </c>
      <c r="B325" t="s">
        <v>383</v>
      </c>
      <c r="C325">
        <v>1044.6572000000001</v>
      </c>
      <c r="D325">
        <v>332</v>
      </c>
      <c r="E325">
        <v>-0.49078599940980899</v>
      </c>
      <c r="F325" t="s">
        <v>18</v>
      </c>
      <c r="G325" t="s">
        <v>19</v>
      </c>
      <c r="H325">
        <v>1</v>
      </c>
      <c r="I325" t="s">
        <v>35</v>
      </c>
      <c r="J325" t="s">
        <v>19</v>
      </c>
      <c r="K325">
        <v>1</v>
      </c>
      <c r="L325" t="s">
        <v>148</v>
      </c>
      <c r="M325" t="s">
        <v>19</v>
      </c>
      <c r="N325">
        <v>1</v>
      </c>
      <c r="O325" t="s">
        <v>149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326</v>
      </c>
      <c r="B326" t="s">
        <v>384</v>
      </c>
      <c r="C326">
        <v>752.52059999999994</v>
      </c>
      <c r="D326">
        <v>278</v>
      </c>
      <c r="E326">
        <v>-0.68037168053535901</v>
      </c>
      <c r="F326" t="s">
        <v>18</v>
      </c>
      <c r="G326" t="s">
        <v>19</v>
      </c>
      <c r="H326">
        <v>1</v>
      </c>
      <c r="I326" t="s">
        <v>20</v>
      </c>
      <c r="J326" t="s">
        <v>19</v>
      </c>
      <c r="K326">
        <v>1</v>
      </c>
      <c r="L326" t="s">
        <v>21</v>
      </c>
      <c r="M326" t="s">
        <v>19</v>
      </c>
      <c r="N326">
        <v>1</v>
      </c>
      <c r="O326" t="s">
        <v>22</v>
      </c>
      <c r="P326" t="s">
        <v>19</v>
      </c>
      <c r="Q326">
        <v>0.73899999999999999</v>
      </c>
      <c r="R326" t="s">
        <v>23</v>
      </c>
      <c r="S326">
        <v>4</v>
      </c>
    </row>
    <row r="327" spans="1:19">
      <c r="A327">
        <v>327</v>
      </c>
      <c r="B327" t="s">
        <v>385</v>
      </c>
      <c r="C327">
        <v>652.52329999999995</v>
      </c>
      <c r="D327">
        <v>189.2</v>
      </c>
      <c r="E327">
        <v>-0.794723857671784</v>
      </c>
      <c r="F327" t="s">
        <v>18</v>
      </c>
      <c r="G327" t="s">
        <v>19</v>
      </c>
      <c r="H327">
        <v>0.93200000000000005</v>
      </c>
      <c r="I327" t="s">
        <v>25</v>
      </c>
      <c r="J327" t="s">
        <v>19</v>
      </c>
      <c r="K327">
        <v>0.79</v>
      </c>
      <c r="L327" t="s">
        <v>26</v>
      </c>
      <c r="M327" t="s">
        <v>19</v>
      </c>
      <c r="N327">
        <v>0.97</v>
      </c>
      <c r="O327" t="s">
        <v>246</v>
      </c>
      <c r="P327" t="s">
        <v>19</v>
      </c>
      <c r="Q327">
        <v>0.93300000000000005</v>
      </c>
      <c r="R327" t="s">
        <v>23</v>
      </c>
      <c r="S327">
        <v>4</v>
      </c>
    </row>
    <row r="328" spans="1:19">
      <c r="A328">
        <v>328</v>
      </c>
      <c r="B328" t="s">
        <v>386</v>
      </c>
      <c r="C328">
        <v>823.66690000000006</v>
      </c>
      <c r="D328">
        <v>300.5</v>
      </c>
      <c r="E328">
        <v>-0.74723314279299302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1</v>
      </c>
      <c r="L328" t="s">
        <v>32</v>
      </c>
      <c r="M328" t="s">
        <v>19</v>
      </c>
      <c r="N328">
        <v>1</v>
      </c>
      <c r="O328" t="s">
        <v>33</v>
      </c>
      <c r="P328" t="s">
        <v>19</v>
      </c>
      <c r="Q328">
        <v>0.81899999999999995</v>
      </c>
      <c r="R328" t="s">
        <v>23</v>
      </c>
      <c r="S328">
        <v>4</v>
      </c>
    </row>
    <row r="329" spans="1:19">
      <c r="A329">
        <v>329</v>
      </c>
      <c r="B329" t="s">
        <v>387</v>
      </c>
      <c r="C329">
        <v>122.0271</v>
      </c>
      <c r="D329">
        <v>121.3</v>
      </c>
      <c r="E329">
        <v>-0.89085040741458998</v>
      </c>
      <c r="F329" t="s">
        <v>18</v>
      </c>
      <c r="G329" t="s">
        <v>19</v>
      </c>
      <c r="H329">
        <v>1</v>
      </c>
      <c r="I329" t="s">
        <v>43</v>
      </c>
      <c r="J329" t="s">
        <v>19</v>
      </c>
      <c r="K329">
        <v>0.7</v>
      </c>
      <c r="L329" t="s">
        <v>44</v>
      </c>
      <c r="M329" t="s">
        <v>19</v>
      </c>
      <c r="N329">
        <v>0.6</v>
      </c>
      <c r="O329" t="s">
        <v>388</v>
      </c>
      <c r="P329" t="s">
        <v>19</v>
      </c>
      <c r="Q329">
        <v>0.98199999999999998</v>
      </c>
      <c r="R329" t="s">
        <v>23</v>
      </c>
      <c r="S329">
        <v>4</v>
      </c>
    </row>
    <row r="330" spans="1:19">
      <c r="A330">
        <v>330</v>
      </c>
      <c r="B330" t="s">
        <v>159</v>
      </c>
      <c r="C330">
        <v>206.9682</v>
      </c>
      <c r="D330">
        <v>133.30000000000001</v>
      </c>
      <c r="E330">
        <v>-0.73710925926997095</v>
      </c>
      <c r="F330" t="s">
        <v>18</v>
      </c>
      <c r="G330" t="s">
        <v>19</v>
      </c>
      <c r="H330">
        <v>1</v>
      </c>
      <c r="I330" t="s">
        <v>49</v>
      </c>
      <c r="J330" t="s">
        <v>19</v>
      </c>
      <c r="K330">
        <v>0.91</v>
      </c>
      <c r="L330" t="s">
        <v>50</v>
      </c>
      <c r="M330" t="s">
        <v>19</v>
      </c>
      <c r="N330">
        <v>1</v>
      </c>
      <c r="O330" t="s">
        <v>51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331</v>
      </c>
      <c r="B331" t="s">
        <v>389</v>
      </c>
      <c r="C331">
        <v>281.08730000000003</v>
      </c>
      <c r="D331">
        <v>166.4</v>
      </c>
      <c r="E331">
        <v>-0.77345143598483901</v>
      </c>
      <c r="F331" t="s">
        <v>18</v>
      </c>
      <c r="G331" t="s">
        <v>19</v>
      </c>
      <c r="H331">
        <v>1</v>
      </c>
      <c r="I331" t="s">
        <v>49</v>
      </c>
      <c r="J331" t="s">
        <v>19</v>
      </c>
      <c r="K331">
        <v>0.64</v>
      </c>
      <c r="L331" t="s">
        <v>50</v>
      </c>
      <c r="M331" t="s">
        <v>19</v>
      </c>
      <c r="N331">
        <v>1</v>
      </c>
      <c r="O331" t="s">
        <v>51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332</v>
      </c>
      <c r="B332" t="s">
        <v>390</v>
      </c>
      <c r="C332">
        <v>830.70849999999996</v>
      </c>
      <c r="D332">
        <v>307.3</v>
      </c>
      <c r="E332">
        <v>-0.78097083080524499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1</v>
      </c>
      <c r="L332" t="s">
        <v>32</v>
      </c>
      <c r="M332" t="s">
        <v>19</v>
      </c>
      <c r="N332">
        <v>1</v>
      </c>
      <c r="O332" t="s">
        <v>100</v>
      </c>
      <c r="P332" t="s">
        <v>19</v>
      </c>
      <c r="Q332">
        <v>0.9</v>
      </c>
      <c r="R332" t="s">
        <v>23</v>
      </c>
      <c r="S332">
        <v>4</v>
      </c>
    </row>
    <row r="333" spans="1:19">
      <c r="A333">
        <v>333</v>
      </c>
      <c r="B333" t="s">
        <v>391</v>
      </c>
      <c r="C333">
        <v>849.6825</v>
      </c>
      <c r="D333">
        <v>304.8</v>
      </c>
      <c r="E333">
        <v>-0.73378537470807703</v>
      </c>
      <c r="F333" t="s">
        <v>18</v>
      </c>
      <c r="G333" t="s">
        <v>19</v>
      </c>
      <c r="H333">
        <v>1</v>
      </c>
      <c r="I333" t="s">
        <v>20</v>
      </c>
      <c r="J333" t="s">
        <v>19</v>
      </c>
      <c r="K333">
        <v>1</v>
      </c>
      <c r="L333" t="s">
        <v>32</v>
      </c>
      <c r="M333" t="s">
        <v>19</v>
      </c>
      <c r="N333">
        <v>1</v>
      </c>
      <c r="O333" t="s">
        <v>33</v>
      </c>
      <c r="P333" t="s">
        <v>19</v>
      </c>
      <c r="Q333">
        <v>0.78100000000000003</v>
      </c>
      <c r="R333" t="s">
        <v>23</v>
      </c>
      <c r="S333">
        <v>4</v>
      </c>
    </row>
    <row r="334" spans="1:19">
      <c r="A334">
        <v>334</v>
      </c>
      <c r="B334" t="s">
        <v>392</v>
      </c>
      <c r="C334">
        <v>173.00399999999999</v>
      </c>
      <c r="D334">
        <v>137.69999999999999</v>
      </c>
      <c r="E334">
        <v>-0.81083205193232299</v>
      </c>
      <c r="F334" t="s">
        <v>18</v>
      </c>
      <c r="G334" t="s">
        <v>19</v>
      </c>
      <c r="H334">
        <v>1</v>
      </c>
      <c r="I334" t="s">
        <v>49</v>
      </c>
      <c r="J334" t="s">
        <v>19</v>
      </c>
      <c r="K334">
        <v>0.61</v>
      </c>
      <c r="L334" t="s">
        <v>50</v>
      </c>
      <c r="M334" t="s">
        <v>19</v>
      </c>
      <c r="N334">
        <v>1</v>
      </c>
      <c r="O334" t="s">
        <v>51</v>
      </c>
      <c r="P334" t="s">
        <v>19</v>
      </c>
      <c r="Q334">
        <v>0.93100000000000005</v>
      </c>
      <c r="R334" t="s">
        <v>23</v>
      </c>
      <c r="S334">
        <v>4</v>
      </c>
    </row>
    <row r="335" spans="1:19">
      <c r="A335">
        <v>335</v>
      </c>
      <c r="B335" t="s">
        <v>393</v>
      </c>
      <c r="C335">
        <v>193.03479999999999</v>
      </c>
      <c r="D335">
        <v>133.80000000000001</v>
      </c>
      <c r="E335">
        <v>-0.81926662376793002</v>
      </c>
      <c r="F335" t="s">
        <v>18</v>
      </c>
      <c r="G335" t="s">
        <v>19</v>
      </c>
      <c r="H335">
        <v>1</v>
      </c>
      <c r="I335" t="s">
        <v>49</v>
      </c>
      <c r="J335" t="s">
        <v>19</v>
      </c>
      <c r="K335">
        <v>0.91</v>
      </c>
      <c r="L335" t="s">
        <v>50</v>
      </c>
      <c r="M335" t="s">
        <v>19</v>
      </c>
      <c r="N335">
        <v>1</v>
      </c>
      <c r="O335" t="s">
        <v>51</v>
      </c>
      <c r="P335" t="s">
        <v>19</v>
      </c>
      <c r="Q335">
        <v>0.98599999999999999</v>
      </c>
      <c r="R335" t="s">
        <v>23</v>
      </c>
      <c r="S335">
        <v>4</v>
      </c>
    </row>
    <row r="336" spans="1:19">
      <c r="A336">
        <v>336</v>
      </c>
      <c r="B336" t="s">
        <v>394</v>
      </c>
      <c r="C336">
        <v>820.54679999999996</v>
      </c>
      <c r="D336">
        <v>288.10000000000002</v>
      </c>
      <c r="E336">
        <v>-0.63061689643302499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0.99</v>
      </c>
      <c r="L336" t="s">
        <v>21</v>
      </c>
      <c r="M336" t="s">
        <v>19</v>
      </c>
      <c r="N336">
        <v>1</v>
      </c>
      <c r="O336" t="s">
        <v>22</v>
      </c>
      <c r="P336" t="s">
        <v>19</v>
      </c>
      <c r="Q336">
        <v>0.75900000000000001</v>
      </c>
      <c r="R336" t="s">
        <v>23</v>
      </c>
      <c r="S336">
        <v>4</v>
      </c>
    </row>
    <row r="337" spans="1:19">
      <c r="A337">
        <v>337</v>
      </c>
      <c r="B337" t="s">
        <v>81</v>
      </c>
      <c r="C337">
        <v>1033.9875999999999</v>
      </c>
      <c r="D337">
        <v>255.5</v>
      </c>
      <c r="E337">
        <v>-0.83309916175676302</v>
      </c>
      <c r="F337" t="s">
        <v>18</v>
      </c>
      <c r="G337" t="s">
        <v>19</v>
      </c>
      <c r="H337">
        <v>0.97799999999999998</v>
      </c>
      <c r="I337" t="s">
        <v>62</v>
      </c>
      <c r="J337" t="s">
        <v>19</v>
      </c>
      <c r="K337">
        <v>0.96</v>
      </c>
      <c r="L337" t="s">
        <v>63</v>
      </c>
      <c r="M337" t="s">
        <v>19</v>
      </c>
      <c r="N337">
        <v>0.99</v>
      </c>
      <c r="O337" t="s">
        <v>64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338</v>
      </c>
      <c r="B338" t="s">
        <v>395</v>
      </c>
      <c r="C338">
        <v>140.03489999999999</v>
      </c>
      <c r="D338">
        <v>129.1</v>
      </c>
      <c r="E338">
        <v>-0.87854376378083998</v>
      </c>
      <c r="F338" t="s">
        <v>18</v>
      </c>
      <c r="G338" t="s">
        <v>19</v>
      </c>
      <c r="H338">
        <v>1</v>
      </c>
      <c r="I338" t="s">
        <v>43</v>
      </c>
      <c r="J338" t="s">
        <v>19</v>
      </c>
      <c r="K338">
        <v>0.65</v>
      </c>
      <c r="L338" t="s">
        <v>44</v>
      </c>
      <c r="M338" t="s">
        <v>19</v>
      </c>
      <c r="N338">
        <v>0.66</v>
      </c>
      <c r="O338" t="s">
        <v>388</v>
      </c>
      <c r="P338" t="s">
        <v>19</v>
      </c>
      <c r="Q338">
        <v>0.89600000000000002</v>
      </c>
      <c r="R338" t="s">
        <v>23</v>
      </c>
      <c r="S338">
        <v>4</v>
      </c>
    </row>
    <row r="339" spans="1:19">
      <c r="A339">
        <v>339</v>
      </c>
      <c r="B339" t="s">
        <v>287</v>
      </c>
      <c r="C339">
        <v>946.47760000000005</v>
      </c>
      <c r="D339">
        <v>328.3</v>
      </c>
      <c r="E339">
        <v>-0.42080862012437598</v>
      </c>
      <c r="F339" t="s">
        <v>18</v>
      </c>
      <c r="G339" t="s">
        <v>19</v>
      </c>
      <c r="H339">
        <v>1</v>
      </c>
      <c r="I339" t="s">
        <v>49</v>
      </c>
      <c r="J339" t="s">
        <v>19</v>
      </c>
      <c r="K339">
        <v>1</v>
      </c>
      <c r="L339" t="s">
        <v>50</v>
      </c>
      <c r="M339" t="s">
        <v>19</v>
      </c>
      <c r="N339">
        <v>1</v>
      </c>
      <c r="O339" t="s">
        <v>51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340</v>
      </c>
      <c r="B340" t="s">
        <v>252</v>
      </c>
      <c r="C340">
        <v>132.10239999999999</v>
      </c>
      <c r="D340">
        <v>134.30000000000001</v>
      </c>
      <c r="E340">
        <v>-0.954900811872477</v>
      </c>
      <c r="F340" t="s">
        <v>18</v>
      </c>
      <c r="G340" t="s">
        <v>19</v>
      </c>
      <c r="H340">
        <v>1</v>
      </c>
      <c r="I340" t="s">
        <v>35</v>
      </c>
      <c r="J340" t="s">
        <v>19</v>
      </c>
      <c r="K340">
        <v>1</v>
      </c>
      <c r="L340" t="s">
        <v>36</v>
      </c>
      <c r="M340" t="s">
        <v>19</v>
      </c>
      <c r="N340">
        <v>1</v>
      </c>
      <c r="O340" t="s">
        <v>37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341</v>
      </c>
      <c r="B341" t="s">
        <v>396</v>
      </c>
      <c r="C341">
        <v>872.65909999999997</v>
      </c>
      <c r="D341">
        <v>306</v>
      </c>
      <c r="E341">
        <v>-0.68473080790283802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1</v>
      </c>
      <c r="L341" t="s">
        <v>32</v>
      </c>
      <c r="M341" t="s">
        <v>19</v>
      </c>
      <c r="N341">
        <v>0.74</v>
      </c>
      <c r="O341" t="s">
        <v>100</v>
      </c>
      <c r="P341" t="s">
        <v>19</v>
      </c>
      <c r="Q341">
        <v>0.96</v>
      </c>
      <c r="R341" t="s">
        <v>23</v>
      </c>
      <c r="S341">
        <v>4</v>
      </c>
    </row>
    <row r="342" spans="1:19">
      <c r="A342">
        <v>342</v>
      </c>
      <c r="B342" t="s">
        <v>397</v>
      </c>
      <c r="C342">
        <v>828.47670000000005</v>
      </c>
      <c r="D342">
        <v>283.8</v>
      </c>
      <c r="E342">
        <v>-0.551662751376512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0.65</v>
      </c>
      <c r="L342" t="s">
        <v>21</v>
      </c>
      <c r="M342" t="s">
        <v>19</v>
      </c>
      <c r="N342">
        <v>1</v>
      </c>
      <c r="O342" t="s">
        <v>153</v>
      </c>
      <c r="P342" t="s">
        <v>19</v>
      </c>
      <c r="Q342">
        <v>0.77</v>
      </c>
      <c r="R342" t="s">
        <v>23</v>
      </c>
      <c r="S342">
        <v>4</v>
      </c>
    </row>
    <row r="343" spans="1:19">
      <c r="A343">
        <v>343</v>
      </c>
      <c r="B343" t="s">
        <v>220</v>
      </c>
      <c r="C343">
        <v>807.63559999999995</v>
      </c>
      <c r="D343">
        <v>293.7</v>
      </c>
      <c r="E343">
        <v>-0.73383292156017899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1</v>
      </c>
      <c r="L343" t="s">
        <v>32</v>
      </c>
      <c r="M343" t="s">
        <v>19</v>
      </c>
      <c r="N343">
        <v>0.99</v>
      </c>
      <c r="O343" t="s">
        <v>33</v>
      </c>
      <c r="P343" t="s">
        <v>19</v>
      </c>
      <c r="Q343">
        <v>0.73799999999999999</v>
      </c>
      <c r="R343" t="s">
        <v>23</v>
      </c>
      <c r="S343">
        <v>4</v>
      </c>
    </row>
    <row r="344" spans="1:19">
      <c r="A344">
        <v>344</v>
      </c>
      <c r="B344" t="s">
        <v>215</v>
      </c>
      <c r="C344">
        <v>821.85170000000005</v>
      </c>
      <c r="D344">
        <v>430</v>
      </c>
      <c r="E344">
        <v>-0.93405990783503501</v>
      </c>
      <c r="F344" t="s">
        <v>18</v>
      </c>
      <c r="G344" t="s">
        <v>19</v>
      </c>
      <c r="H344">
        <v>1</v>
      </c>
      <c r="I344" t="s">
        <v>35</v>
      </c>
      <c r="J344" t="s">
        <v>19</v>
      </c>
      <c r="K344">
        <v>1</v>
      </c>
      <c r="L344" t="s">
        <v>148</v>
      </c>
      <c r="M344" t="s">
        <v>19</v>
      </c>
      <c r="N344">
        <v>0.99</v>
      </c>
      <c r="O344" t="s">
        <v>149</v>
      </c>
      <c r="P344" t="s">
        <v>19</v>
      </c>
      <c r="Q344">
        <v>0.99399999999999999</v>
      </c>
      <c r="R344" t="s">
        <v>23</v>
      </c>
      <c r="S344">
        <v>4</v>
      </c>
    </row>
    <row r="345" spans="1:19">
      <c r="A345">
        <v>345</v>
      </c>
      <c r="B345" t="s">
        <v>398</v>
      </c>
      <c r="C345">
        <v>716.52300000000002</v>
      </c>
      <c r="D345">
        <v>269.5</v>
      </c>
      <c r="E345">
        <v>-0.72296486986840602</v>
      </c>
      <c r="F345" t="s">
        <v>18</v>
      </c>
      <c r="G345" t="s">
        <v>19</v>
      </c>
      <c r="H345">
        <v>1</v>
      </c>
      <c r="I345" t="s">
        <v>20</v>
      </c>
      <c r="J345" t="s">
        <v>19</v>
      </c>
      <c r="K345">
        <v>0.99</v>
      </c>
      <c r="L345" t="s">
        <v>21</v>
      </c>
      <c r="M345" t="s">
        <v>19</v>
      </c>
      <c r="N345">
        <v>1</v>
      </c>
      <c r="O345" t="s">
        <v>40</v>
      </c>
      <c r="P345" t="s">
        <v>19</v>
      </c>
      <c r="Q345">
        <v>0.998</v>
      </c>
      <c r="R345" t="s">
        <v>23</v>
      </c>
      <c r="S345">
        <v>4</v>
      </c>
    </row>
    <row r="346" spans="1:19">
      <c r="A346">
        <v>346</v>
      </c>
      <c r="B346" t="s">
        <v>165</v>
      </c>
      <c r="C346">
        <v>775.67960000000005</v>
      </c>
      <c r="D346">
        <v>208</v>
      </c>
      <c r="E346">
        <v>-0.81351345466043801</v>
      </c>
      <c r="F346" t="s">
        <v>18</v>
      </c>
      <c r="G346" t="s">
        <v>19</v>
      </c>
      <c r="H346">
        <v>0.998</v>
      </c>
      <c r="I346" t="s">
        <v>35</v>
      </c>
      <c r="J346" t="s">
        <v>19</v>
      </c>
      <c r="K346">
        <v>0.93</v>
      </c>
      <c r="L346" t="s">
        <v>36</v>
      </c>
      <c r="M346" t="s">
        <v>19</v>
      </c>
      <c r="N346">
        <v>0.99</v>
      </c>
      <c r="O346" t="s">
        <v>37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170</v>
      </c>
      <c r="C347">
        <v>630.06730000000005</v>
      </c>
      <c r="D347">
        <v>218.2</v>
      </c>
      <c r="E347">
        <v>-0.363797147548439</v>
      </c>
      <c r="F347" t="s">
        <v>18</v>
      </c>
      <c r="G347" t="s">
        <v>19</v>
      </c>
      <c r="H347">
        <v>1</v>
      </c>
      <c r="I347" t="s">
        <v>58</v>
      </c>
      <c r="J347" t="s">
        <v>19</v>
      </c>
      <c r="K347">
        <v>1</v>
      </c>
      <c r="L347" t="s">
        <v>133</v>
      </c>
      <c r="M347" t="s">
        <v>19</v>
      </c>
      <c r="N347">
        <v>0.88</v>
      </c>
      <c r="O347" t="s">
        <v>151</v>
      </c>
      <c r="P347" t="s">
        <v>19</v>
      </c>
      <c r="Q347">
        <v>0.999</v>
      </c>
      <c r="R347" t="s">
        <v>23</v>
      </c>
      <c r="S347">
        <v>4</v>
      </c>
    </row>
    <row r="348" spans="1:19">
      <c r="A348">
        <v>348</v>
      </c>
      <c r="B348" t="s">
        <v>399</v>
      </c>
      <c r="C348">
        <v>152.05619999999999</v>
      </c>
      <c r="D348">
        <v>131</v>
      </c>
      <c r="E348">
        <v>-0.88642135820578005</v>
      </c>
      <c r="F348" t="s">
        <v>18</v>
      </c>
      <c r="G348" t="s">
        <v>19</v>
      </c>
      <c r="H348">
        <v>1</v>
      </c>
      <c r="I348" t="s">
        <v>35</v>
      </c>
      <c r="J348" t="s">
        <v>19</v>
      </c>
      <c r="K348">
        <v>0.78</v>
      </c>
      <c r="L348" t="s">
        <v>36</v>
      </c>
      <c r="M348" t="s">
        <v>19</v>
      </c>
      <c r="N348">
        <v>1</v>
      </c>
      <c r="O348" t="s">
        <v>37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349</v>
      </c>
      <c r="B349" t="s">
        <v>400</v>
      </c>
      <c r="C349">
        <v>359.22219999999999</v>
      </c>
      <c r="D349">
        <v>192.8</v>
      </c>
      <c r="E349">
        <v>-0.82110976350634202</v>
      </c>
      <c r="F349" t="s">
        <v>18</v>
      </c>
      <c r="G349" t="s">
        <v>19</v>
      </c>
      <c r="H349">
        <v>1</v>
      </c>
      <c r="I349" t="s">
        <v>20</v>
      </c>
      <c r="J349" t="s">
        <v>19</v>
      </c>
      <c r="K349">
        <v>1</v>
      </c>
      <c r="L349" t="s">
        <v>53</v>
      </c>
      <c r="M349" t="s">
        <v>19</v>
      </c>
      <c r="N349">
        <v>0.96</v>
      </c>
      <c r="O349" t="s">
        <v>54</v>
      </c>
      <c r="P349" t="s">
        <v>19</v>
      </c>
      <c r="Q349">
        <v>0.80300000000000005</v>
      </c>
      <c r="R349" t="s">
        <v>23</v>
      </c>
      <c r="S349">
        <v>4</v>
      </c>
    </row>
    <row r="350" spans="1:19">
      <c r="A350">
        <v>350</v>
      </c>
      <c r="B350" t="s">
        <v>401</v>
      </c>
      <c r="C350">
        <v>1143.2906</v>
      </c>
      <c r="D350">
        <v>319.7</v>
      </c>
      <c r="E350">
        <v>-1.40566874347314E-2</v>
      </c>
      <c r="F350" t="s">
        <v>18</v>
      </c>
      <c r="G350" t="s">
        <v>19</v>
      </c>
      <c r="H350">
        <v>0.98399999999999999</v>
      </c>
      <c r="I350" t="s">
        <v>35</v>
      </c>
      <c r="J350" t="s">
        <v>19</v>
      </c>
      <c r="K350">
        <v>0.72</v>
      </c>
      <c r="L350" t="s">
        <v>36</v>
      </c>
      <c r="M350" t="s">
        <v>19</v>
      </c>
      <c r="N350">
        <v>0.96</v>
      </c>
      <c r="O350" t="s">
        <v>37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351</v>
      </c>
      <c r="B351" t="s">
        <v>402</v>
      </c>
      <c r="C351">
        <v>131.08240000000001</v>
      </c>
      <c r="D351">
        <v>128.69999999999999</v>
      </c>
      <c r="E351">
        <v>-0.93603969482910498</v>
      </c>
      <c r="F351" t="s">
        <v>18</v>
      </c>
      <c r="G351" t="s">
        <v>19</v>
      </c>
      <c r="H351">
        <v>1</v>
      </c>
      <c r="I351" t="s">
        <v>35</v>
      </c>
      <c r="J351" t="s">
        <v>19</v>
      </c>
      <c r="K351">
        <v>1</v>
      </c>
      <c r="L351" t="s">
        <v>36</v>
      </c>
      <c r="M351" t="s">
        <v>19</v>
      </c>
      <c r="N351">
        <v>1</v>
      </c>
      <c r="O351" t="s">
        <v>37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352</v>
      </c>
      <c r="B352" t="s">
        <v>360</v>
      </c>
      <c r="C352">
        <v>788.54409999999996</v>
      </c>
      <c r="D352">
        <v>283.10000000000002</v>
      </c>
      <c r="E352">
        <v>-0.66364957250777901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1</v>
      </c>
      <c r="L352" t="s">
        <v>21</v>
      </c>
      <c r="M352" t="s">
        <v>19</v>
      </c>
      <c r="N352">
        <v>1</v>
      </c>
      <c r="O352" t="s">
        <v>153</v>
      </c>
      <c r="P352" t="s">
        <v>19</v>
      </c>
      <c r="Q352">
        <v>0.75700000000000001</v>
      </c>
      <c r="R352" t="s">
        <v>23</v>
      </c>
      <c r="S352">
        <v>4</v>
      </c>
    </row>
    <row r="353" spans="1:19">
      <c r="A353">
        <v>353</v>
      </c>
      <c r="B353" t="s">
        <v>403</v>
      </c>
      <c r="C353">
        <v>159.02719999999999</v>
      </c>
      <c r="D353">
        <v>135.9</v>
      </c>
      <c r="E353">
        <v>-0.84963787478355401</v>
      </c>
      <c r="F353" t="s">
        <v>18</v>
      </c>
      <c r="G353" t="s">
        <v>19</v>
      </c>
      <c r="H353">
        <v>1</v>
      </c>
      <c r="I353" t="s">
        <v>43</v>
      </c>
      <c r="J353" t="s">
        <v>19</v>
      </c>
      <c r="K353">
        <v>0.96</v>
      </c>
      <c r="L353" t="s">
        <v>97</v>
      </c>
      <c r="M353" t="s">
        <v>19</v>
      </c>
      <c r="N353">
        <v>0.83</v>
      </c>
      <c r="O353" t="s">
        <v>98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354</v>
      </c>
      <c r="B354" t="s">
        <v>404</v>
      </c>
      <c r="C354">
        <v>295.22730000000001</v>
      </c>
      <c r="D354">
        <v>183.4</v>
      </c>
      <c r="E354">
        <v>-0.89766339186058997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1</v>
      </c>
      <c r="L354" t="s">
        <v>53</v>
      </c>
      <c r="M354" t="s">
        <v>19</v>
      </c>
      <c r="N354">
        <v>1</v>
      </c>
      <c r="O354" t="s">
        <v>405</v>
      </c>
      <c r="P354" t="s">
        <v>19</v>
      </c>
      <c r="Q354">
        <v>0.96899999999999997</v>
      </c>
      <c r="R354" t="s">
        <v>23</v>
      </c>
      <c r="S354">
        <v>4</v>
      </c>
    </row>
    <row r="355" spans="1:19">
      <c r="A355">
        <v>244</v>
      </c>
      <c r="B355" t="s">
        <v>56</v>
      </c>
      <c r="C355">
        <v>269.25</v>
      </c>
      <c r="D355">
        <v>174.8</v>
      </c>
      <c r="E355">
        <v>-0.949368396006946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53</v>
      </c>
      <c r="M355" t="s">
        <v>314</v>
      </c>
      <c r="N355">
        <v>0.5</v>
      </c>
      <c r="O355" t="s">
        <v>54</v>
      </c>
      <c r="P355" t="s">
        <v>19</v>
      </c>
      <c r="Q355">
        <v>0.97699999999999998</v>
      </c>
      <c r="R355" t="s">
        <v>23</v>
      </c>
      <c r="S355">
        <v>4</v>
      </c>
    </row>
  </sheetData>
  <autoFilter ref="A1:S1" xr:uid="{A78954DA-3889-4440-A21A-5EF72D6D4EB9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13" workbookViewId="0">
      <selection activeCell="A43" sqref="A43:AY92"/>
    </sheetView>
  </sheetViews>
  <sheetFormatPr baseColWidth="10" defaultRowHeight="16"/>
  <sheetData>
    <row r="1" spans="1:13">
      <c r="A1" s="1" t="s">
        <v>4</v>
      </c>
      <c r="B1" t="s">
        <v>86</v>
      </c>
      <c r="C1" t="s">
        <v>18</v>
      </c>
      <c r="D1" t="s">
        <v>406</v>
      </c>
    </row>
    <row r="2" spans="1:13">
      <c r="A2" t="s">
        <v>86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1</v>
      </c>
      <c r="C3">
        <v>2313</v>
      </c>
      <c r="D3">
        <v>4.32152117545326E-4</v>
      </c>
    </row>
    <row r="5" spans="1:13">
      <c r="A5" s="1" t="s">
        <v>7</v>
      </c>
      <c r="B5" t="s">
        <v>25</v>
      </c>
      <c r="C5" t="s">
        <v>20</v>
      </c>
      <c r="D5" t="s">
        <v>87</v>
      </c>
      <c r="E5" t="s">
        <v>58</v>
      </c>
      <c r="F5" t="s">
        <v>35</v>
      </c>
      <c r="G5" t="s">
        <v>177</v>
      </c>
      <c r="H5" t="s">
        <v>49</v>
      </c>
      <c r="I5" t="s">
        <v>407</v>
      </c>
      <c r="J5" t="s">
        <v>62</v>
      </c>
      <c r="K5" t="s">
        <v>43</v>
      </c>
      <c r="L5" t="s">
        <v>408</v>
      </c>
      <c r="M5" t="s">
        <v>406</v>
      </c>
    </row>
    <row r="6" spans="1:13">
      <c r="A6" t="s">
        <v>25</v>
      </c>
      <c r="B6">
        <v>101</v>
      </c>
      <c r="C6">
        <v>9</v>
      </c>
      <c r="D6">
        <v>1</v>
      </c>
      <c r="E6">
        <v>1</v>
      </c>
      <c r="F6">
        <v>25</v>
      </c>
      <c r="G6">
        <v>0</v>
      </c>
      <c r="H6">
        <v>14</v>
      </c>
      <c r="I6">
        <v>0</v>
      </c>
      <c r="J6">
        <v>1</v>
      </c>
      <c r="K6">
        <v>14</v>
      </c>
      <c r="L6">
        <v>2</v>
      </c>
      <c r="M6">
        <v>0.398809523809524</v>
      </c>
    </row>
    <row r="7" spans="1:13">
      <c r="A7" t="s">
        <v>20</v>
      </c>
      <c r="B7">
        <v>4</v>
      </c>
      <c r="C7">
        <v>802</v>
      </c>
      <c r="D7">
        <v>0</v>
      </c>
      <c r="E7">
        <v>0</v>
      </c>
      <c r="F7">
        <v>33</v>
      </c>
      <c r="G7">
        <v>0</v>
      </c>
      <c r="H7">
        <v>8</v>
      </c>
      <c r="I7">
        <v>2</v>
      </c>
      <c r="J7">
        <v>0</v>
      </c>
      <c r="K7">
        <v>8</v>
      </c>
      <c r="L7">
        <v>1</v>
      </c>
      <c r="M7">
        <v>6.5268065268065306E-2</v>
      </c>
    </row>
    <row r="8" spans="1:13">
      <c r="A8" t="s">
        <v>87</v>
      </c>
      <c r="B8">
        <v>2</v>
      </c>
      <c r="C8">
        <v>2</v>
      </c>
      <c r="D8">
        <v>40</v>
      </c>
      <c r="E8">
        <v>1</v>
      </c>
      <c r="F8">
        <v>1</v>
      </c>
      <c r="G8">
        <v>1</v>
      </c>
      <c r="H8">
        <v>2</v>
      </c>
      <c r="I8">
        <v>0</v>
      </c>
      <c r="J8">
        <v>2</v>
      </c>
      <c r="K8">
        <v>0</v>
      </c>
      <c r="L8">
        <v>0</v>
      </c>
      <c r="M8">
        <v>0.21568627450980399</v>
      </c>
    </row>
    <row r="9" spans="1:13">
      <c r="A9" t="s">
        <v>58</v>
      </c>
      <c r="B9">
        <v>2</v>
      </c>
      <c r="C9">
        <v>1</v>
      </c>
      <c r="D9">
        <v>0</v>
      </c>
      <c r="E9">
        <v>147</v>
      </c>
      <c r="F9">
        <v>2</v>
      </c>
      <c r="G9">
        <v>0</v>
      </c>
      <c r="H9">
        <v>6</v>
      </c>
      <c r="I9">
        <v>0</v>
      </c>
      <c r="J9">
        <v>1</v>
      </c>
      <c r="K9">
        <v>1</v>
      </c>
      <c r="L9">
        <v>0</v>
      </c>
      <c r="M9">
        <v>8.1250000000000003E-2</v>
      </c>
    </row>
    <row r="10" spans="1:13">
      <c r="A10" t="s">
        <v>35</v>
      </c>
      <c r="B10">
        <v>16</v>
      </c>
      <c r="C10">
        <v>37</v>
      </c>
      <c r="D10">
        <v>0</v>
      </c>
      <c r="E10">
        <v>4</v>
      </c>
      <c r="F10">
        <v>420</v>
      </c>
      <c r="G10">
        <v>4</v>
      </c>
      <c r="H10">
        <v>52</v>
      </c>
      <c r="I10">
        <v>1</v>
      </c>
      <c r="J10">
        <v>1</v>
      </c>
      <c r="K10">
        <v>30</v>
      </c>
      <c r="L10">
        <v>0</v>
      </c>
      <c r="M10">
        <v>0.25663716814159299</v>
      </c>
    </row>
    <row r="11" spans="1:13">
      <c r="A11" t="s">
        <v>177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0</v>
      </c>
      <c r="I11">
        <v>0</v>
      </c>
      <c r="J11">
        <v>0</v>
      </c>
      <c r="K11">
        <v>3</v>
      </c>
      <c r="L11">
        <v>0</v>
      </c>
      <c r="M11">
        <v>0.31707317073170699</v>
      </c>
    </row>
    <row r="12" spans="1:13">
      <c r="A12" t="s">
        <v>49</v>
      </c>
      <c r="B12">
        <v>11</v>
      </c>
      <c r="C12">
        <v>12</v>
      </c>
      <c r="D12">
        <v>0</v>
      </c>
      <c r="E12">
        <v>11</v>
      </c>
      <c r="F12">
        <v>47</v>
      </c>
      <c r="G12">
        <v>0</v>
      </c>
      <c r="H12">
        <v>178</v>
      </c>
      <c r="I12">
        <v>0</v>
      </c>
      <c r="J12">
        <v>1</v>
      </c>
      <c r="K12">
        <v>14</v>
      </c>
      <c r="L12">
        <v>2</v>
      </c>
      <c r="M12">
        <v>0.35507246376811602</v>
      </c>
    </row>
    <row r="13" spans="1:13">
      <c r="A13" t="s">
        <v>407</v>
      </c>
      <c r="B13">
        <v>0</v>
      </c>
      <c r="C13">
        <v>3</v>
      </c>
      <c r="D13">
        <v>0</v>
      </c>
      <c r="E13">
        <v>0</v>
      </c>
      <c r="F13">
        <v>8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62</v>
      </c>
      <c r="B14">
        <v>1</v>
      </c>
      <c r="C14">
        <v>0</v>
      </c>
      <c r="D14">
        <v>0</v>
      </c>
      <c r="E14">
        <v>0</v>
      </c>
      <c r="F14">
        <v>0</v>
      </c>
      <c r="G14">
        <v>0</v>
      </c>
      <c r="H14">
        <v>1</v>
      </c>
      <c r="I14">
        <v>0</v>
      </c>
      <c r="J14">
        <v>60</v>
      </c>
      <c r="K14">
        <v>0</v>
      </c>
      <c r="L14">
        <v>0</v>
      </c>
      <c r="M14">
        <v>3.2258064516128997E-2</v>
      </c>
    </row>
    <row r="15" spans="1:13">
      <c r="A15" t="s">
        <v>43</v>
      </c>
      <c r="B15">
        <v>10</v>
      </c>
      <c r="C15">
        <v>5</v>
      </c>
      <c r="D15">
        <v>0</v>
      </c>
      <c r="E15">
        <v>6</v>
      </c>
      <c r="F15">
        <v>52</v>
      </c>
      <c r="G15">
        <v>1</v>
      </c>
      <c r="H15">
        <v>20</v>
      </c>
      <c r="I15">
        <v>0</v>
      </c>
      <c r="J15">
        <v>0</v>
      </c>
      <c r="K15">
        <v>63</v>
      </c>
      <c r="L15">
        <v>0</v>
      </c>
      <c r="M15">
        <v>0.59872611464968195</v>
      </c>
    </row>
    <row r="16" spans="1:13">
      <c r="A16" t="s">
        <v>408</v>
      </c>
      <c r="B16">
        <v>3</v>
      </c>
      <c r="C16">
        <v>1</v>
      </c>
      <c r="D16">
        <v>0</v>
      </c>
      <c r="E16">
        <v>0</v>
      </c>
      <c r="F16">
        <v>6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1" t="s">
        <v>10</v>
      </c>
      <c r="B18" t="s">
        <v>88</v>
      </c>
      <c r="C18" t="s">
        <v>121</v>
      </c>
      <c r="D18" t="s">
        <v>26</v>
      </c>
      <c r="E18" t="s">
        <v>36</v>
      </c>
      <c r="F18" t="s">
        <v>161</v>
      </c>
      <c r="G18" t="s">
        <v>53</v>
      </c>
      <c r="H18" t="s">
        <v>409</v>
      </c>
      <c r="I18" t="s">
        <v>410</v>
      </c>
      <c r="J18" t="s">
        <v>21</v>
      </c>
      <c r="K18" t="s">
        <v>97</v>
      </c>
      <c r="L18" t="s">
        <v>111</v>
      </c>
      <c r="M18" t="s">
        <v>63</v>
      </c>
      <c r="N18" t="s">
        <v>178</v>
      </c>
      <c r="O18" t="s">
        <v>50</v>
      </c>
      <c r="P18" t="s">
        <v>148</v>
      </c>
      <c r="Q18" t="s">
        <v>194</v>
      </c>
      <c r="R18" t="s">
        <v>59</v>
      </c>
      <c r="S18" t="s">
        <v>29</v>
      </c>
      <c r="T18" t="s">
        <v>44</v>
      </c>
      <c r="U18" t="s">
        <v>133</v>
      </c>
      <c r="V18" t="s">
        <v>235</v>
      </c>
      <c r="W18" t="s">
        <v>32</v>
      </c>
      <c r="X18" t="s">
        <v>69</v>
      </c>
      <c r="Y18" t="s">
        <v>406</v>
      </c>
    </row>
    <row r="19" spans="1:25">
      <c r="A19" t="s">
        <v>88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121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4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1</v>
      </c>
      <c r="W20">
        <v>0</v>
      </c>
      <c r="X20">
        <v>0</v>
      </c>
      <c r="Y20">
        <v>0.91666666666666696</v>
      </c>
    </row>
    <row r="21" spans="1:25">
      <c r="A21" t="s">
        <v>26</v>
      </c>
      <c r="B21">
        <v>0</v>
      </c>
      <c r="C21">
        <v>0</v>
      </c>
      <c r="D21">
        <v>138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4.8275862068965503E-2</v>
      </c>
    </row>
    <row r="22" spans="1:25">
      <c r="A22" t="s">
        <v>36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2.321083172147E-2</v>
      </c>
    </row>
    <row r="23" spans="1:25">
      <c r="A23" t="s">
        <v>161</v>
      </c>
      <c r="B23">
        <v>0</v>
      </c>
      <c r="C23">
        <v>1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9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53</v>
      </c>
      <c r="B24">
        <v>0</v>
      </c>
      <c r="C24">
        <v>0</v>
      </c>
      <c r="D24">
        <v>0</v>
      </c>
      <c r="E24">
        <v>0</v>
      </c>
      <c r="F24">
        <v>0</v>
      </c>
      <c r="G24">
        <v>180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10</v>
      </c>
      <c r="Y24">
        <v>8.6294416243654901E-2</v>
      </c>
    </row>
    <row r="25" spans="1:25">
      <c r="A25" t="s">
        <v>409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410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2</v>
      </c>
      <c r="H27">
        <v>0</v>
      </c>
      <c r="I27">
        <v>0</v>
      </c>
      <c r="J27">
        <v>365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18</v>
      </c>
      <c r="X27">
        <v>5</v>
      </c>
      <c r="Y27">
        <v>6.4102564102564097E-2</v>
      </c>
    </row>
    <row r="28" spans="1:25">
      <c r="A28" t="s">
        <v>97</v>
      </c>
      <c r="B28">
        <v>0</v>
      </c>
      <c r="C28">
        <v>3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19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4</v>
      </c>
      <c r="U28">
        <v>0</v>
      </c>
      <c r="V28">
        <v>2</v>
      </c>
      <c r="W28">
        <v>0</v>
      </c>
      <c r="X28">
        <v>0</v>
      </c>
      <c r="Y28">
        <v>0.52500000000000002</v>
      </c>
    </row>
    <row r="29" spans="1:25">
      <c r="A29" t="s">
        <v>111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0.232558139534884</v>
      </c>
    </row>
    <row r="30" spans="1:25">
      <c r="A30" t="s">
        <v>63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178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50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148</v>
      </c>
      <c r="B33">
        <v>0</v>
      </c>
      <c r="C33">
        <v>0</v>
      </c>
      <c r="D33">
        <v>0</v>
      </c>
      <c r="E33">
        <v>26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0.43333333333333302</v>
      </c>
    </row>
    <row r="34" spans="1:51">
      <c r="A34" t="s">
        <v>194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59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73</v>
      </c>
      <c r="S35">
        <v>0</v>
      </c>
      <c r="T35">
        <v>0</v>
      </c>
      <c r="U35">
        <v>17</v>
      </c>
      <c r="V35">
        <v>0</v>
      </c>
      <c r="W35">
        <v>0</v>
      </c>
      <c r="X35">
        <v>0</v>
      </c>
      <c r="Y35">
        <v>0.18888888888888899</v>
      </c>
    </row>
    <row r="36" spans="1:51">
      <c r="A36" t="s">
        <v>29</v>
      </c>
      <c r="B36">
        <v>0</v>
      </c>
      <c r="C36">
        <v>0</v>
      </c>
      <c r="D36">
        <v>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>
        <v>0.5</v>
      </c>
    </row>
    <row r="37" spans="1:51">
      <c r="A37" t="s">
        <v>44</v>
      </c>
      <c r="B37">
        <v>0</v>
      </c>
      <c r="C37">
        <v>0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10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133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15</v>
      </c>
      <c r="S38">
        <v>0</v>
      </c>
      <c r="T38">
        <v>0</v>
      </c>
      <c r="U38">
        <v>55</v>
      </c>
      <c r="V38">
        <v>0</v>
      </c>
      <c r="W38">
        <v>0</v>
      </c>
      <c r="X38">
        <v>0</v>
      </c>
      <c r="Y38">
        <v>0.214285714285714</v>
      </c>
    </row>
    <row r="39" spans="1:51">
      <c r="A39" t="s">
        <v>235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4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</v>
      </c>
      <c r="U39">
        <v>0</v>
      </c>
      <c r="V39">
        <v>4</v>
      </c>
      <c r="W39">
        <v>0</v>
      </c>
      <c r="X39">
        <v>0</v>
      </c>
      <c r="Y39">
        <v>0.69230769230769196</v>
      </c>
    </row>
    <row r="40" spans="1:51">
      <c r="A40" t="s">
        <v>32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190</v>
      </c>
      <c r="X40">
        <v>0</v>
      </c>
      <c r="Y40">
        <v>0.10377358490565999</v>
      </c>
    </row>
    <row r="41" spans="1:51">
      <c r="A41" t="s">
        <v>69</v>
      </c>
      <c r="B41">
        <v>0</v>
      </c>
      <c r="C41">
        <v>0</v>
      </c>
      <c r="D41">
        <v>0</v>
      </c>
      <c r="E41">
        <v>0</v>
      </c>
      <c r="F41">
        <v>0</v>
      </c>
      <c r="G41">
        <v>17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B43" t="s">
        <v>109</v>
      </c>
      <c r="C43" t="s">
        <v>89</v>
      </c>
      <c r="D43" t="s">
        <v>179</v>
      </c>
      <c r="E43" t="s">
        <v>37</v>
      </c>
      <c r="F43" t="s">
        <v>27</v>
      </c>
      <c r="G43" t="s">
        <v>195</v>
      </c>
      <c r="H43" t="s">
        <v>265</v>
      </c>
      <c r="I43" t="s">
        <v>129</v>
      </c>
      <c r="J43" t="s">
        <v>30</v>
      </c>
      <c r="K43" t="s">
        <v>107</v>
      </c>
      <c r="L43" t="s">
        <v>119</v>
      </c>
      <c r="M43" t="s">
        <v>51</v>
      </c>
      <c r="N43" t="s">
        <v>144</v>
      </c>
      <c r="O43" t="s">
        <v>114</v>
      </c>
      <c r="P43" t="s">
        <v>60</v>
      </c>
      <c r="Q43" t="s">
        <v>149</v>
      </c>
      <c r="R43" t="s">
        <v>246</v>
      </c>
      <c r="S43" t="s">
        <v>192</v>
      </c>
      <c r="T43" t="s">
        <v>77</v>
      </c>
      <c r="U43" t="s">
        <v>54</v>
      </c>
      <c r="V43" t="s">
        <v>93</v>
      </c>
      <c r="W43" t="s">
        <v>22</v>
      </c>
      <c r="X43" t="s">
        <v>40</v>
      </c>
      <c r="Y43" t="s">
        <v>153</v>
      </c>
      <c r="Z43" t="s">
        <v>100</v>
      </c>
      <c r="AA43" t="s">
        <v>280</v>
      </c>
      <c r="AB43" t="s">
        <v>411</v>
      </c>
      <c r="AC43" t="s">
        <v>122</v>
      </c>
      <c r="AD43" t="s">
        <v>321</v>
      </c>
      <c r="AE43" t="s">
        <v>200</v>
      </c>
      <c r="AF43" t="s">
        <v>405</v>
      </c>
      <c r="AG43" t="s">
        <v>412</v>
      </c>
      <c r="AH43" t="s">
        <v>64</v>
      </c>
      <c r="AI43" t="s">
        <v>33</v>
      </c>
      <c r="AJ43" t="s">
        <v>70</v>
      </c>
      <c r="AK43" t="s">
        <v>124</v>
      </c>
      <c r="AL43" t="s">
        <v>102</v>
      </c>
      <c r="AM43" t="s">
        <v>67</v>
      </c>
      <c r="AN43" t="s">
        <v>98</v>
      </c>
      <c r="AO43" t="s">
        <v>45</v>
      </c>
      <c r="AP43" t="s">
        <v>388</v>
      </c>
      <c r="AQ43" t="s">
        <v>140</v>
      </c>
      <c r="AR43" t="s">
        <v>151</v>
      </c>
      <c r="AS43" t="s">
        <v>134</v>
      </c>
      <c r="AT43" t="s">
        <v>162</v>
      </c>
      <c r="AU43" t="s">
        <v>212</v>
      </c>
      <c r="AV43" t="s">
        <v>236</v>
      </c>
      <c r="AW43" t="s">
        <v>228</v>
      </c>
      <c r="AX43" t="s">
        <v>112</v>
      </c>
      <c r="AY43" t="s">
        <v>406</v>
      </c>
    </row>
    <row r="44" spans="1:51">
      <c r="A44" t="s">
        <v>109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89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179</v>
      </c>
      <c r="B46">
        <v>0</v>
      </c>
      <c r="C46">
        <v>0</v>
      </c>
      <c r="D46">
        <v>14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4</v>
      </c>
      <c r="AV46">
        <v>0</v>
      </c>
      <c r="AW46">
        <v>0</v>
      </c>
      <c r="AX46">
        <v>0</v>
      </c>
      <c r="AY46">
        <v>0.22222222222222199</v>
      </c>
    </row>
    <row r="47" spans="1:51">
      <c r="A47" t="s">
        <v>37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27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195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265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129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2</v>
      </c>
      <c r="I51">
        <v>31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0.13888888888888901</v>
      </c>
    </row>
    <row r="52" spans="1:51">
      <c r="A52" t="s">
        <v>30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107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119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51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144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114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60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0.28571428571428598</v>
      </c>
    </row>
    <row r="59" spans="1:51">
      <c r="A59" t="s">
        <v>149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246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192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77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54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8</v>
      </c>
      <c r="T63">
        <v>3</v>
      </c>
      <c r="U63">
        <v>106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0.109243697478992</v>
      </c>
    </row>
    <row r="64" spans="1:51">
      <c r="A64" t="s">
        <v>93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22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102</v>
      </c>
      <c r="X65">
        <v>34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0.26618705035971202</v>
      </c>
    </row>
    <row r="66" spans="1:51">
      <c r="A66" t="s">
        <v>40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39</v>
      </c>
      <c r="X66">
        <v>92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0.36111111111111099</v>
      </c>
    </row>
    <row r="67" spans="1:51">
      <c r="A67" t="s">
        <v>153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11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100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82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27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0.247706422018349</v>
      </c>
    </row>
    <row r="69" spans="1:51">
      <c r="A69" t="s">
        <v>280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411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122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321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405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412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64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33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39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32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0.54929577464788704</v>
      </c>
    </row>
    <row r="78" spans="1:51">
      <c r="A78" t="s">
        <v>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124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102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67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5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98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45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388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140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151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134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162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212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236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228</v>
      </c>
      <c r="B91">
        <v>0</v>
      </c>
      <c r="C91">
        <v>0</v>
      </c>
      <c r="D91">
        <v>0</v>
      </c>
      <c r="E91">
        <v>8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4</v>
      </c>
      <c r="AX91">
        <v>0</v>
      </c>
      <c r="AY91">
        <v>0.66666666666666696</v>
      </c>
    </row>
    <row r="92" spans="1:51">
      <c r="A92" t="s">
        <v>112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H8" sqref="H8"/>
    </sheetView>
  </sheetViews>
  <sheetFormatPr baseColWidth="10" defaultRowHeight="16"/>
  <sheetData>
    <row r="1" spans="1:5">
      <c r="A1" t="s">
        <v>413</v>
      </c>
      <c r="B1" t="s">
        <v>4</v>
      </c>
      <c r="C1" t="s">
        <v>414</v>
      </c>
      <c r="D1" t="s">
        <v>86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6.0000000000000001E-3</v>
      </c>
      <c r="E11">
        <v>0.99399999999999999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4.0000000000000001E-3</v>
      </c>
      <c r="E18">
        <v>0.996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2E-3</v>
      </c>
      <c r="E20">
        <v>0.998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4.0000000000000001E-3</v>
      </c>
      <c r="E31">
        <v>0.996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86</v>
      </c>
      <c r="C35" t="s">
        <v>86</v>
      </c>
      <c r="D35">
        <v>0.99399999999999999</v>
      </c>
      <c r="E35">
        <v>6.0000000000000001E-3</v>
      </c>
    </row>
    <row r="36" spans="1:5">
      <c r="A36">
        <v>35</v>
      </c>
      <c r="B36" t="s">
        <v>18</v>
      </c>
      <c r="C36" t="s">
        <v>18</v>
      </c>
      <c r="D36">
        <v>1.7999999999999999E-2</v>
      </c>
      <c r="E36">
        <v>0.98199999999999998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86</v>
      </c>
      <c r="C47" t="s">
        <v>86</v>
      </c>
      <c r="D47">
        <v>0.98</v>
      </c>
      <c r="E47">
        <v>0.02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4.0000000000000001E-3</v>
      </c>
      <c r="E66">
        <v>0.996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1.4E-2</v>
      </c>
      <c r="E79">
        <v>0.98599999999999999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86</v>
      </c>
      <c r="C81" t="s">
        <v>86</v>
      </c>
      <c r="D81">
        <v>1</v>
      </c>
      <c r="E81">
        <v>0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0.06</v>
      </c>
      <c r="E87">
        <v>0.94</v>
      </c>
    </row>
    <row r="88" spans="1:5">
      <c r="A88">
        <v>87</v>
      </c>
      <c r="B88" t="s">
        <v>18</v>
      </c>
      <c r="C88" t="s">
        <v>18</v>
      </c>
      <c r="D88">
        <v>2E-3</v>
      </c>
      <c r="E88">
        <v>0.998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86</v>
      </c>
      <c r="C91" t="s">
        <v>86</v>
      </c>
      <c r="D91">
        <v>1</v>
      </c>
      <c r="E91">
        <v>0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0.17</v>
      </c>
      <c r="E99">
        <v>0.83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4.0000000000000001E-3</v>
      </c>
      <c r="E101">
        <v>0.996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4.0000000000000001E-3</v>
      </c>
      <c r="E105">
        <v>0.996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3.2000000000000001E-2</v>
      </c>
      <c r="E113">
        <v>0.96799999999999997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2E-3</v>
      </c>
      <c r="E127">
        <v>0.998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2E-3</v>
      </c>
      <c r="E138">
        <v>0.998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86</v>
      </c>
      <c r="C153" t="s">
        <v>86</v>
      </c>
      <c r="D153">
        <v>1</v>
      </c>
      <c r="E153">
        <v>0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3.7999999999999999E-2</v>
      </c>
      <c r="E159">
        <v>0.96199999999999997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8.0000000000000002E-3</v>
      </c>
      <c r="E180">
        <v>0.99199999999999999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6.0000000000000001E-3</v>
      </c>
      <c r="E189">
        <v>0.99399999999999999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86</v>
      </c>
      <c r="C195" t="s">
        <v>86</v>
      </c>
      <c r="D195">
        <v>0.872</v>
      </c>
      <c r="E195">
        <v>0.128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86</v>
      </c>
      <c r="C212" t="s">
        <v>86</v>
      </c>
      <c r="D212">
        <v>0.998</v>
      </c>
      <c r="E212">
        <v>2E-3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2E-3</v>
      </c>
      <c r="E214">
        <v>0.998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6.0000000000000001E-3</v>
      </c>
      <c r="E217">
        <v>0.99399999999999999</v>
      </c>
    </row>
    <row r="218" spans="1:5">
      <c r="A218">
        <v>217</v>
      </c>
      <c r="B218" t="s">
        <v>86</v>
      </c>
      <c r="C218" t="s">
        <v>86</v>
      </c>
      <c r="D218">
        <v>1</v>
      </c>
      <c r="E218">
        <v>0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86</v>
      </c>
      <c r="C236" t="s">
        <v>86</v>
      </c>
      <c r="D236">
        <v>0.996</v>
      </c>
      <c r="E236">
        <v>4.0000000000000001E-3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2.4E-2</v>
      </c>
      <c r="E266">
        <v>0.97599999999999998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8.0000000000000002E-3</v>
      </c>
      <c r="E297">
        <v>0.99199999999999999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0.04</v>
      </c>
      <c r="E304">
        <v>0.96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2E-3</v>
      </c>
      <c r="E318">
        <v>0.998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6.8000000000000005E-2</v>
      </c>
      <c r="E328">
        <v>0.93200000000000005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2.1999999999999999E-2</v>
      </c>
      <c r="E338">
        <v>0.97799999999999998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2E-3</v>
      </c>
      <c r="E347">
        <v>0.998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1.6E-2</v>
      </c>
      <c r="E351">
        <v>0.98399999999999999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A2" sqref="A2"/>
    </sheetView>
  </sheetViews>
  <sheetFormatPr baseColWidth="10" defaultRowHeight="16"/>
  <sheetData>
    <row r="1" spans="1:14">
      <c r="A1" s="2" t="s">
        <v>413</v>
      </c>
      <c r="B1" s="2" t="s">
        <v>7</v>
      </c>
      <c r="C1" s="2" t="s">
        <v>415</v>
      </c>
      <c r="D1" s="2" t="s">
        <v>25</v>
      </c>
      <c r="E1" s="2" t="s">
        <v>20</v>
      </c>
      <c r="F1" s="2" t="s">
        <v>87</v>
      </c>
      <c r="G1" s="2" t="s">
        <v>58</v>
      </c>
      <c r="H1" s="2" t="s">
        <v>35</v>
      </c>
      <c r="I1" s="2" t="s">
        <v>177</v>
      </c>
      <c r="J1" s="2" t="s">
        <v>49</v>
      </c>
      <c r="K1" s="2" t="s">
        <v>407</v>
      </c>
      <c r="L1" s="2" t="s">
        <v>62</v>
      </c>
      <c r="M1" s="2" t="s">
        <v>43</v>
      </c>
      <c r="N1" s="2" t="s">
        <v>408</v>
      </c>
    </row>
    <row r="2" spans="1:14">
      <c r="A2" s="2">
        <v>1</v>
      </c>
      <c r="B2" s="2" t="s">
        <v>20</v>
      </c>
      <c r="C2" s="2" t="s">
        <v>20</v>
      </c>
      <c r="D2" s="2">
        <v>0.06</v>
      </c>
      <c r="E2" s="2">
        <v>0.84</v>
      </c>
      <c r="F2" s="2">
        <v>0</v>
      </c>
      <c r="G2" s="2">
        <v>0</v>
      </c>
      <c r="H2" s="2">
        <v>0.04</v>
      </c>
      <c r="I2" s="2">
        <v>0</v>
      </c>
      <c r="J2" s="2">
        <v>0.01</v>
      </c>
      <c r="K2" s="2">
        <v>0.05</v>
      </c>
      <c r="L2" s="2">
        <v>0</v>
      </c>
      <c r="M2" s="2">
        <v>0</v>
      </c>
      <c r="N2" s="2">
        <v>0</v>
      </c>
    </row>
    <row r="3" spans="1:14">
      <c r="A3" s="2">
        <v>2</v>
      </c>
      <c r="B3" s="2" t="s">
        <v>25</v>
      </c>
      <c r="C3" s="2" t="s">
        <v>25</v>
      </c>
      <c r="D3" s="2">
        <v>0.69</v>
      </c>
      <c r="E3" s="2">
        <v>0</v>
      </c>
      <c r="F3" s="2">
        <v>0</v>
      </c>
      <c r="G3" s="2">
        <v>0</v>
      </c>
      <c r="H3" s="2">
        <v>0.22</v>
      </c>
      <c r="I3" s="2">
        <v>0</v>
      </c>
      <c r="J3" s="2">
        <v>0.03</v>
      </c>
      <c r="K3" s="2">
        <v>0.02</v>
      </c>
      <c r="L3" s="2">
        <v>0</v>
      </c>
      <c r="M3" s="2">
        <v>0</v>
      </c>
      <c r="N3" s="2">
        <v>0.04</v>
      </c>
    </row>
    <row r="4" spans="1:14">
      <c r="A4" s="2">
        <v>3</v>
      </c>
      <c r="B4" s="2" t="s">
        <v>25</v>
      </c>
      <c r="C4" s="2" t="s">
        <v>25</v>
      </c>
      <c r="D4" s="2">
        <v>0.89</v>
      </c>
      <c r="E4" s="2">
        <v>0</v>
      </c>
      <c r="F4" s="2">
        <v>0</v>
      </c>
      <c r="G4" s="2">
        <v>0</v>
      </c>
      <c r="H4" s="2">
        <v>0.05</v>
      </c>
      <c r="I4" s="2">
        <v>0</v>
      </c>
      <c r="J4" s="2">
        <v>0</v>
      </c>
      <c r="K4" s="2">
        <v>0</v>
      </c>
      <c r="L4" s="2">
        <v>0</v>
      </c>
      <c r="M4" s="2">
        <v>0.03</v>
      </c>
      <c r="N4" s="2">
        <v>0.03</v>
      </c>
    </row>
    <row r="5" spans="1:14">
      <c r="A5" s="2">
        <v>4</v>
      </c>
      <c r="B5" s="2" t="s">
        <v>20</v>
      </c>
      <c r="C5" s="2" t="s">
        <v>20</v>
      </c>
      <c r="D5" s="2">
        <v>0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</row>
    <row r="6" spans="1:14">
      <c r="A6" s="2">
        <v>5</v>
      </c>
      <c r="B6" s="2" t="s">
        <v>35</v>
      </c>
      <c r="C6" s="2" t="s">
        <v>35</v>
      </c>
      <c r="D6" s="2">
        <v>0</v>
      </c>
      <c r="E6" s="2">
        <v>0.33</v>
      </c>
      <c r="F6" s="2">
        <v>0</v>
      </c>
      <c r="G6" s="2">
        <v>0</v>
      </c>
      <c r="H6" s="2">
        <v>0.62</v>
      </c>
      <c r="I6" s="2">
        <v>0</v>
      </c>
      <c r="J6" s="2">
        <v>0.05</v>
      </c>
      <c r="K6" s="2">
        <v>0</v>
      </c>
      <c r="L6" s="2">
        <v>0</v>
      </c>
      <c r="M6" s="2">
        <v>0</v>
      </c>
      <c r="N6" s="2">
        <v>0</v>
      </c>
    </row>
    <row r="7" spans="1:14">
      <c r="A7" s="2">
        <v>6</v>
      </c>
      <c r="B7" s="2" t="s">
        <v>35</v>
      </c>
      <c r="C7" s="2" t="s">
        <v>35</v>
      </c>
      <c r="D7" s="2">
        <v>0</v>
      </c>
      <c r="E7" s="2">
        <v>0.01</v>
      </c>
      <c r="F7" s="2">
        <v>0</v>
      </c>
      <c r="G7" s="2">
        <v>0</v>
      </c>
      <c r="H7" s="2">
        <v>0.89</v>
      </c>
      <c r="I7" s="2">
        <v>0</v>
      </c>
      <c r="J7" s="2">
        <v>0.1</v>
      </c>
      <c r="K7" s="2">
        <v>0</v>
      </c>
      <c r="L7" s="2">
        <v>0</v>
      </c>
      <c r="M7" s="2">
        <v>0</v>
      </c>
      <c r="N7" s="2">
        <v>0</v>
      </c>
    </row>
    <row r="8" spans="1:14">
      <c r="A8" s="2">
        <v>7</v>
      </c>
      <c r="B8" s="2" t="s">
        <v>20</v>
      </c>
      <c r="C8" s="2" t="s">
        <v>20</v>
      </c>
      <c r="D8" s="2">
        <v>0</v>
      </c>
      <c r="E8" s="2">
        <v>1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</row>
    <row r="9" spans="1:14">
      <c r="A9" s="2">
        <v>8</v>
      </c>
      <c r="B9" s="2" t="s">
        <v>35</v>
      </c>
      <c r="C9" s="2" t="s">
        <v>35</v>
      </c>
      <c r="D9" s="2">
        <v>0</v>
      </c>
      <c r="E9" s="2">
        <v>0</v>
      </c>
      <c r="F9" s="2">
        <v>0</v>
      </c>
      <c r="G9" s="2">
        <v>0</v>
      </c>
      <c r="H9" s="2">
        <v>0.75</v>
      </c>
      <c r="I9" s="2">
        <v>0</v>
      </c>
      <c r="J9" s="2">
        <v>0.01</v>
      </c>
      <c r="K9" s="2">
        <v>0</v>
      </c>
      <c r="L9" s="2">
        <v>0.24</v>
      </c>
      <c r="M9" s="2">
        <v>0</v>
      </c>
      <c r="N9" s="2">
        <v>0</v>
      </c>
    </row>
    <row r="10" spans="1:14">
      <c r="A10" s="2">
        <v>9</v>
      </c>
      <c r="B10" s="2" t="s">
        <v>43</v>
      </c>
      <c r="C10" s="2" t="s">
        <v>43</v>
      </c>
      <c r="D10" s="2">
        <v>0.1</v>
      </c>
      <c r="E10" s="2">
        <v>0</v>
      </c>
      <c r="F10" s="2">
        <v>0</v>
      </c>
      <c r="G10" s="2">
        <v>0.01</v>
      </c>
      <c r="H10" s="2">
        <v>0.03</v>
      </c>
      <c r="I10" s="2">
        <v>0</v>
      </c>
      <c r="J10" s="2">
        <v>0.04</v>
      </c>
      <c r="K10" s="2">
        <v>0</v>
      </c>
      <c r="L10" s="2">
        <v>0</v>
      </c>
      <c r="M10" s="2">
        <v>0.82</v>
      </c>
      <c r="N10" s="2">
        <v>0</v>
      </c>
    </row>
    <row r="11" spans="1:14">
      <c r="A11" s="2">
        <v>10</v>
      </c>
      <c r="B11" s="2" t="s">
        <v>35</v>
      </c>
      <c r="C11" s="2" t="s">
        <v>35</v>
      </c>
      <c r="D11" s="2">
        <v>0.12</v>
      </c>
      <c r="E11" s="2">
        <v>0</v>
      </c>
      <c r="F11" s="2">
        <v>0</v>
      </c>
      <c r="G11" s="2">
        <v>0.01</v>
      </c>
      <c r="H11" s="2">
        <v>0.86</v>
      </c>
      <c r="I11" s="2">
        <v>0</v>
      </c>
      <c r="J11" s="2">
        <v>0</v>
      </c>
      <c r="K11" s="2">
        <v>0</v>
      </c>
      <c r="L11" s="2">
        <v>0.01</v>
      </c>
      <c r="M11" s="2">
        <v>0</v>
      </c>
      <c r="N11" s="2">
        <v>0</v>
      </c>
    </row>
    <row r="12" spans="1:14">
      <c r="A12" s="2">
        <v>11</v>
      </c>
      <c r="B12" s="2" t="s">
        <v>20</v>
      </c>
      <c r="C12" s="2" t="s">
        <v>20</v>
      </c>
      <c r="D12" s="2">
        <v>0</v>
      </c>
      <c r="E12" s="2">
        <v>1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</row>
    <row r="13" spans="1:14">
      <c r="A13" s="2">
        <v>12</v>
      </c>
      <c r="B13" s="2" t="s">
        <v>49</v>
      </c>
      <c r="C13" s="2" t="s">
        <v>49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1</v>
      </c>
      <c r="K13" s="2">
        <v>0</v>
      </c>
      <c r="L13" s="2">
        <v>0</v>
      </c>
      <c r="M13" s="2">
        <v>0</v>
      </c>
      <c r="N13" s="2">
        <v>0</v>
      </c>
    </row>
    <row r="14" spans="1:14">
      <c r="A14" s="2">
        <v>13</v>
      </c>
      <c r="B14" s="2" t="s">
        <v>20</v>
      </c>
      <c r="C14" s="2" t="s">
        <v>20</v>
      </c>
      <c r="D14" s="2">
        <v>0.02</v>
      </c>
      <c r="E14" s="2">
        <v>0.83</v>
      </c>
      <c r="F14" s="2">
        <v>0</v>
      </c>
      <c r="G14" s="2">
        <v>0</v>
      </c>
      <c r="H14" s="2">
        <v>0.13</v>
      </c>
      <c r="I14" s="2">
        <v>0</v>
      </c>
      <c r="J14" s="2">
        <v>0</v>
      </c>
      <c r="K14" s="2">
        <v>0</v>
      </c>
      <c r="L14" s="2">
        <v>0</v>
      </c>
      <c r="M14" s="2">
        <v>0.02</v>
      </c>
      <c r="N14" s="2">
        <v>0</v>
      </c>
    </row>
    <row r="15" spans="1:14">
      <c r="A15" s="2">
        <v>14</v>
      </c>
      <c r="B15" s="2" t="s">
        <v>35</v>
      </c>
      <c r="C15" s="2" t="s">
        <v>35</v>
      </c>
      <c r="D15" s="2">
        <v>0</v>
      </c>
      <c r="E15" s="2">
        <v>0</v>
      </c>
      <c r="F15" s="2">
        <v>0</v>
      </c>
      <c r="G15" s="2">
        <v>0</v>
      </c>
      <c r="H15" s="2">
        <v>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</row>
    <row r="16" spans="1:14">
      <c r="A16" s="2">
        <v>15</v>
      </c>
      <c r="B16" s="2" t="s">
        <v>20</v>
      </c>
      <c r="C16" s="2" t="s">
        <v>20</v>
      </c>
      <c r="D16" s="2">
        <v>0</v>
      </c>
      <c r="E16" s="2">
        <v>0.98</v>
      </c>
      <c r="F16" s="2">
        <v>0</v>
      </c>
      <c r="G16" s="2">
        <v>0</v>
      </c>
      <c r="H16" s="2">
        <v>0</v>
      </c>
      <c r="I16" s="2">
        <v>0.02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</row>
    <row r="17" spans="1:14">
      <c r="A17" s="2">
        <v>16</v>
      </c>
      <c r="B17" s="2" t="s">
        <v>58</v>
      </c>
      <c r="C17" s="2" t="s">
        <v>58</v>
      </c>
      <c r="D17" s="2">
        <v>0</v>
      </c>
      <c r="E17" s="2">
        <v>0</v>
      </c>
      <c r="F17" s="2">
        <v>0</v>
      </c>
      <c r="G17" s="2">
        <v>0.93</v>
      </c>
      <c r="H17" s="2">
        <v>0</v>
      </c>
      <c r="I17" s="2">
        <v>0</v>
      </c>
      <c r="J17" s="2">
        <v>0.06</v>
      </c>
      <c r="K17" s="2">
        <v>0</v>
      </c>
      <c r="L17" s="2">
        <v>0</v>
      </c>
      <c r="M17" s="2">
        <v>0.01</v>
      </c>
      <c r="N17" s="2">
        <v>0</v>
      </c>
    </row>
    <row r="18" spans="1:14">
      <c r="A18" s="2">
        <v>17</v>
      </c>
      <c r="B18" s="2" t="s">
        <v>62</v>
      </c>
      <c r="C18" s="2" t="s">
        <v>62</v>
      </c>
      <c r="D18" s="2">
        <v>0</v>
      </c>
      <c r="E18" s="2">
        <v>0</v>
      </c>
      <c r="F18" s="2">
        <v>0</v>
      </c>
      <c r="G18" s="2">
        <v>0.1</v>
      </c>
      <c r="H18" s="2">
        <v>0</v>
      </c>
      <c r="I18" s="2">
        <v>0</v>
      </c>
      <c r="J18" s="2">
        <v>0</v>
      </c>
      <c r="K18" s="2">
        <v>0</v>
      </c>
      <c r="L18" s="2">
        <v>0.9</v>
      </c>
      <c r="M18" s="2">
        <v>0</v>
      </c>
      <c r="N18" s="2">
        <v>0</v>
      </c>
    </row>
    <row r="19" spans="1:14">
      <c r="A19" s="2">
        <v>18</v>
      </c>
      <c r="B19" s="2" t="s">
        <v>20</v>
      </c>
      <c r="C19" s="2" t="s">
        <v>20</v>
      </c>
      <c r="D19" s="2">
        <v>0.01</v>
      </c>
      <c r="E19" s="2">
        <v>0.98</v>
      </c>
      <c r="F19" s="2">
        <v>0</v>
      </c>
      <c r="G19" s="2">
        <v>0</v>
      </c>
      <c r="H19" s="2">
        <v>0</v>
      </c>
      <c r="I19" s="2">
        <v>0</v>
      </c>
      <c r="J19" s="2">
        <v>0.01</v>
      </c>
      <c r="K19" s="2">
        <v>0</v>
      </c>
      <c r="L19" s="2">
        <v>0</v>
      </c>
      <c r="M19" s="2">
        <v>0</v>
      </c>
      <c r="N19" s="2">
        <v>0</v>
      </c>
    </row>
    <row r="20" spans="1:14">
      <c r="A20" s="2">
        <v>19</v>
      </c>
      <c r="B20" s="2" t="s">
        <v>58</v>
      </c>
      <c r="C20" s="2" t="s">
        <v>58</v>
      </c>
      <c r="D20" s="2">
        <v>0</v>
      </c>
      <c r="E20" s="2">
        <v>0</v>
      </c>
      <c r="F20" s="2">
        <v>0</v>
      </c>
      <c r="G20" s="2">
        <v>0.98</v>
      </c>
      <c r="H20" s="2">
        <v>0.01</v>
      </c>
      <c r="I20" s="2">
        <v>0</v>
      </c>
      <c r="J20" s="2">
        <v>0.01</v>
      </c>
      <c r="K20" s="2">
        <v>0</v>
      </c>
      <c r="L20" s="2">
        <v>0</v>
      </c>
      <c r="M20" s="2">
        <v>0</v>
      </c>
      <c r="N20" s="2">
        <v>0</v>
      </c>
    </row>
    <row r="21" spans="1:14">
      <c r="A21" s="2">
        <v>20</v>
      </c>
      <c r="B21" s="2" t="s">
        <v>20</v>
      </c>
      <c r="C21" s="2" t="s">
        <v>20</v>
      </c>
      <c r="D21" s="2">
        <v>0</v>
      </c>
      <c r="E21" s="2">
        <v>1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</row>
    <row r="22" spans="1:14">
      <c r="A22" s="2">
        <v>21</v>
      </c>
      <c r="B22" s="2" t="s">
        <v>35</v>
      </c>
      <c r="C22" s="2" t="s">
        <v>35</v>
      </c>
      <c r="D22" s="2">
        <v>0.01</v>
      </c>
      <c r="E22" s="2">
        <v>0</v>
      </c>
      <c r="F22" s="2">
        <v>0</v>
      </c>
      <c r="G22" s="2">
        <v>0</v>
      </c>
      <c r="H22" s="2">
        <v>0.82</v>
      </c>
      <c r="I22" s="2">
        <v>0</v>
      </c>
      <c r="J22" s="2">
        <v>0.16</v>
      </c>
      <c r="K22" s="2">
        <v>0.01</v>
      </c>
      <c r="L22" s="2">
        <v>0</v>
      </c>
      <c r="M22" s="2">
        <v>0</v>
      </c>
      <c r="N22" s="2">
        <v>0</v>
      </c>
    </row>
    <row r="23" spans="1:14">
      <c r="A23" s="2">
        <v>22</v>
      </c>
      <c r="B23" s="2" t="s">
        <v>20</v>
      </c>
      <c r="C23" s="2" t="s">
        <v>20</v>
      </c>
      <c r="D23" s="2">
        <v>0</v>
      </c>
      <c r="E23" s="2"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</row>
    <row r="24" spans="1:14">
      <c r="A24" s="2">
        <v>23</v>
      </c>
      <c r="B24" s="2" t="s">
        <v>35</v>
      </c>
      <c r="C24" s="2" t="s">
        <v>35</v>
      </c>
      <c r="D24" s="2">
        <v>0.03</v>
      </c>
      <c r="E24" s="2">
        <v>0</v>
      </c>
      <c r="F24" s="2">
        <v>0</v>
      </c>
      <c r="G24" s="2">
        <v>0</v>
      </c>
      <c r="H24" s="2">
        <v>0.86</v>
      </c>
      <c r="I24" s="2">
        <v>0</v>
      </c>
      <c r="J24" s="2">
        <v>0.01</v>
      </c>
      <c r="K24" s="2">
        <v>0</v>
      </c>
      <c r="L24" s="2">
        <v>0</v>
      </c>
      <c r="M24" s="2">
        <v>0.1</v>
      </c>
      <c r="N24" s="2">
        <v>0</v>
      </c>
    </row>
    <row r="25" spans="1:14">
      <c r="A25" s="2">
        <v>24</v>
      </c>
      <c r="B25" s="2" t="s">
        <v>20</v>
      </c>
      <c r="C25" s="2" t="s">
        <v>20</v>
      </c>
      <c r="D25" s="2">
        <v>0</v>
      </c>
      <c r="E25" s="2">
        <v>0.94</v>
      </c>
      <c r="F25" s="2">
        <v>0</v>
      </c>
      <c r="G25" s="2">
        <v>0</v>
      </c>
      <c r="H25" s="2">
        <v>0.06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</row>
    <row r="26" spans="1:14">
      <c r="A26" s="2">
        <v>25</v>
      </c>
      <c r="B26" s="2" t="s">
        <v>58</v>
      </c>
      <c r="C26" s="2" t="s">
        <v>58</v>
      </c>
      <c r="D26" s="2">
        <v>0</v>
      </c>
      <c r="E26" s="2">
        <v>0</v>
      </c>
      <c r="F26" s="2">
        <v>0</v>
      </c>
      <c r="G26" s="2">
        <v>0.96</v>
      </c>
      <c r="H26" s="2">
        <v>0</v>
      </c>
      <c r="I26" s="2">
        <v>0</v>
      </c>
      <c r="J26" s="2">
        <v>0.04</v>
      </c>
      <c r="K26" s="2">
        <v>0</v>
      </c>
      <c r="L26" s="2">
        <v>0</v>
      </c>
      <c r="M26" s="2">
        <v>0</v>
      </c>
      <c r="N26" s="2">
        <v>0</v>
      </c>
    </row>
    <row r="27" spans="1:14">
      <c r="A27" s="2">
        <v>26</v>
      </c>
      <c r="B27" s="2" t="s">
        <v>20</v>
      </c>
      <c r="C27" s="2" t="s">
        <v>20</v>
      </c>
      <c r="D27" s="2">
        <v>0.06</v>
      </c>
      <c r="E27" s="2">
        <v>0.7</v>
      </c>
      <c r="F27" s="2">
        <v>0</v>
      </c>
      <c r="G27" s="2">
        <v>0</v>
      </c>
      <c r="H27" s="2">
        <v>0.1</v>
      </c>
      <c r="I27" s="2">
        <v>0</v>
      </c>
      <c r="J27" s="2">
        <v>0.03</v>
      </c>
      <c r="K27" s="2">
        <v>0.11</v>
      </c>
      <c r="L27" s="2">
        <v>0</v>
      </c>
      <c r="M27" s="2">
        <v>0</v>
      </c>
      <c r="N27" s="2">
        <v>0</v>
      </c>
    </row>
    <row r="28" spans="1:14">
      <c r="A28" s="2">
        <v>27</v>
      </c>
      <c r="B28" s="2" t="s">
        <v>49</v>
      </c>
      <c r="C28" s="2" t="s">
        <v>49</v>
      </c>
      <c r="D28" s="2">
        <v>0.24</v>
      </c>
      <c r="E28" s="2">
        <v>0</v>
      </c>
      <c r="F28" s="2">
        <v>0</v>
      </c>
      <c r="G28" s="2">
        <v>0</v>
      </c>
      <c r="H28" s="2">
        <v>0.01</v>
      </c>
      <c r="I28" s="2">
        <v>0</v>
      </c>
      <c r="J28" s="2">
        <v>0.68</v>
      </c>
      <c r="K28" s="2">
        <v>0</v>
      </c>
      <c r="L28" s="2">
        <v>0</v>
      </c>
      <c r="M28" s="2">
        <v>7.0000000000000007E-2</v>
      </c>
      <c r="N28" s="2">
        <v>0</v>
      </c>
    </row>
    <row r="29" spans="1:14">
      <c r="A29" s="2">
        <v>28</v>
      </c>
      <c r="B29" s="2" t="s">
        <v>35</v>
      </c>
      <c r="C29" s="2" t="s">
        <v>35</v>
      </c>
      <c r="D29" s="2">
        <v>0.01</v>
      </c>
      <c r="E29" s="2">
        <v>0.02</v>
      </c>
      <c r="F29" s="2">
        <v>0</v>
      </c>
      <c r="G29" s="2">
        <v>0</v>
      </c>
      <c r="H29" s="2">
        <v>0.97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</row>
    <row r="30" spans="1:14">
      <c r="A30" s="2">
        <v>29</v>
      </c>
      <c r="B30" s="2" t="s">
        <v>58</v>
      </c>
      <c r="C30" s="2" t="s">
        <v>58</v>
      </c>
      <c r="D30" s="2">
        <v>0</v>
      </c>
      <c r="E30" s="2">
        <v>0</v>
      </c>
      <c r="F30" s="2">
        <v>0</v>
      </c>
      <c r="G30" s="2">
        <v>0.71</v>
      </c>
      <c r="H30" s="2">
        <v>0</v>
      </c>
      <c r="I30" s="2">
        <v>0</v>
      </c>
      <c r="J30" s="2">
        <v>0.05</v>
      </c>
      <c r="K30" s="2">
        <v>0</v>
      </c>
      <c r="L30" s="2">
        <v>0</v>
      </c>
      <c r="M30" s="2">
        <v>0.24</v>
      </c>
      <c r="N30" s="2">
        <v>0</v>
      </c>
    </row>
    <row r="31" spans="1:14">
      <c r="A31" s="2">
        <v>30</v>
      </c>
      <c r="B31" s="2" t="s">
        <v>62</v>
      </c>
      <c r="C31" s="2" t="s">
        <v>62</v>
      </c>
      <c r="D31" s="2">
        <v>0</v>
      </c>
      <c r="E31" s="2">
        <v>0.01</v>
      </c>
      <c r="F31" s="2">
        <v>0.01</v>
      </c>
      <c r="G31" s="2">
        <v>0</v>
      </c>
      <c r="H31" s="2">
        <v>0.03</v>
      </c>
      <c r="I31" s="2">
        <v>0</v>
      </c>
      <c r="J31" s="2">
        <v>0</v>
      </c>
      <c r="K31" s="2">
        <v>0</v>
      </c>
      <c r="L31" s="2">
        <v>0.95</v>
      </c>
      <c r="M31" s="2">
        <v>0</v>
      </c>
      <c r="N31" s="2">
        <v>0</v>
      </c>
    </row>
    <row r="32" spans="1:14">
      <c r="A32" s="2">
        <v>31</v>
      </c>
      <c r="B32" s="2" t="s">
        <v>49</v>
      </c>
      <c r="C32" s="2" t="s">
        <v>49</v>
      </c>
      <c r="D32" s="2">
        <v>0</v>
      </c>
      <c r="E32" s="2">
        <v>0</v>
      </c>
      <c r="F32" s="2">
        <v>0</v>
      </c>
      <c r="G32" s="2">
        <v>0.01</v>
      </c>
      <c r="H32" s="2">
        <v>0</v>
      </c>
      <c r="I32" s="2">
        <v>0</v>
      </c>
      <c r="J32" s="2">
        <v>0.98</v>
      </c>
      <c r="K32" s="2">
        <v>0</v>
      </c>
      <c r="L32" s="2">
        <v>0</v>
      </c>
      <c r="M32" s="2">
        <v>0.01</v>
      </c>
      <c r="N32" s="2">
        <v>0</v>
      </c>
    </row>
    <row r="33" spans="1:14">
      <c r="A33" s="2">
        <v>32</v>
      </c>
      <c r="B33" s="2" t="s">
        <v>49</v>
      </c>
      <c r="C33" s="2" t="s">
        <v>49</v>
      </c>
      <c r="D33" s="2">
        <v>0.14000000000000001</v>
      </c>
      <c r="E33" s="2">
        <v>0</v>
      </c>
      <c r="F33" s="2">
        <v>0</v>
      </c>
      <c r="G33" s="2">
        <v>0.01</v>
      </c>
      <c r="H33" s="2">
        <v>0.02</v>
      </c>
      <c r="I33" s="2">
        <v>0</v>
      </c>
      <c r="J33" s="2">
        <v>0.82</v>
      </c>
      <c r="K33" s="2">
        <v>0</v>
      </c>
      <c r="L33" s="2">
        <v>0</v>
      </c>
      <c r="M33" s="2">
        <v>0.01</v>
      </c>
      <c r="N33" s="2">
        <v>0</v>
      </c>
    </row>
    <row r="34" spans="1:14">
      <c r="A34" s="2">
        <v>33</v>
      </c>
      <c r="B34" s="2" t="s">
        <v>35</v>
      </c>
      <c r="C34" s="2" t="s">
        <v>35</v>
      </c>
      <c r="D34" s="2">
        <v>0.01</v>
      </c>
      <c r="E34" s="2">
        <v>0</v>
      </c>
      <c r="F34" s="2">
        <v>0</v>
      </c>
      <c r="G34" s="2">
        <v>0</v>
      </c>
      <c r="H34" s="2">
        <v>0.92</v>
      </c>
      <c r="I34" s="2">
        <v>0</v>
      </c>
      <c r="J34" s="2">
        <v>0</v>
      </c>
      <c r="K34" s="2">
        <v>0</v>
      </c>
      <c r="L34" s="2">
        <v>0</v>
      </c>
      <c r="M34" s="2">
        <v>7.0000000000000007E-2</v>
      </c>
      <c r="N34" s="2">
        <v>0</v>
      </c>
    </row>
    <row r="35" spans="1:14">
      <c r="A35" s="2">
        <v>34</v>
      </c>
      <c r="B35" s="2" t="s">
        <v>87</v>
      </c>
      <c r="C35" s="2" t="s">
        <v>87</v>
      </c>
      <c r="D35" s="2">
        <v>0.02</v>
      </c>
      <c r="E35" s="2">
        <v>0.04</v>
      </c>
      <c r="F35" s="2">
        <v>0.79</v>
      </c>
      <c r="G35" s="2">
        <v>0</v>
      </c>
      <c r="H35" s="2">
        <v>0.04</v>
      </c>
      <c r="I35" s="2">
        <v>0</v>
      </c>
      <c r="J35" s="2">
        <v>0.11</v>
      </c>
      <c r="K35" s="2">
        <v>0</v>
      </c>
      <c r="L35" s="2">
        <v>0</v>
      </c>
      <c r="M35" s="2">
        <v>0</v>
      </c>
      <c r="N35" s="2">
        <v>0</v>
      </c>
    </row>
    <row r="36" spans="1:14">
      <c r="A36" s="2">
        <v>35</v>
      </c>
      <c r="B36" s="2" t="s">
        <v>35</v>
      </c>
      <c r="C36" s="2" t="s">
        <v>35</v>
      </c>
      <c r="D36" s="2">
        <v>0</v>
      </c>
      <c r="E36" s="2">
        <v>0</v>
      </c>
      <c r="F36" s="2">
        <v>0</v>
      </c>
      <c r="G36" s="2">
        <v>0</v>
      </c>
      <c r="H36" s="2">
        <v>0.9</v>
      </c>
      <c r="I36" s="2">
        <v>0</v>
      </c>
      <c r="J36" s="2">
        <v>0</v>
      </c>
      <c r="K36" s="2">
        <v>0</v>
      </c>
      <c r="L36" s="2">
        <v>0.1</v>
      </c>
      <c r="M36" s="2">
        <v>0</v>
      </c>
      <c r="N36" s="2">
        <v>0</v>
      </c>
    </row>
    <row r="37" spans="1:14">
      <c r="A37" s="2">
        <v>36</v>
      </c>
      <c r="B37" s="2" t="s">
        <v>20</v>
      </c>
      <c r="C37" s="2" t="s">
        <v>20</v>
      </c>
      <c r="D37" s="2">
        <v>0</v>
      </c>
      <c r="E37" s="2">
        <v>1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</row>
    <row r="38" spans="1:14">
      <c r="A38" s="2">
        <v>37</v>
      </c>
      <c r="B38" s="2" t="s">
        <v>35</v>
      </c>
      <c r="C38" s="2" t="s">
        <v>35</v>
      </c>
      <c r="D38" s="2">
        <v>0</v>
      </c>
      <c r="E38" s="2">
        <v>0.06</v>
      </c>
      <c r="F38" s="2">
        <v>0</v>
      </c>
      <c r="G38" s="2">
        <v>0</v>
      </c>
      <c r="H38" s="2">
        <v>0.92</v>
      </c>
      <c r="I38" s="2">
        <v>0.02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</row>
    <row r="39" spans="1:14">
      <c r="A39" s="2">
        <v>38</v>
      </c>
      <c r="B39" s="2" t="s">
        <v>20</v>
      </c>
      <c r="C39" s="2" t="s">
        <v>20</v>
      </c>
      <c r="D39" s="2">
        <v>0</v>
      </c>
      <c r="E39" s="2">
        <v>1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</row>
    <row r="40" spans="1:14">
      <c r="A40" s="2">
        <v>39</v>
      </c>
      <c r="B40" s="2" t="s">
        <v>20</v>
      </c>
      <c r="C40" s="2" t="s">
        <v>20</v>
      </c>
      <c r="D40" s="2">
        <v>0</v>
      </c>
      <c r="E40" s="2">
        <v>1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</row>
    <row r="41" spans="1:14">
      <c r="A41" s="2">
        <v>40</v>
      </c>
      <c r="B41" s="2" t="s">
        <v>35</v>
      </c>
      <c r="C41" s="2" t="s">
        <v>35</v>
      </c>
      <c r="D41" s="2">
        <v>0.18</v>
      </c>
      <c r="E41" s="2">
        <v>0</v>
      </c>
      <c r="F41" s="2">
        <v>0</v>
      </c>
      <c r="G41" s="2">
        <v>0</v>
      </c>
      <c r="H41" s="2">
        <v>0.77</v>
      </c>
      <c r="I41" s="2">
        <v>0</v>
      </c>
      <c r="J41" s="2">
        <v>0.03</v>
      </c>
      <c r="K41" s="2">
        <v>0</v>
      </c>
      <c r="L41" s="2">
        <v>0</v>
      </c>
      <c r="M41" s="2">
        <v>0.02</v>
      </c>
      <c r="N41" s="2">
        <v>0</v>
      </c>
    </row>
    <row r="42" spans="1:14">
      <c r="A42" s="2">
        <v>41</v>
      </c>
      <c r="B42" s="2" t="s">
        <v>43</v>
      </c>
      <c r="C42" s="2" t="s">
        <v>43</v>
      </c>
      <c r="D42" s="2">
        <v>0.01</v>
      </c>
      <c r="E42" s="2">
        <v>0</v>
      </c>
      <c r="F42" s="2">
        <v>0</v>
      </c>
      <c r="G42" s="2">
        <v>0</v>
      </c>
      <c r="H42" s="2">
        <v>0</v>
      </c>
      <c r="I42" s="2">
        <v>0.04</v>
      </c>
      <c r="J42" s="2">
        <v>0.18</v>
      </c>
      <c r="K42" s="2">
        <v>0</v>
      </c>
      <c r="L42" s="2">
        <v>0</v>
      </c>
      <c r="M42" s="2">
        <v>0.77</v>
      </c>
      <c r="N42" s="2">
        <v>0</v>
      </c>
    </row>
    <row r="43" spans="1:14">
      <c r="A43" s="2">
        <v>42</v>
      </c>
      <c r="B43" s="2" t="s">
        <v>20</v>
      </c>
      <c r="C43" s="2" t="s">
        <v>20</v>
      </c>
      <c r="D43" s="2">
        <v>0</v>
      </c>
      <c r="E43" s="2">
        <v>1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</row>
    <row r="44" spans="1:14">
      <c r="A44" s="2">
        <v>43</v>
      </c>
      <c r="B44" s="2" t="s">
        <v>58</v>
      </c>
      <c r="C44" s="2" t="s">
        <v>58</v>
      </c>
      <c r="D44" s="2">
        <v>0</v>
      </c>
      <c r="E44" s="2">
        <v>0</v>
      </c>
      <c r="F44" s="2">
        <v>0</v>
      </c>
      <c r="G44" s="2">
        <v>0.95</v>
      </c>
      <c r="H44" s="2">
        <v>0</v>
      </c>
      <c r="I44" s="2">
        <v>0</v>
      </c>
      <c r="J44" s="2">
        <v>0</v>
      </c>
      <c r="K44" s="2">
        <v>0</v>
      </c>
      <c r="L44" s="2">
        <v>0.05</v>
      </c>
      <c r="M44" s="2">
        <v>0</v>
      </c>
      <c r="N44" s="2">
        <v>0</v>
      </c>
    </row>
    <row r="45" spans="1:14">
      <c r="A45" s="2">
        <v>44</v>
      </c>
      <c r="B45" s="2" t="s">
        <v>20</v>
      </c>
      <c r="C45" s="2" t="s">
        <v>20</v>
      </c>
      <c r="D45" s="2">
        <v>0</v>
      </c>
      <c r="E45" s="2">
        <v>1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</row>
    <row r="46" spans="1:14">
      <c r="A46" s="2">
        <v>45</v>
      </c>
      <c r="B46" s="2" t="s">
        <v>35</v>
      </c>
      <c r="C46" s="2" t="s">
        <v>35</v>
      </c>
      <c r="D46" s="2">
        <v>0.02</v>
      </c>
      <c r="E46" s="2">
        <v>0.09</v>
      </c>
      <c r="F46" s="2">
        <v>0</v>
      </c>
      <c r="G46" s="2">
        <v>0</v>
      </c>
      <c r="H46" s="2">
        <v>0.74</v>
      </c>
      <c r="I46" s="2">
        <v>0.03</v>
      </c>
      <c r="J46" s="2">
        <v>0.04</v>
      </c>
      <c r="K46" s="2">
        <v>0</v>
      </c>
      <c r="L46" s="2">
        <v>0</v>
      </c>
      <c r="M46" s="2">
        <v>0.08</v>
      </c>
      <c r="N46" s="2">
        <v>0</v>
      </c>
    </row>
    <row r="47" spans="1:14">
      <c r="A47" s="2">
        <v>46</v>
      </c>
      <c r="B47" s="2" t="s">
        <v>87</v>
      </c>
      <c r="C47" s="2" t="s">
        <v>87</v>
      </c>
      <c r="D47" s="2">
        <v>0</v>
      </c>
      <c r="E47" s="2">
        <v>0</v>
      </c>
      <c r="F47" s="2">
        <v>0.88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0.12</v>
      </c>
      <c r="M47" s="2">
        <v>0</v>
      </c>
      <c r="N47" s="2">
        <v>0</v>
      </c>
    </row>
    <row r="48" spans="1:14">
      <c r="A48" s="2">
        <v>47</v>
      </c>
      <c r="B48" s="2" t="s">
        <v>20</v>
      </c>
      <c r="C48" s="2" t="s">
        <v>20</v>
      </c>
      <c r="D48" s="2">
        <v>0</v>
      </c>
      <c r="E48" s="2">
        <v>0.83</v>
      </c>
      <c r="F48" s="2">
        <v>0</v>
      </c>
      <c r="G48" s="2">
        <v>0</v>
      </c>
      <c r="H48" s="2">
        <v>0.17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</row>
    <row r="49" spans="1:14">
      <c r="A49" s="2">
        <v>48</v>
      </c>
      <c r="B49" s="2" t="s">
        <v>49</v>
      </c>
      <c r="C49" s="2" t="s">
        <v>49</v>
      </c>
      <c r="D49" s="2">
        <v>0</v>
      </c>
      <c r="E49" s="2">
        <v>0.03</v>
      </c>
      <c r="F49" s="2">
        <v>0</v>
      </c>
      <c r="G49" s="2">
        <v>0</v>
      </c>
      <c r="H49" s="2">
        <v>0.11</v>
      </c>
      <c r="I49" s="2">
        <v>0</v>
      </c>
      <c r="J49" s="2">
        <v>0.75</v>
      </c>
      <c r="K49" s="2">
        <v>0</v>
      </c>
      <c r="L49" s="2">
        <v>0</v>
      </c>
      <c r="M49" s="2">
        <v>0.08</v>
      </c>
      <c r="N49" s="2">
        <v>0.03</v>
      </c>
    </row>
    <row r="50" spans="1:14">
      <c r="A50" s="2">
        <v>49</v>
      </c>
      <c r="B50" s="2" t="s">
        <v>43</v>
      </c>
      <c r="C50" s="2" t="s">
        <v>43</v>
      </c>
      <c r="D50" s="2">
        <v>0.05</v>
      </c>
      <c r="E50" s="2">
        <v>0.01</v>
      </c>
      <c r="F50" s="2">
        <v>0</v>
      </c>
      <c r="G50" s="2">
        <v>0</v>
      </c>
      <c r="H50" s="2">
        <v>0.02</v>
      </c>
      <c r="I50" s="2">
        <v>0.01</v>
      </c>
      <c r="J50" s="2">
        <v>0.23</v>
      </c>
      <c r="K50" s="2">
        <v>0</v>
      </c>
      <c r="L50" s="2">
        <v>0</v>
      </c>
      <c r="M50" s="2">
        <v>0.68</v>
      </c>
      <c r="N50" s="2">
        <v>0</v>
      </c>
    </row>
    <row r="51" spans="1:14">
      <c r="A51" s="2">
        <v>50</v>
      </c>
      <c r="B51" s="2" t="s">
        <v>20</v>
      </c>
      <c r="C51" s="2" t="s">
        <v>20</v>
      </c>
      <c r="D51" s="2">
        <v>0</v>
      </c>
      <c r="E51" s="2">
        <v>1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</row>
    <row r="52" spans="1:14">
      <c r="A52" s="2">
        <v>51</v>
      </c>
      <c r="B52" s="2" t="s">
        <v>35</v>
      </c>
      <c r="C52" s="2" t="s">
        <v>35</v>
      </c>
      <c r="D52" s="2">
        <v>0.01</v>
      </c>
      <c r="E52" s="2">
        <v>0.23</v>
      </c>
      <c r="F52" s="2">
        <v>0</v>
      </c>
      <c r="G52" s="2">
        <v>0</v>
      </c>
      <c r="H52" s="2">
        <v>0.71</v>
      </c>
      <c r="I52" s="2">
        <v>0</v>
      </c>
      <c r="J52" s="2">
        <v>0</v>
      </c>
      <c r="K52" s="2">
        <v>0</v>
      </c>
      <c r="L52" s="2">
        <v>0</v>
      </c>
      <c r="M52" s="2">
        <v>0.05</v>
      </c>
      <c r="N52" s="2">
        <v>0</v>
      </c>
    </row>
    <row r="53" spans="1:14">
      <c r="A53" s="2">
        <v>52</v>
      </c>
      <c r="B53" s="2" t="s">
        <v>35</v>
      </c>
      <c r="C53" s="2" t="s">
        <v>35</v>
      </c>
      <c r="D53" s="2">
        <v>0</v>
      </c>
      <c r="E53" s="2">
        <v>0.04</v>
      </c>
      <c r="F53" s="2">
        <v>0</v>
      </c>
      <c r="G53" s="2">
        <v>0</v>
      </c>
      <c r="H53" s="2">
        <v>0.64</v>
      </c>
      <c r="I53" s="2">
        <v>0</v>
      </c>
      <c r="J53" s="2">
        <v>0.18</v>
      </c>
      <c r="K53" s="2">
        <v>0</v>
      </c>
      <c r="L53" s="2">
        <v>0</v>
      </c>
      <c r="M53" s="2">
        <v>0.13</v>
      </c>
      <c r="N53" s="2">
        <v>0.01</v>
      </c>
    </row>
    <row r="54" spans="1:14">
      <c r="A54" s="2">
        <v>53</v>
      </c>
      <c r="B54" s="2" t="s">
        <v>35</v>
      </c>
      <c r="C54" s="2" t="s">
        <v>35</v>
      </c>
      <c r="D54" s="2">
        <v>0.01</v>
      </c>
      <c r="E54" s="2">
        <v>0.05</v>
      </c>
      <c r="F54" s="2">
        <v>0</v>
      </c>
      <c r="G54" s="2">
        <v>0</v>
      </c>
      <c r="H54" s="2">
        <v>0.74</v>
      </c>
      <c r="I54" s="2">
        <v>0</v>
      </c>
      <c r="J54" s="2">
        <v>0.01</v>
      </c>
      <c r="K54" s="2">
        <v>0.19</v>
      </c>
      <c r="L54" s="2">
        <v>0</v>
      </c>
      <c r="M54" s="2">
        <v>0</v>
      </c>
      <c r="N54" s="2">
        <v>0</v>
      </c>
    </row>
    <row r="55" spans="1:14">
      <c r="A55" s="2">
        <v>54</v>
      </c>
      <c r="B55" s="2" t="s">
        <v>25</v>
      </c>
      <c r="C55" s="2" t="s">
        <v>25</v>
      </c>
      <c r="D55" s="2">
        <v>0.99</v>
      </c>
      <c r="E55" s="2">
        <v>0</v>
      </c>
      <c r="F55" s="2">
        <v>0</v>
      </c>
      <c r="G55" s="2">
        <v>0.01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</row>
    <row r="56" spans="1:14">
      <c r="A56" s="2">
        <v>55</v>
      </c>
      <c r="B56" s="2" t="s">
        <v>43</v>
      </c>
      <c r="C56" s="2" t="s">
        <v>43</v>
      </c>
      <c r="D56" s="2">
        <v>0.01</v>
      </c>
      <c r="E56" s="2">
        <v>0.01</v>
      </c>
      <c r="F56" s="2">
        <v>0</v>
      </c>
      <c r="G56" s="2">
        <v>0</v>
      </c>
      <c r="H56" s="2">
        <v>0.04</v>
      </c>
      <c r="I56" s="2">
        <v>0</v>
      </c>
      <c r="J56" s="2">
        <v>0.02</v>
      </c>
      <c r="K56" s="2">
        <v>0</v>
      </c>
      <c r="L56" s="2">
        <v>0</v>
      </c>
      <c r="M56" s="2">
        <v>0.92</v>
      </c>
      <c r="N56" s="2">
        <v>0</v>
      </c>
    </row>
    <row r="57" spans="1:14">
      <c r="A57" s="2">
        <v>56</v>
      </c>
      <c r="B57" s="2" t="s">
        <v>58</v>
      </c>
      <c r="C57" s="2" t="s">
        <v>58</v>
      </c>
      <c r="D57" s="2">
        <v>0</v>
      </c>
      <c r="E57" s="2">
        <v>0</v>
      </c>
      <c r="F57" s="2">
        <v>0.01</v>
      </c>
      <c r="G57" s="2">
        <v>0.68</v>
      </c>
      <c r="H57" s="2">
        <v>0.02</v>
      </c>
      <c r="I57" s="2">
        <v>0</v>
      </c>
      <c r="J57" s="2">
        <v>0.24</v>
      </c>
      <c r="K57" s="2">
        <v>0</v>
      </c>
      <c r="L57" s="2">
        <v>0</v>
      </c>
      <c r="M57" s="2">
        <v>0.02</v>
      </c>
      <c r="N57" s="2">
        <v>0.03</v>
      </c>
    </row>
    <row r="58" spans="1:14">
      <c r="A58" s="2">
        <v>57</v>
      </c>
      <c r="B58" s="2" t="s">
        <v>35</v>
      </c>
      <c r="C58" s="2" t="s">
        <v>35</v>
      </c>
      <c r="D58" s="2">
        <v>0</v>
      </c>
      <c r="E58" s="2">
        <v>0.01</v>
      </c>
      <c r="F58" s="2">
        <v>0</v>
      </c>
      <c r="G58" s="2">
        <v>0</v>
      </c>
      <c r="H58" s="2">
        <v>0.72</v>
      </c>
      <c r="I58" s="2">
        <v>0</v>
      </c>
      <c r="J58" s="2">
        <v>0.24</v>
      </c>
      <c r="K58" s="2">
        <v>0</v>
      </c>
      <c r="L58" s="2">
        <v>0</v>
      </c>
      <c r="M58" s="2">
        <v>0.03</v>
      </c>
      <c r="N58" s="2">
        <v>0</v>
      </c>
    </row>
    <row r="59" spans="1:14">
      <c r="A59" s="2">
        <v>58</v>
      </c>
      <c r="B59" s="2" t="s">
        <v>20</v>
      </c>
      <c r="C59" s="2" t="s">
        <v>20</v>
      </c>
      <c r="D59" s="2">
        <v>0</v>
      </c>
      <c r="E59" s="2">
        <v>0.99</v>
      </c>
      <c r="F59" s="2">
        <v>0.01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</row>
    <row r="60" spans="1:14">
      <c r="A60" s="2">
        <v>59</v>
      </c>
      <c r="B60" s="2" t="s">
        <v>35</v>
      </c>
      <c r="C60" s="2" t="s">
        <v>35</v>
      </c>
      <c r="D60" s="2">
        <v>0</v>
      </c>
      <c r="E60" s="2">
        <v>0</v>
      </c>
      <c r="F60" s="2">
        <v>0</v>
      </c>
      <c r="G60" s="2">
        <v>0</v>
      </c>
      <c r="H60" s="2">
        <v>0.7</v>
      </c>
      <c r="I60" s="2">
        <v>0</v>
      </c>
      <c r="J60" s="2">
        <v>0.16</v>
      </c>
      <c r="K60" s="2">
        <v>0.14000000000000001</v>
      </c>
      <c r="L60" s="2">
        <v>0</v>
      </c>
      <c r="M60" s="2">
        <v>0</v>
      </c>
      <c r="N60" s="2">
        <v>0</v>
      </c>
    </row>
    <row r="61" spans="1:14">
      <c r="A61" s="2">
        <v>60</v>
      </c>
      <c r="B61" s="2" t="s">
        <v>25</v>
      </c>
      <c r="C61" s="2" t="s">
        <v>25</v>
      </c>
      <c r="D61" s="2">
        <v>0.86</v>
      </c>
      <c r="E61" s="2">
        <v>0</v>
      </c>
      <c r="F61" s="2">
        <v>0</v>
      </c>
      <c r="G61" s="2">
        <v>0</v>
      </c>
      <c r="H61" s="2">
        <v>0.11</v>
      </c>
      <c r="I61" s="2">
        <v>0</v>
      </c>
      <c r="J61" s="2">
        <v>0.01</v>
      </c>
      <c r="K61" s="2">
        <v>0</v>
      </c>
      <c r="L61" s="2">
        <v>0</v>
      </c>
      <c r="M61" s="2">
        <v>0.02</v>
      </c>
      <c r="N61" s="2">
        <v>0</v>
      </c>
    </row>
    <row r="62" spans="1:14">
      <c r="A62" s="2">
        <v>61</v>
      </c>
      <c r="B62" s="2" t="s">
        <v>35</v>
      </c>
      <c r="C62" s="2" t="s">
        <v>35</v>
      </c>
      <c r="D62" s="2">
        <v>0</v>
      </c>
      <c r="E62" s="2">
        <v>0</v>
      </c>
      <c r="F62" s="2">
        <v>0</v>
      </c>
      <c r="G62" s="2">
        <v>0</v>
      </c>
      <c r="H62" s="2">
        <v>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</row>
    <row r="63" spans="1:14">
      <c r="A63" s="2">
        <v>62</v>
      </c>
      <c r="B63" s="2" t="s">
        <v>49</v>
      </c>
      <c r="C63" s="2" t="s">
        <v>49</v>
      </c>
      <c r="D63" s="2">
        <v>0</v>
      </c>
      <c r="E63" s="2">
        <v>0</v>
      </c>
      <c r="F63" s="2">
        <v>0</v>
      </c>
      <c r="G63" s="2">
        <v>0</v>
      </c>
      <c r="H63" s="2">
        <v>7.0000000000000007E-2</v>
      </c>
      <c r="I63" s="2">
        <v>0</v>
      </c>
      <c r="J63" s="2">
        <v>0.93</v>
      </c>
      <c r="K63" s="2">
        <v>0</v>
      </c>
      <c r="L63" s="2">
        <v>0</v>
      </c>
      <c r="M63" s="2">
        <v>0</v>
      </c>
      <c r="N63" s="2">
        <v>0</v>
      </c>
    </row>
    <row r="64" spans="1:14">
      <c r="A64" s="2">
        <v>63</v>
      </c>
      <c r="B64" s="2" t="s">
        <v>58</v>
      </c>
      <c r="C64" s="2" t="s">
        <v>58</v>
      </c>
      <c r="D64" s="2">
        <v>0.01</v>
      </c>
      <c r="E64" s="2">
        <v>0</v>
      </c>
      <c r="F64" s="2">
        <v>0</v>
      </c>
      <c r="G64" s="2">
        <v>0.92</v>
      </c>
      <c r="H64" s="2">
        <v>0</v>
      </c>
      <c r="I64" s="2">
        <v>0</v>
      </c>
      <c r="J64" s="2">
        <v>0.03</v>
      </c>
      <c r="K64" s="2">
        <v>0</v>
      </c>
      <c r="L64" s="2">
        <v>0</v>
      </c>
      <c r="M64" s="2">
        <v>0.04</v>
      </c>
      <c r="N64" s="2">
        <v>0</v>
      </c>
    </row>
    <row r="65" spans="1:14">
      <c r="A65" s="2">
        <v>64</v>
      </c>
      <c r="B65" s="2" t="s">
        <v>20</v>
      </c>
      <c r="C65" s="2" t="s">
        <v>20</v>
      </c>
      <c r="D65" s="2">
        <v>0</v>
      </c>
      <c r="E65" s="2">
        <v>1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</row>
    <row r="66" spans="1:14">
      <c r="A66" s="2">
        <v>65</v>
      </c>
      <c r="B66" s="2" t="s">
        <v>58</v>
      </c>
      <c r="C66" s="2" t="s">
        <v>58</v>
      </c>
      <c r="D66" s="2">
        <v>0.02</v>
      </c>
      <c r="E66" s="2">
        <v>0</v>
      </c>
      <c r="F66" s="2">
        <v>0</v>
      </c>
      <c r="G66" s="2">
        <v>0.92</v>
      </c>
      <c r="H66" s="2">
        <v>0.03</v>
      </c>
      <c r="I66" s="2">
        <v>0</v>
      </c>
      <c r="J66" s="2">
        <v>0.02</v>
      </c>
      <c r="K66" s="2">
        <v>0</v>
      </c>
      <c r="L66" s="2">
        <v>0.01</v>
      </c>
      <c r="M66" s="2">
        <v>0</v>
      </c>
      <c r="N66" s="2">
        <v>0</v>
      </c>
    </row>
    <row r="67" spans="1:14">
      <c r="A67" s="2">
        <v>66</v>
      </c>
      <c r="B67" s="2" t="s">
        <v>49</v>
      </c>
      <c r="C67" s="2" t="s">
        <v>49</v>
      </c>
      <c r="D67" s="2">
        <v>0.02</v>
      </c>
      <c r="E67" s="2">
        <v>0</v>
      </c>
      <c r="F67" s="2">
        <v>0</v>
      </c>
      <c r="G67" s="2">
        <v>0</v>
      </c>
      <c r="H67" s="2">
        <v>0.21</v>
      </c>
      <c r="I67" s="2">
        <v>0</v>
      </c>
      <c r="J67" s="2">
        <v>0.67</v>
      </c>
      <c r="K67" s="2">
        <v>0</v>
      </c>
      <c r="L67" s="2">
        <v>0</v>
      </c>
      <c r="M67" s="2">
        <v>0.1</v>
      </c>
      <c r="N67" s="2">
        <v>0</v>
      </c>
    </row>
    <row r="68" spans="1:14">
      <c r="A68" s="2">
        <v>67</v>
      </c>
      <c r="B68" s="2" t="s">
        <v>25</v>
      </c>
      <c r="C68" s="2" t="s">
        <v>25</v>
      </c>
      <c r="D68" s="2">
        <v>0.61</v>
      </c>
      <c r="E68" s="2">
        <v>0.38</v>
      </c>
      <c r="F68" s="2">
        <v>0</v>
      </c>
      <c r="G68" s="2">
        <v>0</v>
      </c>
      <c r="H68" s="2">
        <v>0.01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</row>
    <row r="69" spans="1:14">
      <c r="A69" s="2">
        <v>68</v>
      </c>
      <c r="B69" s="2" t="s">
        <v>35</v>
      </c>
      <c r="C69" s="2" t="s">
        <v>35</v>
      </c>
      <c r="D69" s="2">
        <v>0.03</v>
      </c>
      <c r="E69" s="2">
        <v>0.01</v>
      </c>
      <c r="F69" s="2">
        <v>0</v>
      </c>
      <c r="G69" s="2">
        <v>0</v>
      </c>
      <c r="H69" s="2">
        <v>0.92</v>
      </c>
      <c r="I69" s="2">
        <v>0</v>
      </c>
      <c r="J69" s="2">
        <v>0</v>
      </c>
      <c r="K69" s="2">
        <v>0</v>
      </c>
      <c r="L69" s="2">
        <v>0</v>
      </c>
      <c r="M69" s="2">
        <v>0.02</v>
      </c>
      <c r="N69" s="2">
        <v>0.02</v>
      </c>
    </row>
    <row r="70" spans="1:14">
      <c r="A70" s="2">
        <v>69</v>
      </c>
      <c r="B70" s="2" t="s">
        <v>58</v>
      </c>
      <c r="C70" s="2" t="s">
        <v>58</v>
      </c>
      <c r="D70" s="2">
        <v>0</v>
      </c>
      <c r="E70" s="2">
        <v>0</v>
      </c>
      <c r="F70" s="2">
        <v>0</v>
      </c>
      <c r="G70" s="2">
        <v>0.94</v>
      </c>
      <c r="H70" s="2">
        <v>0</v>
      </c>
      <c r="I70" s="2">
        <v>0</v>
      </c>
      <c r="J70" s="2">
        <v>0.06</v>
      </c>
      <c r="K70" s="2">
        <v>0</v>
      </c>
      <c r="L70" s="2">
        <v>0</v>
      </c>
      <c r="M70" s="2">
        <v>0</v>
      </c>
      <c r="N70" s="2">
        <v>0</v>
      </c>
    </row>
    <row r="71" spans="1:14">
      <c r="A71" s="2">
        <v>70</v>
      </c>
      <c r="B71" s="2" t="s">
        <v>35</v>
      </c>
      <c r="C71" s="2" t="s">
        <v>35</v>
      </c>
      <c r="D71" s="2">
        <v>0.04</v>
      </c>
      <c r="E71" s="2">
        <v>0</v>
      </c>
      <c r="F71" s="2">
        <v>0</v>
      </c>
      <c r="G71" s="2">
        <v>0</v>
      </c>
      <c r="H71" s="2">
        <v>0.93</v>
      </c>
      <c r="I71" s="2">
        <v>0</v>
      </c>
      <c r="J71" s="2">
        <v>0</v>
      </c>
      <c r="K71" s="2">
        <v>0</v>
      </c>
      <c r="L71" s="2">
        <v>0</v>
      </c>
      <c r="M71" s="2">
        <v>0.03</v>
      </c>
      <c r="N71" s="2">
        <v>0</v>
      </c>
    </row>
    <row r="72" spans="1:14">
      <c r="A72" s="2">
        <v>71</v>
      </c>
      <c r="B72" s="2" t="s">
        <v>43</v>
      </c>
      <c r="C72" s="2" t="s">
        <v>43</v>
      </c>
      <c r="D72" s="2">
        <v>0</v>
      </c>
      <c r="E72" s="2">
        <v>0</v>
      </c>
      <c r="F72" s="2">
        <v>0</v>
      </c>
      <c r="G72" s="2">
        <v>0</v>
      </c>
      <c r="H72" s="2">
        <v>0.35</v>
      </c>
      <c r="I72" s="2">
        <v>0</v>
      </c>
      <c r="J72" s="2">
        <v>0.06</v>
      </c>
      <c r="K72" s="2">
        <v>0</v>
      </c>
      <c r="L72" s="2">
        <v>0</v>
      </c>
      <c r="M72" s="2">
        <v>0.59</v>
      </c>
      <c r="N72" s="2">
        <v>0</v>
      </c>
    </row>
    <row r="73" spans="1:14">
      <c r="A73" s="2">
        <v>72</v>
      </c>
      <c r="B73" s="2" t="s">
        <v>49</v>
      </c>
      <c r="C73" s="2" t="s">
        <v>49</v>
      </c>
      <c r="D73" s="2">
        <v>0.13</v>
      </c>
      <c r="E73" s="2">
        <v>0</v>
      </c>
      <c r="F73" s="2">
        <v>0</v>
      </c>
      <c r="G73" s="2">
        <v>0</v>
      </c>
      <c r="H73" s="2">
        <v>0.15</v>
      </c>
      <c r="I73" s="2">
        <v>0</v>
      </c>
      <c r="J73" s="2">
        <v>0.69</v>
      </c>
      <c r="K73" s="2">
        <v>0</v>
      </c>
      <c r="L73" s="2">
        <v>0</v>
      </c>
      <c r="M73" s="2">
        <v>0.03</v>
      </c>
      <c r="N73" s="2">
        <v>0</v>
      </c>
    </row>
    <row r="74" spans="1:14">
      <c r="A74" s="2">
        <v>73</v>
      </c>
      <c r="B74" s="2" t="s">
        <v>20</v>
      </c>
      <c r="C74" s="2" t="s">
        <v>20</v>
      </c>
      <c r="D74" s="2">
        <v>0</v>
      </c>
      <c r="E74" s="2">
        <v>1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</row>
    <row r="75" spans="1:14">
      <c r="A75" s="2">
        <v>74</v>
      </c>
      <c r="B75" s="2" t="s">
        <v>20</v>
      </c>
      <c r="C75" s="2" t="s">
        <v>20</v>
      </c>
      <c r="D75" s="2">
        <v>0.06</v>
      </c>
      <c r="E75" s="2">
        <v>0.91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0.03</v>
      </c>
      <c r="N75" s="2">
        <v>0</v>
      </c>
    </row>
    <row r="76" spans="1:14">
      <c r="A76" s="2">
        <v>75</v>
      </c>
      <c r="B76" s="2" t="s">
        <v>35</v>
      </c>
      <c r="C76" s="2" t="s">
        <v>35</v>
      </c>
      <c r="D76" s="2">
        <v>0</v>
      </c>
      <c r="E76" s="2">
        <v>0</v>
      </c>
      <c r="F76" s="2">
        <v>0</v>
      </c>
      <c r="G76" s="2">
        <v>0</v>
      </c>
      <c r="H76" s="2">
        <v>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</row>
    <row r="77" spans="1:14">
      <c r="A77" s="2">
        <v>76</v>
      </c>
      <c r="B77" s="2" t="s">
        <v>58</v>
      </c>
      <c r="C77" s="2" t="s">
        <v>58</v>
      </c>
      <c r="D77" s="2">
        <v>0</v>
      </c>
      <c r="E77" s="2">
        <v>0</v>
      </c>
      <c r="F77" s="2">
        <v>0</v>
      </c>
      <c r="G77" s="2">
        <v>1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</row>
    <row r="78" spans="1:14">
      <c r="A78" s="2">
        <v>77</v>
      </c>
      <c r="B78" s="2" t="s">
        <v>20</v>
      </c>
      <c r="C78" s="2" t="s">
        <v>20</v>
      </c>
      <c r="D78" s="2">
        <v>0</v>
      </c>
      <c r="E78" s="2">
        <v>1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</row>
    <row r="79" spans="1:14">
      <c r="A79" s="2">
        <v>78</v>
      </c>
      <c r="B79" s="2" t="s">
        <v>35</v>
      </c>
      <c r="C79" s="2" t="s">
        <v>35</v>
      </c>
      <c r="D79" s="2">
        <v>0</v>
      </c>
      <c r="E79" s="2">
        <v>0</v>
      </c>
      <c r="F79" s="2">
        <v>0</v>
      </c>
      <c r="G79" s="2">
        <v>0</v>
      </c>
      <c r="H79" s="2">
        <v>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</row>
    <row r="80" spans="1:14">
      <c r="A80" s="2">
        <v>79</v>
      </c>
      <c r="B80" s="2" t="s">
        <v>20</v>
      </c>
      <c r="C80" s="2" t="s">
        <v>20</v>
      </c>
      <c r="D80" s="2">
        <v>0.04</v>
      </c>
      <c r="E80" s="2">
        <v>0.83</v>
      </c>
      <c r="F80" s="2">
        <v>0</v>
      </c>
      <c r="G80" s="2">
        <v>0</v>
      </c>
      <c r="H80" s="2">
        <v>0.08</v>
      </c>
      <c r="I80" s="2">
        <v>0</v>
      </c>
      <c r="J80" s="2">
        <v>0.01</v>
      </c>
      <c r="K80" s="2">
        <v>0</v>
      </c>
      <c r="L80" s="2">
        <v>0</v>
      </c>
      <c r="M80" s="2">
        <v>0.04</v>
      </c>
      <c r="N80" s="2">
        <v>0</v>
      </c>
    </row>
    <row r="81" spans="1:14">
      <c r="A81" s="2">
        <v>80</v>
      </c>
      <c r="B81" s="2" t="s">
        <v>87</v>
      </c>
      <c r="C81" s="2" t="s">
        <v>87</v>
      </c>
      <c r="D81" s="2">
        <v>0</v>
      </c>
      <c r="E81" s="2">
        <v>0</v>
      </c>
      <c r="F81" s="2">
        <v>1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</row>
    <row r="82" spans="1:14">
      <c r="A82" s="2">
        <v>81</v>
      </c>
      <c r="B82" s="2" t="s">
        <v>35</v>
      </c>
      <c r="C82" s="2" t="s">
        <v>35</v>
      </c>
      <c r="D82" s="2">
        <v>0.05</v>
      </c>
      <c r="E82" s="2">
        <v>0</v>
      </c>
      <c r="F82" s="2">
        <v>0</v>
      </c>
      <c r="G82" s="2">
        <v>0</v>
      </c>
      <c r="H82" s="2">
        <v>0.83</v>
      </c>
      <c r="I82" s="2">
        <v>0.01</v>
      </c>
      <c r="J82" s="2">
        <v>0.02</v>
      </c>
      <c r="K82" s="2">
        <v>0</v>
      </c>
      <c r="L82" s="2">
        <v>0</v>
      </c>
      <c r="M82" s="2">
        <v>0.09</v>
      </c>
      <c r="N82" s="2">
        <v>0</v>
      </c>
    </row>
    <row r="83" spans="1:14">
      <c r="A83" s="2">
        <v>82</v>
      </c>
      <c r="B83" s="2" t="s">
        <v>20</v>
      </c>
      <c r="C83" s="2" t="s">
        <v>20</v>
      </c>
      <c r="D83" s="2">
        <v>0</v>
      </c>
      <c r="E83" s="2">
        <v>0.96</v>
      </c>
      <c r="F83" s="2">
        <v>0</v>
      </c>
      <c r="G83" s="2">
        <v>0</v>
      </c>
      <c r="H83" s="2">
        <v>0.04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</row>
    <row r="84" spans="1:14">
      <c r="A84" s="2">
        <v>83</v>
      </c>
      <c r="B84" s="2" t="s">
        <v>49</v>
      </c>
      <c r="C84" s="2" t="s">
        <v>49</v>
      </c>
      <c r="D84" s="2">
        <v>0</v>
      </c>
      <c r="E84" s="2">
        <v>0.01</v>
      </c>
      <c r="F84" s="2">
        <v>0</v>
      </c>
      <c r="G84" s="2">
        <v>0</v>
      </c>
      <c r="H84" s="2">
        <v>0.09</v>
      </c>
      <c r="I84" s="2">
        <v>0</v>
      </c>
      <c r="J84" s="2">
        <v>0.86</v>
      </c>
      <c r="K84" s="2">
        <v>0</v>
      </c>
      <c r="L84" s="2">
        <v>0</v>
      </c>
      <c r="M84" s="2">
        <v>0.04</v>
      </c>
      <c r="N84" s="2">
        <v>0</v>
      </c>
    </row>
    <row r="85" spans="1:14">
      <c r="A85" s="2">
        <v>84</v>
      </c>
      <c r="B85" s="2" t="s">
        <v>43</v>
      </c>
      <c r="C85" s="2" t="s">
        <v>43</v>
      </c>
      <c r="D85" s="2">
        <v>0</v>
      </c>
      <c r="E85" s="2">
        <v>0</v>
      </c>
      <c r="F85" s="2">
        <v>0</v>
      </c>
      <c r="G85" s="2">
        <v>0.36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0.64</v>
      </c>
      <c r="N85" s="2">
        <v>0</v>
      </c>
    </row>
    <row r="86" spans="1:14">
      <c r="A86" s="2">
        <v>85</v>
      </c>
      <c r="B86" s="2" t="s">
        <v>49</v>
      </c>
      <c r="C86" s="2" t="s">
        <v>49</v>
      </c>
      <c r="D86" s="2">
        <v>0.05</v>
      </c>
      <c r="E86" s="2">
        <v>0.05</v>
      </c>
      <c r="F86" s="2">
        <v>0</v>
      </c>
      <c r="G86" s="2">
        <v>0</v>
      </c>
      <c r="H86" s="2">
        <v>0.1</v>
      </c>
      <c r="I86" s="2">
        <v>0.02</v>
      </c>
      <c r="J86" s="2">
        <v>0.69</v>
      </c>
      <c r="K86" s="2">
        <v>0</v>
      </c>
      <c r="L86" s="2">
        <v>0</v>
      </c>
      <c r="M86" s="2">
        <v>0.09</v>
      </c>
      <c r="N86" s="2">
        <v>0</v>
      </c>
    </row>
    <row r="87" spans="1:14">
      <c r="A87" s="2">
        <v>86</v>
      </c>
      <c r="B87" s="2" t="s">
        <v>62</v>
      </c>
      <c r="C87" s="2" t="s">
        <v>62</v>
      </c>
      <c r="D87" s="2">
        <v>0</v>
      </c>
      <c r="E87" s="2">
        <v>0</v>
      </c>
      <c r="F87" s="2">
        <v>0.01</v>
      </c>
      <c r="G87" s="2">
        <v>0</v>
      </c>
      <c r="H87" s="2">
        <v>0.02</v>
      </c>
      <c r="I87" s="2">
        <v>0</v>
      </c>
      <c r="J87" s="2">
        <v>0.02</v>
      </c>
      <c r="K87" s="2">
        <v>0</v>
      </c>
      <c r="L87" s="2">
        <v>0.95</v>
      </c>
      <c r="M87" s="2">
        <v>0</v>
      </c>
      <c r="N87" s="2">
        <v>0</v>
      </c>
    </row>
    <row r="88" spans="1:14">
      <c r="A88" s="2">
        <v>87</v>
      </c>
      <c r="B88" s="2" t="s">
        <v>35</v>
      </c>
      <c r="C88" s="2" t="s">
        <v>35</v>
      </c>
      <c r="D88" s="2">
        <v>0.02</v>
      </c>
      <c r="E88" s="2">
        <v>0.04</v>
      </c>
      <c r="F88" s="2">
        <v>0</v>
      </c>
      <c r="G88" s="2">
        <v>0</v>
      </c>
      <c r="H88" s="2">
        <v>0.93</v>
      </c>
      <c r="I88" s="2">
        <v>0</v>
      </c>
      <c r="J88" s="2">
        <v>0</v>
      </c>
      <c r="K88" s="2">
        <v>0</v>
      </c>
      <c r="L88" s="2">
        <v>0.01</v>
      </c>
      <c r="M88" s="2">
        <v>0</v>
      </c>
      <c r="N88" s="2">
        <v>0</v>
      </c>
    </row>
    <row r="89" spans="1:14">
      <c r="A89" s="2">
        <v>88</v>
      </c>
      <c r="B89" s="2" t="s">
        <v>35</v>
      </c>
      <c r="C89" s="2" t="s">
        <v>35</v>
      </c>
      <c r="D89" s="2">
        <v>0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</row>
    <row r="90" spans="1:14">
      <c r="A90" s="2">
        <v>89</v>
      </c>
      <c r="B90" s="2" t="s">
        <v>35</v>
      </c>
      <c r="C90" s="2" t="s">
        <v>35</v>
      </c>
      <c r="D90" s="2">
        <v>0</v>
      </c>
      <c r="E90" s="2">
        <v>0</v>
      </c>
      <c r="F90" s="2">
        <v>0</v>
      </c>
      <c r="G90" s="2">
        <v>0</v>
      </c>
      <c r="H90" s="2">
        <v>0.9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 s="2">
        <v>0</v>
      </c>
    </row>
    <row r="91" spans="1:14">
      <c r="A91" s="2">
        <v>90</v>
      </c>
      <c r="B91" s="2" t="s">
        <v>87</v>
      </c>
      <c r="C91" s="2" t="s">
        <v>87</v>
      </c>
      <c r="D91" s="2">
        <v>0</v>
      </c>
      <c r="E91" s="2">
        <v>0</v>
      </c>
      <c r="F91" s="2">
        <v>1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</row>
    <row r="92" spans="1:14">
      <c r="A92" s="2">
        <v>91</v>
      </c>
      <c r="B92" s="2" t="s">
        <v>58</v>
      </c>
      <c r="C92" s="2" t="s">
        <v>58</v>
      </c>
      <c r="D92" s="2">
        <v>0.12</v>
      </c>
      <c r="E92" s="2">
        <v>0</v>
      </c>
      <c r="F92" s="2">
        <v>0</v>
      </c>
      <c r="G92" s="2">
        <v>0.75</v>
      </c>
      <c r="H92" s="2">
        <v>0</v>
      </c>
      <c r="I92" s="2">
        <v>0</v>
      </c>
      <c r="J92" s="2">
        <v>0.09</v>
      </c>
      <c r="K92" s="2">
        <v>0</v>
      </c>
      <c r="L92" s="2">
        <v>0</v>
      </c>
      <c r="M92" s="2">
        <v>0.04</v>
      </c>
      <c r="N92" s="2">
        <v>0</v>
      </c>
    </row>
    <row r="93" spans="1:14">
      <c r="A93" s="2">
        <v>92</v>
      </c>
      <c r="B93" s="2" t="s">
        <v>58</v>
      </c>
      <c r="C93" s="2" t="s">
        <v>58</v>
      </c>
      <c r="D93" s="2">
        <v>0.01</v>
      </c>
      <c r="E93" s="2">
        <v>0</v>
      </c>
      <c r="F93" s="2">
        <v>0</v>
      </c>
      <c r="G93" s="2">
        <v>0.85</v>
      </c>
      <c r="H93" s="2">
        <v>0.03</v>
      </c>
      <c r="I93" s="2">
        <v>0</v>
      </c>
      <c r="J93" s="2">
        <v>0.03</v>
      </c>
      <c r="K93" s="2">
        <v>0</v>
      </c>
      <c r="L93" s="2">
        <v>0.08</v>
      </c>
      <c r="M93" s="2">
        <v>0</v>
      </c>
      <c r="N93" s="2">
        <v>0</v>
      </c>
    </row>
    <row r="94" spans="1:14">
      <c r="A94" s="2">
        <v>93</v>
      </c>
      <c r="B94" s="2" t="s">
        <v>20</v>
      </c>
      <c r="C94" s="2" t="s">
        <v>20</v>
      </c>
      <c r="D94" s="2">
        <v>0</v>
      </c>
      <c r="E94" s="2">
        <v>1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</row>
    <row r="95" spans="1:14">
      <c r="A95" s="2">
        <v>94</v>
      </c>
      <c r="B95" s="2" t="s">
        <v>20</v>
      </c>
      <c r="C95" s="2" t="s">
        <v>20</v>
      </c>
      <c r="D95" s="2">
        <v>0</v>
      </c>
      <c r="E95" s="2">
        <v>0.81</v>
      </c>
      <c r="F95" s="2">
        <v>0.01</v>
      </c>
      <c r="G95" s="2">
        <v>0</v>
      </c>
      <c r="H95" s="2">
        <v>0.15</v>
      </c>
      <c r="I95" s="2">
        <v>0.03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</row>
    <row r="96" spans="1:14">
      <c r="A96" s="2">
        <v>95</v>
      </c>
      <c r="B96" s="2" t="s">
        <v>35</v>
      </c>
      <c r="C96" s="2" t="s">
        <v>35</v>
      </c>
      <c r="D96" s="2">
        <v>0</v>
      </c>
      <c r="E96" s="2">
        <v>0.28000000000000003</v>
      </c>
      <c r="F96" s="2">
        <v>0</v>
      </c>
      <c r="G96" s="2">
        <v>0</v>
      </c>
      <c r="H96" s="2">
        <v>0.72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</row>
    <row r="97" spans="1:14">
      <c r="A97" s="2">
        <v>96</v>
      </c>
      <c r="B97" s="2" t="s">
        <v>20</v>
      </c>
      <c r="C97" s="2" t="s">
        <v>20</v>
      </c>
      <c r="D97" s="2">
        <v>0</v>
      </c>
      <c r="E97" s="2">
        <v>0.98</v>
      </c>
      <c r="F97" s="2">
        <v>0</v>
      </c>
      <c r="G97" s="2">
        <v>0.01</v>
      </c>
      <c r="H97" s="2">
        <v>0.01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</row>
    <row r="98" spans="1:14">
      <c r="A98" s="2">
        <v>97</v>
      </c>
      <c r="B98" s="2" t="s">
        <v>20</v>
      </c>
      <c r="C98" s="2" t="s">
        <v>20</v>
      </c>
      <c r="D98" s="2">
        <v>0</v>
      </c>
      <c r="E98" s="2">
        <v>1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</row>
    <row r="99" spans="1:14">
      <c r="A99" s="2">
        <v>98</v>
      </c>
      <c r="B99" s="2" t="s">
        <v>177</v>
      </c>
      <c r="C99" s="2" t="s">
        <v>177</v>
      </c>
      <c r="D99" s="2">
        <v>0</v>
      </c>
      <c r="E99" s="2">
        <v>0.01</v>
      </c>
      <c r="F99" s="2">
        <v>0</v>
      </c>
      <c r="G99" s="2">
        <v>0</v>
      </c>
      <c r="H99" s="2">
        <v>0</v>
      </c>
      <c r="I99" s="2">
        <v>0.98</v>
      </c>
      <c r="J99" s="2">
        <v>0.01</v>
      </c>
      <c r="K99" s="2">
        <v>0</v>
      </c>
      <c r="L99" s="2">
        <v>0</v>
      </c>
      <c r="M99" s="2">
        <v>0</v>
      </c>
      <c r="N99" s="2">
        <v>0</v>
      </c>
    </row>
    <row r="100" spans="1:14">
      <c r="A100" s="2">
        <v>99</v>
      </c>
      <c r="B100" s="2" t="s">
        <v>20</v>
      </c>
      <c r="C100" s="2" t="s">
        <v>20</v>
      </c>
      <c r="D100" s="2">
        <v>0.05</v>
      </c>
      <c r="E100" s="2">
        <v>0.94</v>
      </c>
      <c r="F100" s="2">
        <v>0</v>
      </c>
      <c r="G100" s="2">
        <v>0.01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</row>
    <row r="101" spans="1:14">
      <c r="A101" s="2">
        <v>100</v>
      </c>
      <c r="B101" s="2" t="s">
        <v>20</v>
      </c>
      <c r="C101" s="2" t="s">
        <v>20</v>
      </c>
      <c r="D101" s="2">
        <v>0</v>
      </c>
      <c r="E101" s="2">
        <v>1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</row>
    <row r="102" spans="1:14">
      <c r="A102" s="2">
        <v>101</v>
      </c>
      <c r="B102" s="2" t="s">
        <v>20</v>
      </c>
      <c r="C102" s="2" t="s">
        <v>20</v>
      </c>
      <c r="D102" s="2">
        <v>0</v>
      </c>
      <c r="E102" s="2">
        <v>1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</row>
    <row r="103" spans="1:14">
      <c r="A103" s="2">
        <v>102</v>
      </c>
      <c r="B103" s="2" t="s">
        <v>35</v>
      </c>
      <c r="C103" s="2" t="s">
        <v>35</v>
      </c>
      <c r="D103" s="2">
        <v>0.06</v>
      </c>
      <c r="E103" s="2">
        <v>0</v>
      </c>
      <c r="F103" s="2">
        <v>0</v>
      </c>
      <c r="G103" s="2">
        <v>0</v>
      </c>
      <c r="H103" s="2">
        <v>0.74</v>
      </c>
      <c r="I103" s="2">
        <v>0</v>
      </c>
      <c r="J103" s="2">
        <v>0.05</v>
      </c>
      <c r="K103" s="2">
        <v>0</v>
      </c>
      <c r="L103" s="2">
        <v>0</v>
      </c>
      <c r="M103" s="2">
        <v>0.15</v>
      </c>
      <c r="N103" s="2">
        <v>0</v>
      </c>
    </row>
    <row r="104" spans="1:14">
      <c r="A104" s="2">
        <v>103</v>
      </c>
      <c r="B104" s="2" t="s">
        <v>49</v>
      </c>
      <c r="C104" s="2" t="s">
        <v>49</v>
      </c>
      <c r="D104" s="2">
        <v>0.01</v>
      </c>
      <c r="E104" s="2">
        <v>0.12</v>
      </c>
      <c r="F104" s="2">
        <v>0</v>
      </c>
      <c r="G104" s="2">
        <v>0</v>
      </c>
      <c r="H104" s="2">
        <v>0.17</v>
      </c>
      <c r="I104" s="2">
        <v>0</v>
      </c>
      <c r="J104" s="2">
        <v>0.65</v>
      </c>
      <c r="K104" s="2">
        <v>0</v>
      </c>
      <c r="L104" s="2">
        <v>0</v>
      </c>
      <c r="M104" s="2">
        <v>0.05</v>
      </c>
      <c r="N104" s="2">
        <v>0</v>
      </c>
    </row>
    <row r="105" spans="1:14">
      <c r="A105" s="2">
        <v>104</v>
      </c>
      <c r="B105" s="2" t="s">
        <v>58</v>
      </c>
      <c r="C105" s="2" t="s">
        <v>58</v>
      </c>
      <c r="D105" s="2">
        <v>0</v>
      </c>
      <c r="E105" s="2">
        <v>0</v>
      </c>
      <c r="F105" s="2">
        <v>0</v>
      </c>
      <c r="G105" s="2">
        <v>1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</row>
    <row r="106" spans="1:14">
      <c r="A106" s="2">
        <v>105</v>
      </c>
      <c r="B106" s="2" t="s">
        <v>20</v>
      </c>
      <c r="C106" s="2" t="s">
        <v>20</v>
      </c>
      <c r="D106" s="2">
        <v>0</v>
      </c>
      <c r="E106" s="2">
        <v>0.98</v>
      </c>
      <c r="F106" s="2">
        <v>0</v>
      </c>
      <c r="G106" s="2">
        <v>0</v>
      </c>
      <c r="H106" s="2">
        <v>0.01</v>
      </c>
      <c r="I106" s="2">
        <v>0</v>
      </c>
      <c r="J106" s="2">
        <v>0.01</v>
      </c>
      <c r="K106" s="2">
        <v>0</v>
      </c>
      <c r="L106" s="2">
        <v>0</v>
      </c>
      <c r="M106" s="2">
        <v>0</v>
      </c>
      <c r="N106" s="2">
        <v>0</v>
      </c>
    </row>
    <row r="107" spans="1:14">
      <c r="A107" s="2">
        <v>106</v>
      </c>
      <c r="B107" s="2" t="s">
        <v>20</v>
      </c>
      <c r="C107" s="2" t="s">
        <v>20</v>
      </c>
      <c r="D107" s="2">
        <v>0</v>
      </c>
      <c r="E107" s="2">
        <v>0.92</v>
      </c>
      <c r="F107" s="2">
        <v>0</v>
      </c>
      <c r="G107" s="2">
        <v>0</v>
      </c>
      <c r="H107" s="2">
        <v>0</v>
      </c>
      <c r="I107" s="2">
        <v>0</v>
      </c>
      <c r="J107" s="2">
        <v>0.08</v>
      </c>
      <c r="K107" s="2">
        <v>0</v>
      </c>
      <c r="L107" s="2">
        <v>0</v>
      </c>
      <c r="M107" s="2">
        <v>0</v>
      </c>
      <c r="N107" s="2">
        <v>0</v>
      </c>
    </row>
    <row r="108" spans="1:14">
      <c r="A108" s="2">
        <v>107</v>
      </c>
      <c r="B108" s="2" t="s">
        <v>43</v>
      </c>
      <c r="C108" s="2" t="s">
        <v>43</v>
      </c>
      <c r="D108" s="2">
        <v>0.01</v>
      </c>
      <c r="E108" s="2">
        <v>0.04</v>
      </c>
      <c r="F108" s="2">
        <v>0</v>
      </c>
      <c r="G108" s="2">
        <v>0</v>
      </c>
      <c r="H108" s="2">
        <v>0.09</v>
      </c>
      <c r="I108" s="2">
        <v>0.04</v>
      </c>
      <c r="J108" s="2">
        <v>0</v>
      </c>
      <c r="K108" s="2">
        <v>0</v>
      </c>
      <c r="L108" s="2">
        <v>0</v>
      </c>
      <c r="M108" s="2">
        <v>0.82</v>
      </c>
      <c r="N108" s="2">
        <v>0</v>
      </c>
    </row>
    <row r="109" spans="1:14">
      <c r="A109" s="2">
        <v>108</v>
      </c>
      <c r="B109" s="2" t="s">
        <v>20</v>
      </c>
      <c r="C109" s="2" t="s">
        <v>20</v>
      </c>
      <c r="D109" s="2">
        <v>0.02</v>
      </c>
      <c r="E109" s="2">
        <v>0.86</v>
      </c>
      <c r="F109" s="2">
        <v>0</v>
      </c>
      <c r="G109" s="2">
        <v>0.01</v>
      </c>
      <c r="H109" s="2">
        <v>0.11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</row>
    <row r="110" spans="1:14">
      <c r="A110" s="2">
        <v>109</v>
      </c>
      <c r="B110" s="2" t="s">
        <v>20</v>
      </c>
      <c r="C110" s="2" t="s">
        <v>20</v>
      </c>
      <c r="D110" s="2">
        <v>0</v>
      </c>
      <c r="E110" s="2">
        <v>0.99</v>
      </c>
      <c r="F110" s="2">
        <v>0</v>
      </c>
      <c r="G110" s="2">
        <v>0</v>
      </c>
      <c r="H110" s="2">
        <v>0</v>
      </c>
      <c r="I110" s="2">
        <v>0.01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</row>
    <row r="111" spans="1:14">
      <c r="A111" s="2">
        <v>110</v>
      </c>
      <c r="B111" s="2" t="s">
        <v>35</v>
      </c>
      <c r="C111" s="2" t="s">
        <v>35</v>
      </c>
      <c r="D111" s="2">
        <v>0</v>
      </c>
      <c r="E111" s="2">
        <v>0</v>
      </c>
      <c r="F111" s="2">
        <v>0</v>
      </c>
      <c r="G111" s="2">
        <v>0</v>
      </c>
      <c r="H111" s="2">
        <v>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</row>
    <row r="112" spans="1:14">
      <c r="A112" s="2">
        <v>111</v>
      </c>
      <c r="B112" s="2" t="s">
        <v>49</v>
      </c>
      <c r="C112" s="2" t="s">
        <v>49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0.98</v>
      </c>
      <c r="K112" s="2">
        <v>0</v>
      </c>
      <c r="L112" s="2">
        <v>0</v>
      </c>
      <c r="M112" s="2">
        <v>0.02</v>
      </c>
      <c r="N112" s="2">
        <v>0</v>
      </c>
    </row>
    <row r="113" spans="1:14">
      <c r="A113" s="2">
        <v>112</v>
      </c>
      <c r="B113" s="2" t="s">
        <v>62</v>
      </c>
      <c r="C113" s="2" t="s">
        <v>62</v>
      </c>
      <c r="D113" s="2">
        <v>0.13</v>
      </c>
      <c r="E113" s="2">
        <v>0</v>
      </c>
      <c r="F113" s="2">
        <v>0</v>
      </c>
      <c r="G113" s="2">
        <v>0.1</v>
      </c>
      <c r="H113" s="2">
        <v>7.0000000000000007E-2</v>
      </c>
      <c r="I113" s="2">
        <v>0</v>
      </c>
      <c r="J113" s="2">
        <v>0.03</v>
      </c>
      <c r="K113" s="2">
        <v>0</v>
      </c>
      <c r="L113" s="2">
        <v>0.67</v>
      </c>
      <c r="M113" s="2">
        <v>0</v>
      </c>
      <c r="N113" s="2">
        <v>0</v>
      </c>
    </row>
    <row r="114" spans="1:14">
      <c r="A114" s="2">
        <v>113</v>
      </c>
      <c r="B114" s="2" t="s">
        <v>20</v>
      </c>
      <c r="C114" s="2" t="s">
        <v>20</v>
      </c>
      <c r="D114" s="2">
        <v>0</v>
      </c>
      <c r="E114" s="2">
        <v>1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</row>
    <row r="115" spans="1:14">
      <c r="A115" s="2">
        <v>114</v>
      </c>
      <c r="B115" s="2" t="s">
        <v>20</v>
      </c>
      <c r="C115" s="2" t="s">
        <v>20</v>
      </c>
      <c r="D115" s="2">
        <v>0</v>
      </c>
      <c r="E115" s="2">
        <v>1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</row>
    <row r="116" spans="1:14">
      <c r="A116" s="2">
        <v>115</v>
      </c>
      <c r="B116" s="2" t="s">
        <v>25</v>
      </c>
      <c r="C116" s="2" t="s">
        <v>25</v>
      </c>
      <c r="D116" s="2">
        <v>0.77</v>
      </c>
      <c r="E116" s="2">
        <v>0.01</v>
      </c>
      <c r="F116" s="2">
        <v>0</v>
      </c>
      <c r="G116" s="2">
        <v>0</v>
      </c>
      <c r="H116" s="2">
        <v>0.22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</row>
    <row r="117" spans="1:14">
      <c r="A117" s="2">
        <v>116</v>
      </c>
      <c r="B117" s="2" t="s">
        <v>20</v>
      </c>
      <c r="C117" s="2" t="s">
        <v>20</v>
      </c>
      <c r="D117" s="2">
        <v>0</v>
      </c>
      <c r="E117" s="2">
        <v>1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</row>
    <row r="118" spans="1:14">
      <c r="A118" s="2">
        <v>117</v>
      </c>
      <c r="B118" s="2" t="s">
        <v>43</v>
      </c>
      <c r="C118" s="2" t="s">
        <v>43</v>
      </c>
      <c r="D118" s="2">
        <v>0.02</v>
      </c>
      <c r="E118" s="2">
        <v>0</v>
      </c>
      <c r="F118" s="2">
        <v>0</v>
      </c>
      <c r="G118" s="2">
        <v>0</v>
      </c>
      <c r="H118" s="2">
        <v>0.05</v>
      </c>
      <c r="I118" s="2">
        <v>0</v>
      </c>
      <c r="J118" s="2">
        <v>0.1</v>
      </c>
      <c r="K118" s="2">
        <v>0</v>
      </c>
      <c r="L118" s="2">
        <v>0</v>
      </c>
      <c r="M118" s="2">
        <v>0.83</v>
      </c>
      <c r="N118" s="2">
        <v>0</v>
      </c>
    </row>
    <row r="119" spans="1:14">
      <c r="A119" s="2">
        <v>118</v>
      </c>
      <c r="B119" s="2" t="s">
        <v>20</v>
      </c>
      <c r="C119" s="2" t="s">
        <v>20</v>
      </c>
      <c r="D119" s="2">
        <v>0</v>
      </c>
      <c r="E119" s="2">
        <v>1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</row>
    <row r="120" spans="1:14">
      <c r="A120" s="2">
        <v>119</v>
      </c>
      <c r="B120" s="2" t="s">
        <v>20</v>
      </c>
      <c r="C120" s="2" t="s">
        <v>20</v>
      </c>
      <c r="D120" s="2">
        <v>0</v>
      </c>
      <c r="E120" s="2">
        <v>1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</row>
    <row r="121" spans="1:14">
      <c r="A121" s="2">
        <v>120</v>
      </c>
      <c r="B121" s="2" t="s">
        <v>43</v>
      </c>
      <c r="C121" s="2" t="s">
        <v>43</v>
      </c>
      <c r="D121" s="2">
        <v>0.04</v>
      </c>
      <c r="E121" s="2">
        <v>0</v>
      </c>
      <c r="F121" s="2">
        <v>0</v>
      </c>
      <c r="G121" s="2">
        <v>0</v>
      </c>
      <c r="H121" s="2">
        <v>0.13</v>
      </c>
      <c r="I121" s="2">
        <v>0</v>
      </c>
      <c r="J121" s="2">
        <v>0.22</v>
      </c>
      <c r="K121" s="2">
        <v>0</v>
      </c>
      <c r="L121" s="2">
        <v>0</v>
      </c>
      <c r="M121" s="2">
        <v>0.61</v>
      </c>
      <c r="N121" s="2">
        <v>0</v>
      </c>
    </row>
    <row r="122" spans="1:14">
      <c r="A122" s="2">
        <v>121</v>
      </c>
      <c r="B122" s="2" t="s">
        <v>49</v>
      </c>
      <c r="C122" s="2" t="s">
        <v>49</v>
      </c>
      <c r="D122" s="2">
        <v>0</v>
      </c>
      <c r="E122" s="2">
        <v>0</v>
      </c>
      <c r="F122" s="2">
        <v>0</v>
      </c>
      <c r="G122" s="2">
        <v>0.27</v>
      </c>
      <c r="H122" s="2">
        <v>0</v>
      </c>
      <c r="I122" s="2">
        <v>0</v>
      </c>
      <c r="J122" s="2">
        <v>0.72</v>
      </c>
      <c r="K122" s="2">
        <v>0</v>
      </c>
      <c r="L122" s="2">
        <v>0</v>
      </c>
      <c r="M122" s="2">
        <v>0.01</v>
      </c>
      <c r="N122" s="2">
        <v>0</v>
      </c>
    </row>
    <row r="123" spans="1:14">
      <c r="A123" s="2">
        <v>122</v>
      </c>
      <c r="B123" s="2" t="s">
        <v>20</v>
      </c>
      <c r="C123" s="2" t="s">
        <v>20</v>
      </c>
      <c r="D123" s="2">
        <v>0.01</v>
      </c>
      <c r="E123" s="2">
        <v>0.84</v>
      </c>
      <c r="F123" s="2">
        <v>0</v>
      </c>
      <c r="G123" s="2">
        <v>0</v>
      </c>
      <c r="H123" s="2">
        <v>0.15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</row>
    <row r="124" spans="1:14">
      <c r="A124" s="2">
        <v>123</v>
      </c>
      <c r="B124" s="2" t="s">
        <v>20</v>
      </c>
      <c r="C124" s="2" t="s">
        <v>20</v>
      </c>
      <c r="D124" s="2">
        <v>0</v>
      </c>
      <c r="E124" s="2">
        <v>0.71</v>
      </c>
      <c r="F124" s="2">
        <v>0</v>
      </c>
      <c r="G124" s="2">
        <v>0</v>
      </c>
      <c r="H124" s="2">
        <v>0.02</v>
      </c>
      <c r="I124" s="2">
        <v>0</v>
      </c>
      <c r="J124" s="2">
        <v>0.27</v>
      </c>
      <c r="K124" s="2">
        <v>0</v>
      </c>
      <c r="L124" s="2">
        <v>0</v>
      </c>
      <c r="M124" s="2">
        <v>0</v>
      </c>
      <c r="N124" s="2">
        <v>0</v>
      </c>
    </row>
    <row r="125" spans="1:14">
      <c r="A125" s="2">
        <v>124</v>
      </c>
      <c r="B125" s="2" t="s">
        <v>35</v>
      </c>
      <c r="C125" s="2" t="s">
        <v>35</v>
      </c>
      <c r="D125" s="2">
        <v>0</v>
      </c>
      <c r="E125" s="2">
        <v>0</v>
      </c>
      <c r="F125" s="2">
        <v>0</v>
      </c>
      <c r="G125" s="2">
        <v>0</v>
      </c>
      <c r="H125" s="2">
        <v>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</row>
    <row r="126" spans="1:14">
      <c r="A126" s="2">
        <v>125</v>
      </c>
      <c r="B126" s="2" t="s">
        <v>20</v>
      </c>
      <c r="C126" s="2" t="s">
        <v>20</v>
      </c>
      <c r="D126" s="2">
        <v>0.1</v>
      </c>
      <c r="E126" s="2">
        <v>0.75</v>
      </c>
      <c r="F126" s="2">
        <v>0</v>
      </c>
      <c r="G126" s="2">
        <v>0</v>
      </c>
      <c r="H126" s="2">
        <v>0.12</v>
      </c>
      <c r="I126" s="2">
        <v>0</v>
      </c>
      <c r="J126" s="2">
        <v>0.02</v>
      </c>
      <c r="K126" s="2">
        <v>0.01</v>
      </c>
      <c r="L126" s="2">
        <v>0</v>
      </c>
      <c r="M126" s="2">
        <v>0</v>
      </c>
      <c r="N126" s="2">
        <v>0</v>
      </c>
    </row>
    <row r="127" spans="1:14">
      <c r="A127" s="2">
        <v>126</v>
      </c>
      <c r="B127" s="2" t="s">
        <v>58</v>
      </c>
      <c r="C127" s="2" t="s">
        <v>58</v>
      </c>
      <c r="D127" s="2">
        <v>0</v>
      </c>
      <c r="E127" s="2">
        <v>0</v>
      </c>
      <c r="F127" s="2">
        <v>0</v>
      </c>
      <c r="G127" s="2">
        <v>0.99</v>
      </c>
      <c r="H127" s="2">
        <v>0</v>
      </c>
      <c r="I127" s="2">
        <v>0</v>
      </c>
      <c r="J127" s="2">
        <v>0</v>
      </c>
      <c r="K127" s="2">
        <v>0</v>
      </c>
      <c r="L127" s="2">
        <v>0.01</v>
      </c>
      <c r="M127" s="2">
        <v>0</v>
      </c>
      <c r="N127" s="2">
        <v>0</v>
      </c>
    </row>
    <row r="128" spans="1:14">
      <c r="A128" s="2">
        <v>127</v>
      </c>
      <c r="B128" s="2" t="s">
        <v>35</v>
      </c>
      <c r="C128" s="2" t="s">
        <v>35</v>
      </c>
      <c r="D128" s="2">
        <v>0</v>
      </c>
      <c r="E128" s="2">
        <v>0</v>
      </c>
      <c r="F128" s="2">
        <v>0</v>
      </c>
      <c r="G128" s="2">
        <v>0</v>
      </c>
      <c r="H128" s="2">
        <v>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</row>
    <row r="129" spans="1:14">
      <c r="A129" s="2">
        <v>128</v>
      </c>
      <c r="B129" s="2" t="s">
        <v>25</v>
      </c>
      <c r="C129" s="2" t="s">
        <v>25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</row>
    <row r="130" spans="1:14">
      <c r="A130" s="2">
        <v>129</v>
      </c>
      <c r="B130" s="2" t="s">
        <v>20</v>
      </c>
      <c r="C130" s="2" t="s">
        <v>20</v>
      </c>
      <c r="D130" s="2">
        <v>0</v>
      </c>
      <c r="E130" s="2">
        <v>1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</row>
    <row r="131" spans="1:14">
      <c r="A131" s="2">
        <v>130</v>
      </c>
      <c r="B131" s="2" t="s">
        <v>35</v>
      </c>
      <c r="C131" s="2" t="s">
        <v>35</v>
      </c>
      <c r="D131" s="2">
        <v>0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</row>
    <row r="132" spans="1:14">
      <c r="A132" s="2">
        <v>131</v>
      </c>
      <c r="B132" s="2" t="s">
        <v>177</v>
      </c>
      <c r="C132" s="2" t="s">
        <v>177</v>
      </c>
      <c r="D132" s="2">
        <v>0</v>
      </c>
      <c r="E132" s="2">
        <v>0.01</v>
      </c>
      <c r="F132" s="2">
        <v>0</v>
      </c>
      <c r="G132" s="2">
        <v>0</v>
      </c>
      <c r="H132" s="2">
        <v>0.08</v>
      </c>
      <c r="I132" s="2">
        <v>0.63</v>
      </c>
      <c r="J132" s="2">
        <v>0.01</v>
      </c>
      <c r="K132" s="2">
        <v>0</v>
      </c>
      <c r="L132" s="2">
        <v>0</v>
      </c>
      <c r="M132" s="2">
        <v>0.27</v>
      </c>
      <c r="N132" s="2">
        <v>0</v>
      </c>
    </row>
    <row r="133" spans="1:14">
      <c r="A133" s="2">
        <v>132</v>
      </c>
      <c r="B133" s="2" t="s">
        <v>43</v>
      </c>
      <c r="C133" s="2" t="s">
        <v>43</v>
      </c>
      <c r="D133" s="2">
        <v>0.09</v>
      </c>
      <c r="E133" s="2">
        <v>0.01</v>
      </c>
      <c r="F133" s="2">
        <v>0</v>
      </c>
      <c r="G133" s="2">
        <v>0</v>
      </c>
      <c r="H133" s="2">
        <v>0.11</v>
      </c>
      <c r="I133" s="2">
        <v>0</v>
      </c>
      <c r="J133" s="2">
        <v>0.03</v>
      </c>
      <c r="K133" s="2">
        <v>0</v>
      </c>
      <c r="L133" s="2">
        <v>0</v>
      </c>
      <c r="M133" s="2">
        <v>0.76</v>
      </c>
      <c r="N133" s="2">
        <v>0</v>
      </c>
    </row>
    <row r="134" spans="1:14">
      <c r="A134" s="2">
        <v>133</v>
      </c>
      <c r="B134" s="2" t="s">
        <v>20</v>
      </c>
      <c r="C134" s="2" t="s">
        <v>20</v>
      </c>
      <c r="D134" s="2">
        <v>0.01</v>
      </c>
      <c r="E134" s="2">
        <v>0.65</v>
      </c>
      <c r="F134" s="2">
        <v>0</v>
      </c>
      <c r="G134" s="2">
        <v>0</v>
      </c>
      <c r="H134" s="2">
        <v>0.14000000000000001</v>
      </c>
      <c r="I134" s="2">
        <v>0</v>
      </c>
      <c r="J134" s="2">
        <v>0.13</v>
      </c>
      <c r="K134" s="2">
        <v>0</v>
      </c>
      <c r="L134" s="2">
        <v>0</v>
      </c>
      <c r="M134" s="2">
        <v>0.05</v>
      </c>
      <c r="N134" s="2">
        <v>0.02</v>
      </c>
    </row>
    <row r="135" spans="1:14">
      <c r="A135" s="2">
        <v>134</v>
      </c>
      <c r="B135" s="2" t="s">
        <v>35</v>
      </c>
      <c r="C135" s="2" t="s">
        <v>35</v>
      </c>
      <c r="D135" s="2">
        <v>0</v>
      </c>
      <c r="E135" s="2">
        <v>0</v>
      </c>
      <c r="F135" s="2">
        <v>0</v>
      </c>
      <c r="G135" s="2">
        <v>0</v>
      </c>
      <c r="H135" s="2">
        <v>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</row>
    <row r="136" spans="1:14">
      <c r="A136" s="2">
        <v>135</v>
      </c>
      <c r="B136" s="2" t="s">
        <v>58</v>
      </c>
      <c r="C136" s="2" t="s">
        <v>58</v>
      </c>
      <c r="D136" s="2">
        <v>0</v>
      </c>
      <c r="E136" s="2">
        <v>0</v>
      </c>
      <c r="F136" s="2">
        <v>0</v>
      </c>
      <c r="G136" s="2">
        <v>0.98</v>
      </c>
      <c r="H136" s="2">
        <v>0</v>
      </c>
      <c r="I136" s="2">
        <v>0</v>
      </c>
      <c r="J136" s="2">
        <v>0.02</v>
      </c>
      <c r="K136" s="2">
        <v>0</v>
      </c>
      <c r="L136" s="2">
        <v>0</v>
      </c>
      <c r="M136" s="2">
        <v>0</v>
      </c>
      <c r="N136" s="2">
        <v>0</v>
      </c>
    </row>
    <row r="137" spans="1:14">
      <c r="A137" s="2">
        <v>136</v>
      </c>
      <c r="B137" s="2" t="s">
        <v>35</v>
      </c>
      <c r="C137" s="2" t="s">
        <v>35</v>
      </c>
      <c r="D137" s="2">
        <v>0.01</v>
      </c>
      <c r="E137" s="2">
        <v>0.09</v>
      </c>
      <c r="F137" s="2">
        <v>0</v>
      </c>
      <c r="G137" s="2">
        <v>0</v>
      </c>
      <c r="H137" s="2">
        <v>0.9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</row>
    <row r="138" spans="1:14">
      <c r="A138" s="2">
        <v>137</v>
      </c>
      <c r="B138" s="2" t="s">
        <v>20</v>
      </c>
      <c r="C138" s="2" t="s">
        <v>20</v>
      </c>
      <c r="D138" s="2">
        <v>0</v>
      </c>
      <c r="E138" s="2">
        <v>0.99</v>
      </c>
      <c r="F138" s="2">
        <v>0</v>
      </c>
      <c r="G138" s="2">
        <v>0</v>
      </c>
      <c r="H138" s="2">
        <v>0.01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</row>
    <row r="139" spans="1:14">
      <c r="A139" s="2">
        <v>138</v>
      </c>
      <c r="B139" s="2" t="s">
        <v>49</v>
      </c>
      <c r="C139" s="2" t="s">
        <v>49</v>
      </c>
      <c r="D139" s="2">
        <v>0</v>
      </c>
      <c r="E139" s="2">
        <v>0.01</v>
      </c>
      <c r="F139" s="2">
        <v>0</v>
      </c>
      <c r="G139" s="2">
        <v>0</v>
      </c>
      <c r="H139" s="2">
        <v>0.15</v>
      </c>
      <c r="I139" s="2">
        <v>0</v>
      </c>
      <c r="J139" s="2">
        <v>0.72</v>
      </c>
      <c r="K139" s="2">
        <v>0</v>
      </c>
      <c r="L139" s="2">
        <v>0</v>
      </c>
      <c r="M139" s="2">
        <v>0.12</v>
      </c>
      <c r="N139" s="2">
        <v>0</v>
      </c>
    </row>
    <row r="140" spans="1:14">
      <c r="A140" s="2">
        <v>139</v>
      </c>
      <c r="B140" s="2" t="s">
        <v>20</v>
      </c>
      <c r="C140" s="2" t="s">
        <v>20</v>
      </c>
      <c r="D140" s="2">
        <v>0</v>
      </c>
      <c r="E140" s="2">
        <v>1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</row>
    <row r="141" spans="1:14">
      <c r="A141" s="2">
        <v>140</v>
      </c>
      <c r="B141" s="2" t="s">
        <v>20</v>
      </c>
      <c r="C141" s="2" t="s">
        <v>20</v>
      </c>
      <c r="D141" s="2">
        <v>0</v>
      </c>
      <c r="E141" s="2">
        <v>1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</row>
    <row r="142" spans="1:14">
      <c r="A142" s="2">
        <v>141</v>
      </c>
      <c r="B142" s="2" t="s">
        <v>20</v>
      </c>
      <c r="C142" s="2" t="s">
        <v>20</v>
      </c>
      <c r="D142" s="2">
        <v>0</v>
      </c>
      <c r="E142" s="2">
        <v>1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</row>
    <row r="143" spans="1:14">
      <c r="A143" s="2">
        <v>142</v>
      </c>
      <c r="B143" s="2" t="s">
        <v>43</v>
      </c>
      <c r="C143" s="2" t="s">
        <v>43</v>
      </c>
      <c r="D143" s="2">
        <v>0.01</v>
      </c>
      <c r="E143" s="2">
        <v>0.01</v>
      </c>
      <c r="F143" s="2">
        <v>0</v>
      </c>
      <c r="G143" s="2">
        <v>0</v>
      </c>
      <c r="H143" s="2">
        <v>0.13</v>
      </c>
      <c r="I143" s="2">
        <v>0</v>
      </c>
      <c r="J143" s="2">
        <v>0</v>
      </c>
      <c r="K143" s="2">
        <v>0</v>
      </c>
      <c r="L143" s="2">
        <v>0</v>
      </c>
      <c r="M143" s="2">
        <v>0.85</v>
      </c>
      <c r="N143" s="2">
        <v>0</v>
      </c>
    </row>
    <row r="144" spans="1:14">
      <c r="A144" s="2">
        <v>143</v>
      </c>
      <c r="B144" s="2" t="s">
        <v>20</v>
      </c>
      <c r="C144" s="2" t="s">
        <v>20</v>
      </c>
      <c r="D144" s="2">
        <v>0</v>
      </c>
      <c r="E144" s="2">
        <v>1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</row>
    <row r="145" spans="1:14">
      <c r="A145" s="2">
        <v>144</v>
      </c>
      <c r="B145" s="2" t="s">
        <v>20</v>
      </c>
      <c r="C145" s="2" t="s">
        <v>20</v>
      </c>
      <c r="D145" s="2">
        <v>0</v>
      </c>
      <c r="E145" s="2">
        <v>1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</row>
    <row r="146" spans="1:14">
      <c r="A146" s="2">
        <v>145</v>
      </c>
      <c r="B146" s="2" t="s">
        <v>20</v>
      </c>
      <c r="C146" s="2" t="s">
        <v>20</v>
      </c>
      <c r="D146" s="2">
        <v>7.0000000000000007E-2</v>
      </c>
      <c r="E146" s="2">
        <v>0.93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</row>
    <row r="147" spans="1:14">
      <c r="A147" s="2">
        <v>146</v>
      </c>
      <c r="B147" s="2" t="s">
        <v>20</v>
      </c>
      <c r="C147" s="2" t="s">
        <v>20</v>
      </c>
      <c r="D147" s="2">
        <v>0</v>
      </c>
      <c r="E147" s="2">
        <v>1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</row>
    <row r="148" spans="1:14">
      <c r="A148" s="2">
        <v>147</v>
      </c>
      <c r="B148" s="2" t="s">
        <v>35</v>
      </c>
      <c r="C148" s="2" t="s">
        <v>35</v>
      </c>
      <c r="D148" s="2">
        <v>0.04</v>
      </c>
      <c r="E148" s="2">
        <v>0.09</v>
      </c>
      <c r="F148" s="2">
        <v>0</v>
      </c>
      <c r="G148" s="2">
        <v>0</v>
      </c>
      <c r="H148" s="2">
        <v>0.83</v>
      </c>
      <c r="I148" s="2">
        <v>0</v>
      </c>
      <c r="J148" s="2">
        <v>0.02</v>
      </c>
      <c r="K148" s="2">
        <v>0</v>
      </c>
      <c r="L148" s="2">
        <v>0</v>
      </c>
      <c r="M148" s="2">
        <v>0.02</v>
      </c>
      <c r="N148" s="2">
        <v>0</v>
      </c>
    </row>
    <row r="149" spans="1:14">
      <c r="A149" s="2">
        <v>148</v>
      </c>
      <c r="B149" s="2" t="s">
        <v>35</v>
      </c>
      <c r="C149" s="2" t="s">
        <v>35</v>
      </c>
      <c r="D149" s="2">
        <v>0</v>
      </c>
      <c r="E149" s="2">
        <v>0.05</v>
      </c>
      <c r="F149" s="2">
        <v>0.01</v>
      </c>
      <c r="G149" s="2">
        <v>0</v>
      </c>
      <c r="H149" s="2">
        <v>0.93</v>
      </c>
      <c r="I149" s="2">
        <v>0</v>
      </c>
      <c r="J149" s="2">
        <v>0.01</v>
      </c>
      <c r="K149" s="2">
        <v>0</v>
      </c>
      <c r="L149" s="2">
        <v>0</v>
      </c>
      <c r="M149" s="2">
        <v>0</v>
      </c>
      <c r="N149" s="2">
        <v>0</v>
      </c>
    </row>
    <row r="150" spans="1:14">
      <c r="A150" s="2">
        <v>149</v>
      </c>
      <c r="B150" s="2" t="s">
        <v>35</v>
      </c>
      <c r="C150" s="2" t="s">
        <v>35</v>
      </c>
      <c r="D150" s="2">
        <v>0</v>
      </c>
      <c r="E150" s="2">
        <v>0</v>
      </c>
      <c r="F150" s="2">
        <v>0</v>
      </c>
      <c r="G150" s="2">
        <v>0</v>
      </c>
      <c r="H150" s="2">
        <v>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</row>
    <row r="151" spans="1:14">
      <c r="A151" s="2">
        <v>150</v>
      </c>
      <c r="B151" s="2" t="s">
        <v>20</v>
      </c>
      <c r="C151" s="2" t="s">
        <v>20</v>
      </c>
      <c r="D151" s="2">
        <v>0</v>
      </c>
      <c r="E151" s="2">
        <v>0.88</v>
      </c>
      <c r="F151" s="2">
        <v>0</v>
      </c>
      <c r="G151" s="2">
        <v>0</v>
      </c>
      <c r="H151" s="2">
        <v>0.02</v>
      </c>
      <c r="I151" s="2">
        <v>0.01</v>
      </c>
      <c r="J151" s="2">
        <v>0.01</v>
      </c>
      <c r="K151" s="2">
        <v>0</v>
      </c>
      <c r="L151" s="2">
        <v>0</v>
      </c>
      <c r="M151" s="2">
        <v>7.0000000000000007E-2</v>
      </c>
      <c r="N151" s="2">
        <v>0.01</v>
      </c>
    </row>
    <row r="152" spans="1:14">
      <c r="A152" s="2">
        <v>151</v>
      </c>
      <c r="B152" s="2" t="s">
        <v>20</v>
      </c>
      <c r="C152" s="2" t="s">
        <v>20</v>
      </c>
      <c r="D152" s="2">
        <v>0</v>
      </c>
      <c r="E152" s="2">
        <v>1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</row>
    <row r="153" spans="1:14">
      <c r="A153" s="2">
        <v>152</v>
      </c>
      <c r="B153" s="2" t="s">
        <v>87</v>
      </c>
      <c r="C153" s="2" t="s">
        <v>87</v>
      </c>
      <c r="D153" s="2">
        <v>0.01</v>
      </c>
      <c r="E153" s="2">
        <v>0</v>
      </c>
      <c r="F153" s="2">
        <v>0.99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</row>
    <row r="154" spans="1:14">
      <c r="A154" s="2">
        <v>153</v>
      </c>
      <c r="B154" s="2" t="s">
        <v>43</v>
      </c>
      <c r="C154" s="2" t="s">
        <v>43</v>
      </c>
      <c r="D154" s="2">
        <v>0.1</v>
      </c>
      <c r="E154" s="2">
        <v>0</v>
      </c>
      <c r="F154" s="2">
        <v>0</v>
      </c>
      <c r="G154" s="2">
        <v>0</v>
      </c>
      <c r="H154" s="2">
        <v>0.06</v>
      </c>
      <c r="I154" s="2">
        <v>0</v>
      </c>
      <c r="J154" s="2">
        <v>0.17</v>
      </c>
      <c r="K154" s="2">
        <v>0</v>
      </c>
      <c r="L154" s="2">
        <v>0</v>
      </c>
      <c r="M154" s="2">
        <v>0.67</v>
      </c>
      <c r="N154" s="2">
        <v>0</v>
      </c>
    </row>
    <row r="155" spans="1:14">
      <c r="A155" s="2">
        <v>154</v>
      </c>
      <c r="B155" s="2" t="s">
        <v>20</v>
      </c>
      <c r="C155" s="2" t="s">
        <v>20</v>
      </c>
      <c r="D155" s="2">
        <v>0</v>
      </c>
      <c r="E155" s="2">
        <v>1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</row>
    <row r="156" spans="1:14">
      <c r="A156" s="2">
        <v>155</v>
      </c>
      <c r="B156" s="2" t="s">
        <v>43</v>
      </c>
      <c r="C156" s="2" t="s">
        <v>43</v>
      </c>
      <c r="D156" s="2">
        <v>0</v>
      </c>
      <c r="E156" s="2">
        <v>0.02</v>
      </c>
      <c r="F156" s="2">
        <v>0</v>
      </c>
      <c r="G156" s="2">
        <v>0</v>
      </c>
      <c r="H156" s="2">
        <v>0.04</v>
      </c>
      <c r="I156" s="2">
        <v>0</v>
      </c>
      <c r="J156" s="2">
        <v>0.02</v>
      </c>
      <c r="K156" s="2">
        <v>0</v>
      </c>
      <c r="L156" s="2">
        <v>0</v>
      </c>
      <c r="M156" s="2">
        <v>0.92</v>
      </c>
      <c r="N156" s="2">
        <v>0</v>
      </c>
    </row>
    <row r="157" spans="1:14">
      <c r="A157" s="2">
        <v>156</v>
      </c>
      <c r="B157" s="2" t="s">
        <v>25</v>
      </c>
      <c r="C157" s="2" t="s">
        <v>25</v>
      </c>
      <c r="D157" s="2">
        <v>0.59</v>
      </c>
      <c r="E157" s="2">
        <v>0</v>
      </c>
      <c r="F157" s="2">
        <v>0</v>
      </c>
      <c r="G157" s="2">
        <v>0</v>
      </c>
      <c r="H157" s="2">
        <v>0.12</v>
      </c>
      <c r="I157" s="2">
        <v>0</v>
      </c>
      <c r="J157" s="2">
        <v>0.08</v>
      </c>
      <c r="K157" s="2">
        <v>0</v>
      </c>
      <c r="L157" s="2">
        <v>0</v>
      </c>
      <c r="M157" s="2">
        <v>0.2</v>
      </c>
      <c r="N157" s="2">
        <v>0.01</v>
      </c>
    </row>
    <row r="158" spans="1:14">
      <c r="A158" s="2">
        <v>157</v>
      </c>
      <c r="B158" s="2" t="s">
        <v>20</v>
      </c>
      <c r="C158" s="2" t="s">
        <v>20</v>
      </c>
      <c r="D158" s="2">
        <v>0</v>
      </c>
      <c r="E158" s="2">
        <v>1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</row>
    <row r="159" spans="1:14">
      <c r="A159" s="2">
        <v>158</v>
      </c>
      <c r="B159" s="2" t="s">
        <v>49</v>
      </c>
      <c r="C159" s="2" t="s">
        <v>49</v>
      </c>
      <c r="D159" s="2">
        <v>0</v>
      </c>
      <c r="E159" s="2">
        <v>0</v>
      </c>
      <c r="F159" s="2">
        <v>0.01</v>
      </c>
      <c r="G159" s="2">
        <v>0</v>
      </c>
      <c r="H159" s="2">
        <v>0.23</v>
      </c>
      <c r="I159" s="2">
        <v>0</v>
      </c>
      <c r="J159" s="2">
        <v>0.67</v>
      </c>
      <c r="K159" s="2">
        <v>0.03</v>
      </c>
      <c r="L159" s="2">
        <v>0.06</v>
      </c>
      <c r="M159" s="2">
        <v>0</v>
      </c>
      <c r="N159" s="2">
        <v>0</v>
      </c>
    </row>
    <row r="160" spans="1:14">
      <c r="A160" s="2">
        <v>159</v>
      </c>
      <c r="B160" s="2" t="s">
        <v>58</v>
      </c>
      <c r="C160" s="2" t="s">
        <v>58</v>
      </c>
      <c r="D160" s="2">
        <v>0</v>
      </c>
      <c r="E160" s="2">
        <v>0</v>
      </c>
      <c r="F160" s="2">
        <v>0</v>
      </c>
      <c r="G160" s="2">
        <v>1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</row>
    <row r="161" spans="1:14">
      <c r="A161" s="2">
        <v>160</v>
      </c>
      <c r="B161" s="2" t="s">
        <v>35</v>
      </c>
      <c r="C161" s="2" t="s">
        <v>35</v>
      </c>
      <c r="D161" s="2">
        <v>0.1</v>
      </c>
      <c r="E161" s="2">
        <v>0</v>
      </c>
      <c r="F161" s="2">
        <v>0</v>
      </c>
      <c r="G161" s="2">
        <v>0</v>
      </c>
      <c r="H161" s="2">
        <v>0.81</v>
      </c>
      <c r="I161" s="2">
        <v>0</v>
      </c>
      <c r="J161" s="2">
        <v>0.01</v>
      </c>
      <c r="K161" s="2">
        <v>0</v>
      </c>
      <c r="L161" s="2">
        <v>0</v>
      </c>
      <c r="M161" s="2">
        <v>0.08</v>
      </c>
      <c r="N161" s="2">
        <v>0</v>
      </c>
    </row>
    <row r="162" spans="1:14">
      <c r="A162" s="2">
        <v>161</v>
      </c>
      <c r="B162" s="2" t="s">
        <v>35</v>
      </c>
      <c r="C162" s="2" t="s">
        <v>35</v>
      </c>
      <c r="D162" s="2">
        <v>0</v>
      </c>
      <c r="E162" s="2">
        <v>0</v>
      </c>
      <c r="F162" s="2">
        <v>0</v>
      </c>
      <c r="G162" s="2">
        <v>0</v>
      </c>
      <c r="H162" s="2">
        <v>0.88</v>
      </c>
      <c r="I162" s="2">
        <v>0</v>
      </c>
      <c r="J162" s="2">
        <v>0.06</v>
      </c>
      <c r="K162" s="2">
        <v>0</v>
      </c>
      <c r="L162" s="2">
        <v>0</v>
      </c>
      <c r="M162" s="2">
        <v>0.06</v>
      </c>
      <c r="N162" s="2">
        <v>0</v>
      </c>
    </row>
    <row r="163" spans="1:14">
      <c r="A163" s="2">
        <v>162</v>
      </c>
      <c r="B163" s="2" t="s">
        <v>35</v>
      </c>
      <c r="C163" s="2" t="s">
        <v>35</v>
      </c>
      <c r="D163" s="2">
        <v>0.13</v>
      </c>
      <c r="E163" s="2">
        <v>0.02</v>
      </c>
      <c r="F163" s="2">
        <v>0</v>
      </c>
      <c r="G163" s="2">
        <v>0</v>
      </c>
      <c r="H163" s="2">
        <v>0.74</v>
      </c>
      <c r="I163" s="2">
        <v>0</v>
      </c>
      <c r="J163" s="2">
        <v>0.03</v>
      </c>
      <c r="K163" s="2">
        <v>0</v>
      </c>
      <c r="L163" s="2">
        <v>0</v>
      </c>
      <c r="M163" s="2">
        <v>0.01</v>
      </c>
      <c r="N163" s="2">
        <v>7.0000000000000007E-2</v>
      </c>
    </row>
    <row r="164" spans="1:14">
      <c r="A164" s="2">
        <v>163</v>
      </c>
      <c r="B164" s="2" t="s">
        <v>25</v>
      </c>
      <c r="C164" s="2" t="s">
        <v>25</v>
      </c>
      <c r="D164" s="2">
        <v>0.99</v>
      </c>
      <c r="E164" s="2">
        <v>0</v>
      </c>
      <c r="F164" s="2">
        <v>0.01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</row>
    <row r="165" spans="1:14">
      <c r="A165" s="2">
        <v>164</v>
      </c>
      <c r="B165" s="2" t="s">
        <v>35</v>
      </c>
      <c r="C165" s="2" t="s">
        <v>35</v>
      </c>
      <c r="D165" s="2">
        <v>0.18</v>
      </c>
      <c r="E165" s="2">
        <v>0</v>
      </c>
      <c r="F165" s="2">
        <v>0</v>
      </c>
      <c r="G165" s="2">
        <v>0</v>
      </c>
      <c r="H165" s="2">
        <v>0.67</v>
      </c>
      <c r="I165" s="2">
        <v>0</v>
      </c>
      <c r="J165" s="2">
        <v>0.08</v>
      </c>
      <c r="K165" s="2">
        <v>0</v>
      </c>
      <c r="L165" s="2">
        <v>0</v>
      </c>
      <c r="M165" s="2">
        <v>7.0000000000000007E-2</v>
      </c>
      <c r="N165" s="2">
        <v>0</v>
      </c>
    </row>
    <row r="166" spans="1:14">
      <c r="A166" s="2">
        <v>165</v>
      </c>
      <c r="B166" s="2" t="s">
        <v>35</v>
      </c>
      <c r="C166" s="2" t="s">
        <v>35</v>
      </c>
      <c r="D166" s="2">
        <v>0</v>
      </c>
      <c r="E166" s="2">
        <v>0</v>
      </c>
      <c r="F166" s="2">
        <v>0</v>
      </c>
      <c r="G166" s="2">
        <v>0</v>
      </c>
      <c r="H166" s="2">
        <v>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</row>
    <row r="167" spans="1:14">
      <c r="A167" s="2">
        <v>166</v>
      </c>
      <c r="B167" s="2" t="s">
        <v>20</v>
      </c>
      <c r="C167" s="2" t="s">
        <v>20</v>
      </c>
      <c r="D167" s="2">
        <v>0</v>
      </c>
      <c r="E167" s="2">
        <v>1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</row>
    <row r="168" spans="1:14">
      <c r="A168" s="2">
        <v>167</v>
      </c>
      <c r="B168" s="2" t="s">
        <v>49</v>
      </c>
      <c r="C168" s="2" t="s">
        <v>49</v>
      </c>
      <c r="D168" s="2">
        <v>0.02</v>
      </c>
      <c r="E168" s="2">
        <v>0.02</v>
      </c>
      <c r="F168" s="2">
        <v>0</v>
      </c>
      <c r="G168" s="2">
        <v>0</v>
      </c>
      <c r="H168" s="2">
        <v>0.1</v>
      </c>
      <c r="I168" s="2">
        <v>0</v>
      </c>
      <c r="J168" s="2">
        <v>0.66</v>
      </c>
      <c r="K168" s="2">
        <v>0</v>
      </c>
      <c r="L168" s="2">
        <v>0</v>
      </c>
      <c r="M168" s="2">
        <v>0.2</v>
      </c>
      <c r="N168" s="2">
        <v>0</v>
      </c>
    </row>
    <row r="169" spans="1:14">
      <c r="A169" s="2">
        <v>168</v>
      </c>
      <c r="B169" s="2" t="s">
        <v>25</v>
      </c>
      <c r="C169" s="2" t="s">
        <v>25</v>
      </c>
      <c r="D169" s="2">
        <v>1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</row>
    <row r="170" spans="1:14">
      <c r="A170" s="2">
        <v>169</v>
      </c>
      <c r="B170" s="2" t="s">
        <v>20</v>
      </c>
      <c r="C170" s="2" t="s">
        <v>20</v>
      </c>
      <c r="D170" s="2">
        <v>0</v>
      </c>
      <c r="E170" s="2">
        <v>1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</row>
    <row r="171" spans="1:14">
      <c r="A171" s="2">
        <v>170</v>
      </c>
      <c r="B171" s="2" t="s">
        <v>35</v>
      </c>
      <c r="C171" s="2" t="s">
        <v>35</v>
      </c>
      <c r="D171" s="2">
        <v>0</v>
      </c>
      <c r="E171" s="2">
        <v>0</v>
      </c>
      <c r="F171" s="2">
        <v>0</v>
      </c>
      <c r="G171" s="2">
        <v>0</v>
      </c>
      <c r="H171" s="2">
        <v>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</row>
    <row r="172" spans="1:14">
      <c r="A172" s="2">
        <v>171</v>
      </c>
      <c r="B172" s="2" t="s">
        <v>20</v>
      </c>
      <c r="C172" s="2" t="s">
        <v>20</v>
      </c>
      <c r="D172" s="2">
        <v>0</v>
      </c>
      <c r="E172" s="2">
        <v>1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</row>
    <row r="173" spans="1:14">
      <c r="A173" s="2">
        <v>172</v>
      </c>
      <c r="B173" s="2" t="s">
        <v>43</v>
      </c>
      <c r="C173" s="2" t="s">
        <v>43</v>
      </c>
      <c r="D173" s="2">
        <v>0.19</v>
      </c>
      <c r="E173" s="2">
        <v>0.05</v>
      </c>
      <c r="F173" s="2">
        <v>0</v>
      </c>
      <c r="G173" s="2">
        <v>0</v>
      </c>
      <c r="H173" s="2">
        <v>0.01</v>
      </c>
      <c r="I173" s="2">
        <v>0</v>
      </c>
      <c r="J173" s="2">
        <v>0.02</v>
      </c>
      <c r="K173" s="2">
        <v>0</v>
      </c>
      <c r="L173" s="2">
        <v>0</v>
      </c>
      <c r="M173" s="2">
        <v>0.73</v>
      </c>
      <c r="N173" s="2">
        <v>0</v>
      </c>
    </row>
    <row r="174" spans="1:14">
      <c r="A174" s="2">
        <v>173</v>
      </c>
      <c r="B174" s="2" t="s">
        <v>20</v>
      </c>
      <c r="C174" s="2" t="s">
        <v>20</v>
      </c>
      <c r="D174" s="2">
        <v>0</v>
      </c>
      <c r="E174" s="2">
        <v>1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</row>
    <row r="175" spans="1:14">
      <c r="A175" s="2">
        <v>174</v>
      </c>
      <c r="B175" s="2" t="s">
        <v>25</v>
      </c>
      <c r="C175" s="2" t="s">
        <v>25</v>
      </c>
      <c r="D175" s="2">
        <v>0.59</v>
      </c>
      <c r="E175" s="2">
        <v>0.41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</row>
    <row r="176" spans="1:14">
      <c r="A176" s="2">
        <v>175</v>
      </c>
      <c r="B176" s="2" t="s">
        <v>20</v>
      </c>
      <c r="C176" s="2" t="s">
        <v>20</v>
      </c>
      <c r="D176" s="2">
        <v>0</v>
      </c>
      <c r="E176" s="2">
        <v>1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</row>
    <row r="177" spans="1:14">
      <c r="A177" s="2">
        <v>176</v>
      </c>
      <c r="B177" s="2" t="s">
        <v>49</v>
      </c>
      <c r="C177" s="2" t="s">
        <v>49</v>
      </c>
      <c r="D177" s="2">
        <v>0</v>
      </c>
      <c r="E177" s="2">
        <v>0</v>
      </c>
      <c r="F177" s="2">
        <v>0</v>
      </c>
      <c r="G177" s="2">
        <v>0.05</v>
      </c>
      <c r="H177" s="2">
        <v>0</v>
      </c>
      <c r="I177" s="2">
        <v>0</v>
      </c>
      <c r="J177" s="2">
        <v>0.94</v>
      </c>
      <c r="K177" s="2">
        <v>0</v>
      </c>
      <c r="L177" s="2">
        <v>0</v>
      </c>
      <c r="M177" s="2">
        <v>0.01</v>
      </c>
      <c r="N177" s="2">
        <v>0</v>
      </c>
    </row>
    <row r="178" spans="1:14">
      <c r="A178" s="2">
        <v>177</v>
      </c>
      <c r="B178" s="2" t="s">
        <v>20</v>
      </c>
      <c r="C178" s="2" t="s">
        <v>20</v>
      </c>
      <c r="D178" s="2">
        <v>0.01</v>
      </c>
      <c r="E178" s="2">
        <v>0.99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</row>
    <row r="179" spans="1:14">
      <c r="A179" s="2">
        <v>178</v>
      </c>
      <c r="B179" s="2" t="s">
        <v>20</v>
      </c>
      <c r="C179" s="2" t="s">
        <v>20</v>
      </c>
      <c r="D179" s="2">
        <v>0</v>
      </c>
      <c r="E179" s="2">
        <v>0.7</v>
      </c>
      <c r="F179" s="2">
        <v>0</v>
      </c>
      <c r="G179" s="2">
        <v>0</v>
      </c>
      <c r="H179" s="2">
        <v>0.03</v>
      </c>
      <c r="I179" s="2">
        <v>0</v>
      </c>
      <c r="J179" s="2">
        <v>0.27</v>
      </c>
      <c r="K179" s="2">
        <v>0</v>
      </c>
      <c r="L179" s="2">
        <v>0</v>
      </c>
      <c r="M179" s="2">
        <v>0</v>
      </c>
      <c r="N179" s="2">
        <v>0</v>
      </c>
    </row>
    <row r="180" spans="1:14">
      <c r="A180" s="2">
        <v>179</v>
      </c>
      <c r="B180" s="2" t="s">
        <v>62</v>
      </c>
      <c r="C180" s="2" t="s">
        <v>62</v>
      </c>
      <c r="D180" s="2">
        <v>0</v>
      </c>
      <c r="E180" s="2">
        <v>0</v>
      </c>
      <c r="F180" s="2">
        <v>0</v>
      </c>
      <c r="G180" s="2">
        <v>0</v>
      </c>
      <c r="H180" s="2">
        <v>0.01</v>
      </c>
      <c r="I180" s="2">
        <v>0</v>
      </c>
      <c r="J180" s="2">
        <v>0.01</v>
      </c>
      <c r="K180" s="2">
        <v>0</v>
      </c>
      <c r="L180" s="2">
        <v>0.98</v>
      </c>
      <c r="M180" s="2">
        <v>0</v>
      </c>
      <c r="N180" s="2">
        <v>0</v>
      </c>
    </row>
    <row r="181" spans="1:14">
      <c r="A181" s="2">
        <v>180</v>
      </c>
      <c r="B181" s="2" t="s">
        <v>35</v>
      </c>
      <c r="C181" s="2" t="s">
        <v>35</v>
      </c>
      <c r="D181" s="2">
        <v>0</v>
      </c>
      <c r="E181" s="2">
        <v>0.03</v>
      </c>
      <c r="F181" s="2">
        <v>0</v>
      </c>
      <c r="G181" s="2">
        <v>0</v>
      </c>
      <c r="H181" s="2">
        <v>0.82</v>
      </c>
      <c r="I181" s="2">
        <v>0.03</v>
      </c>
      <c r="J181" s="2">
        <v>0.01</v>
      </c>
      <c r="K181" s="2">
        <v>0</v>
      </c>
      <c r="L181" s="2">
        <v>0</v>
      </c>
      <c r="M181" s="2">
        <v>0.11</v>
      </c>
      <c r="N181" s="2">
        <v>0</v>
      </c>
    </row>
    <row r="182" spans="1:14">
      <c r="A182" s="2">
        <v>181</v>
      </c>
      <c r="B182" s="2" t="s">
        <v>35</v>
      </c>
      <c r="C182" s="2" t="s">
        <v>35</v>
      </c>
      <c r="D182" s="2">
        <v>0</v>
      </c>
      <c r="E182" s="2">
        <v>0.16</v>
      </c>
      <c r="F182" s="2">
        <v>0</v>
      </c>
      <c r="G182" s="2">
        <v>0</v>
      </c>
      <c r="H182" s="2">
        <v>0.77</v>
      </c>
      <c r="I182" s="2">
        <v>0</v>
      </c>
      <c r="J182" s="2">
        <v>0.01</v>
      </c>
      <c r="K182" s="2">
        <v>0</v>
      </c>
      <c r="L182" s="2">
        <v>0</v>
      </c>
      <c r="M182" s="2">
        <v>0.06</v>
      </c>
      <c r="N182" s="2">
        <v>0</v>
      </c>
    </row>
    <row r="183" spans="1:14">
      <c r="A183" s="2">
        <v>182</v>
      </c>
      <c r="B183" s="2" t="s">
        <v>25</v>
      </c>
      <c r="C183" s="2" t="s">
        <v>25</v>
      </c>
      <c r="D183" s="2">
        <v>0.67</v>
      </c>
      <c r="E183" s="2">
        <v>0</v>
      </c>
      <c r="F183" s="2">
        <v>0</v>
      </c>
      <c r="G183" s="2">
        <v>0</v>
      </c>
      <c r="H183" s="2">
        <v>0.03</v>
      </c>
      <c r="I183" s="2">
        <v>0</v>
      </c>
      <c r="J183" s="2">
        <v>0.24</v>
      </c>
      <c r="K183" s="2">
        <v>0</v>
      </c>
      <c r="L183" s="2">
        <v>0</v>
      </c>
      <c r="M183" s="2">
        <v>0.06</v>
      </c>
      <c r="N183" s="2">
        <v>0</v>
      </c>
    </row>
    <row r="184" spans="1:14">
      <c r="A184" s="2">
        <v>183</v>
      </c>
      <c r="B184" s="2" t="s">
        <v>20</v>
      </c>
      <c r="C184" s="2" t="s">
        <v>20</v>
      </c>
      <c r="D184" s="2">
        <v>0</v>
      </c>
      <c r="E184" s="2">
        <v>1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</row>
    <row r="185" spans="1:14">
      <c r="A185" s="2">
        <v>184</v>
      </c>
      <c r="B185" s="2" t="s">
        <v>20</v>
      </c>
      <c r="C185" s="2" t="s">
        <v>20</v>
      </c>
      <c r="D185" s="2">
        <v>0</v>
      </c>
      <c r="E185" s="2">
        <v>1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</row>
    <row r="186" spans="1:14">
      <c r="A186" s="2">
        <v>185</v>
      </c>
      <c r="B186" s="2" t="s">
        <v>35</v>
      </c>
      <c r="C186" s="2" t="s">
        <v>35</v>
      </c>
      <c r="D186" s="2">
        <v>0.05</v>
      </c>
      <c r="E186" s="2">
        <v>0.03</v>
      </c>
      <c r="F186" s="2">
        <v>0</v>
      </c>
      <c r="G186" s="2">
        <v>0</v>
      </c>
      <c r="H186" s="2">
        <v>0.76</v>
      </c>
      <c r="I186" s="2">
        <v>0.02</v>
      </c>
      <c r="J186" s="2">
        <v>0.01</v>
      </c>
      <c r="K186" s="2">
        <v>0</v>
      </c>
      <c r="L186" s="2">
        <v>0</v>
      </c>
      <c r="M186" s="2">
        <v>0.13</v>
      </c>
      <c r="N186" s="2">
        <v>0</v>
      </c>
    </row>
    <row r="187" spans="1:14">
      <c r="A187" s="2">
        <v>186</v>
      </c>
      <c r="B187" s="2" t="s">
        <v>20</v>
      </c>
      <c r="C187" s="2" t="s">
        <v>20</v>
      </c>
      <c r="D187" s="2">
        <v>0</v>
      </c>
      <c r="E187" s="2">
        <v>1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</row>
    <row r="188" spans="1:14">
      <c r="A188" s="2">
        <v>187</v>
      </c>
      <c r="B188" s="2" t="s">
        <v>20</v>
      </c>
      <c r="C188" s="2" t="s">
        <v>20</v>
      </c>
      <c r="D188" s="2">
        <v>0</v>
      </c>
      <c r="E188" s="2">
        <v>1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</row>
    <row r="189" spans="1:14">
      <c r="A189" s="2">
        <v>188</v>
      </c>
      <c r="B189" s="2" t="s">
        <v>35</v>
      </c>
      <c r="C189" s="2" t="s">
        <v>35</v>
      </c>
      <c r="D189" s="2">
        <v>0</v>
      </c>
      <c r="E189" s="2">
        <v>0</v>
      </c>
      <c r="F189" s="2">
        <v>0</v>
      </c>
      <c r="G189" s="2">
        <v>0.01</v>
      </c>
      <c r="H189" s="2">
        <v>0.88</v>
      </c>
      <c r="I189" s="2">
        <v>0.01</v>
      </c>
      <c r="J189" s="2">
        <v>0.01</v>
      </c>
      <c r="K189" s="2">
        <v>0.09</v>
      </c>
      <c r="L189" s="2">
        <v>0</v>
      </c>
      <c r="M189" s="2">
        <v>0</v>
      </c>
      <c r="N189" s="2">
        <v>0</v>
      </c>
    </row>
    <row r="190" spans="1:14">
      <c r="A190" s="2">
        <v>189</v>
      </c>
      <c r="B190" s="2" t="s">
        <v>20</v>
      </c>
      <c r="C190" s="2" t="s">
        <v>20</v>
      </c>
      <c r="D190" s="2">
        <v>0</v>
      </c>
      <c r="E190" s="2">
        <v>1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</row>
    <row r="191" spans="1:14">
      <c r="A191" s="2">
        <v>190</v>
      </c>
      <c r="B191" s="2" t="s">
        <v>20</v>
      </c>
      <c r="C191" s="2" t="s">
        <v>20</v>
      </c>
      <c r="D191" s="2">
        <v>0</v>
      </c>
      <c r="E191" s="2">
        <v>1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</row>
    <row r="192" spans="1:14">
      <c r="A192" s="2">
        <v>191</v>
      </c>
      <c r="B192" s="2" t="s">
        <v>35</v>
      </c>
      <c r="C192" s="2" t="s">
        <v>35</v>
      </c>
      <c r="D192" s="2">
        <v>0.05</v>
      </c>
      <c r="E192" s="2">
        <v>0</v>
      </c>
      <c r="F192" s="2">
        <v>0</v>
      </c>
      <c r="G192" s="2">
        <v>0</v>
      </c>
      <c r="H192" s="2">
        <v>0.77</v>
      </c>
      <c r="I192" s="2">
        <v>0</v>
      </c>
      <c r="J192" s="2">
        <v>7.0000000000000007E-2</v>
      </c>
      <c r="K192" s="2">
        <v>0</v>
      </c>
      <c r="L192" s="2">
        <v>0</v>
      </c>
      <c r="M192" s="2">
        <v>0.11</v>
      </c>
      <c r="N192" s="2">
        <v>0</v>
      </c>
    </row>
    <row r="193" spans="1:14">
      <c r="A193" s="2">
        <v>192</v>
      </c>
      <c r="B193" s="2" t="s">
        <v>49</v>
      </c>
      <c r="C193" s="2" t="s">
        <v>49</v>
      </c>
      <c r="D193" s="2">
        <v>0</v>
      </c>
      <c r="E193" s="2">
        <v>0.02</v>
      </c>
      <c r="F193" s="2">
        <v>0</v>
      </c>
      <c r="G193" s="2">
        <v>0</v>
      </c>
      <c r="H193" s="2">
        <v>0.17</v>
      </c>
      <c r="I193" s="2">
        <v>0</v>
      </c>
      <c r="J193" s="2">
        <v>0.75</v>
      </c>
      <c r="K193" s="2">
        <v>0</v>
      </c>
      <c r="L193" s="2">
        <v>0</v>
      </c>
      <c r="M193" s="2">
        <v>0.04</v>
      </c>
      <c r="N193" s="2">
        <v>0.02</v>
      </c>
    </row>
    <row r="194" spans="1:14">
      <c r="A194" s="2">
        <v>193</v>
      </c>
      <c r="B194" s="2" t="s">
        <v>20</v>
      </c>
      <c r="C194" s="2" t="s">
        <v>20</v>
      </c>
      <c r="D194" s="2">
        <v>0</v>
      </c>
      <c r="E194" s="2">
        <v>1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</row>
    <row r="195" spans="1:14">
      <c r="A195" s="2">
        <v>194</v>
      </c>
      <c r="B195" s="2" t="s">
        <v>87</v>
      </c>
      <c r="C195" s="2" t="s">
        <v>87</v>
      </c>
      <c r="D195" s="2">
        <v>7.0000000000000007E-2</v>
      </c>
      <c r="E195" s="2">
        <v>0.02</v>
      </c>
      <c r="F195" s="2">
        <v>0.64</v>
      </c>
      <c r="G195" s="2">
        <v>0.01</v>
      </c>
      <c r="H195" s="2">
        <v>0.16</v>
      </c>
      <c r="I195" s="2">
        <v>0</v>
      </c>
      <c r="J195" s="2">
        <v>0.09</v>
      </c>
      <c r="K195" s="2">
        <v>0</v>
      </c>
      <c r="L195" s="2">
        <v>0</v>
      </c>
      <c r="M195" s="2">
        <v>0.01</v>
      </c>
      <c r="N195" s="2">
        <v>0</v>
      </c>
    </row>
    <row r="196" spans="1:14">
      <c r="A196" s="2">
        <v>195</v>
      </c>
      <c r="B196" s="2" t="s">
        <v>49</v>
      </c>
      <c r="C196" s="2" t="s">
        <v>49</v>
      </c>
      <c r="D196" s="2">
        <v>0</v>
      </c>
      <c r="E196" s="2">
        <v>0</v>
      </c>
      <c r="F196" s="2">
        <v>0</v>
      </c>
      <c r="G196" s="2">
        <v>0</v>
      </c>
      <c r="H196" s="2">
        <v>0.01</v>
      </c>
      <c r="I196" s="2">
        <v>0</v>
      </c>
      <c r="J196" s="2">
        <v>0.97</v>
      </c>
      <c r="K196" s="2">
        <v>0</v>
      </c>
      <c r="L196" s="2">
        <v>0</v>
      </c>
      <c r="M196" s="2">
        <v>0.02</v>
      </c>
      <c r="N196" s="2">
        <v>0</v>
      </c>
    </row>
    <row r="197" spans="1:14">
      <c r="A197" s="2">
        <v>196</v>
      </c>
      <c r="B197" s="2" t="s">
        <v>58</v>
      </c>
      <c r="C197" s="2" t="s">
        <v>58</v>
      </c>
      <c r="D197" s="2">
        <v>0</v>
      </c>
      <c r="E197" s="2">
        <v>0</v>
      </c>
      <c r="F197" s="2">
        <v>0</v>
      </c>
      <c r="G197" s="2">
        <v>1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</row>
    <row r="198" spans="1:14">
      <c r="A198" s="2">
        <v>197</v>
      </c>
      <c r="B198" s="2" t="s">
        <v>35</v>
      </c>
      <c r="C198" s="2" t="s">
        <v>35</v>
      </c>
      <c r="D198" s="2">
        <v>0</v>
      </c>
      <c r="E198" s="2">
        <v>0</v>
      </c>
      <c r="F198" s="2">
        <v>0</v>
      </c>
      <c r="G198" s="2">
        <v>0</v>
      </c>
      <c r="H198" s="2">
        <v>0.95</v>
      </c>
      <c r="I198" s="2">
        <v>0.05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</row>
    <row r="199" spans="1:14">
      <c r="A199" s="2">
        <v>198</v>
      </c>
      <c r="B199" s="2" t="s">
        <v>35</v>
      </c>
      <c r="C199" s="2" t="s">
        <v>35</v>
      </c>
      <c r="D199" s="2">
        <v>0.02</v>
      </c>
      <c r="E199" s="2">
        <v>0.16</v>
      </c>
      <c r="F199" s="2">
        <v>0</v>
      </c>
      <c r="G199" s="2">
        <v>0</v>
      </c>
      <c r="H199" s="2">
        <v>0.75</v>
      </c>
      <c r="I199" s="2">
        <v>0</v>
      </c>
      <c r="J199" s="2">
        <v>0</v>
      </c>
      <c r="K199" s="2">
        <v>0</v>
      </c>
      <c r="L199" s="2">
        <v>0</v>
      </c>
      <c r="M199" s="2">
        <v>7.0000000000000007E-2</v>
      </c>
      <c r="N199" s="2">
        <v>0</v>
      </c>
    </row>
    <row r="200" spans="1:14">
      <c r="A200" s="2">
        <v>199</v>
      </c>
      <c r="B200" s="2" t="s">
        <v>35</v>
      </c>
      <c r="C200" s="2" t="s">
        <v>35</v>
      </c>
      <c r="D200" s="2">
        <v>0.01</v>
      </c>
      <c r="E200" s="2">
        <v>0.1</v>
      </c>
      <c r="F200" s="2">
        <v>0</v>
      </c>
      <c r="G200" s="2">
        <v>0.03</v>
      </c>
      <c r="H200" s="2">
        <v>0.73</v>
      </c>
      <c r="I200" s="2">
        <v>0</v>
      </c>
      <c r="J200" s="2">
        <v>0.13</v>
      </c>
      <c r="K200" s="2">
        <v>0</v>
      </c>
      <c r="L200" s="2">
        <v>0</v>
      </c>
      <c r="M200" s="2">
        <v>0</v>
      </c>
      <c r="N200" s="2">
        <v>0</v>
      </c>
    </row>
    <row r="201" spans="1:14">
      <c r="A201" s="2">
        <v>200</v>
      </c>
      <c r="B201" s="2" t="s">
        <v>20</v>
      </c>
      <c r="C201" s="2" t="s">
        <v>20</v>
      </c>
      <c r="D201" s="2">
        <v>0.02</v>
      </c>
      <c r="E201" s="2">
        <v>0.98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</row>
    <row r="202" spans="1:14">
      <c r="A202" s="2">
        <v>201</v>
      </c>
      <c r="B202" s="2" t="s">
        <v>35</v>
      </c>
      <c r="C202" s="2" t="s">
        <v>35</v>
      </c>
      <c r="D202" s="2">
        <v>0.06</v>
      </c>
      <c r="E202" s="2">
        <v>0</v>
      </c>
      <c r="F202" s="2">
        <v>0</v>
      </c>
      <c r="G202" s="2">
        <v>0</v>
      </c>
      <c r="H202" s="2">
        <v>0.93</v>
      </c>
      <c r="I202" s="2">
        <v>0</v>
      </c>
      <c r="J202" s="2">
        <v>0</v>
      </c>
      <c r="K202" s="2">
        <v>0</v>
      </c>
      <c r="L202" s="2">
        <v>0</v>
      </c>
      <c r="M202" s="2">
        <v>0.01</v>
      </c>
      <c r="N202" s="2">
        <v>0</v>
      </c>
    </row>
    <row r="203" spans="1:14">
      <c r="A203" s="2">
        <v>202</v>
      </c>
      <c r="B203" s="2" t="s">
        <v>20</v>
      </c>
      <c r="C203" s="2" t="s">
        <v>20</v>
      </c>
      <c r="D203" s="2">
        <v>0</v>
      </c>
      <c r="E203" s="2">
        <v>0.9</v>
      </c>
      <c r="F203" s="2">
        <v>0</v>
      </c>
      <c r="G203" s="2">
        <v>0</v>
      </c>
      <c r="H203" s="2">
        <v>0.06</v>
      </c>
      <c r="I203" s="2">
        <v>0</v>
      </c>
      <c r="J203" s="2">
        <v>0</v>
      </c>
      <c r="K203" s="2">
        <v>0.04</v>
      </c>
      <c r="L203" s="2">
        <v>0</v>
      </c>
      <c r="M203" s="2">
        <v>0</v>
      </c>
      <c r="N203" s="2">
        <v>0</v>
      </c>
    </row>
    <row r="204" spans="1:14">
      <c r="A204" s="2">
        <v>203</v>
      </c>
      <c r="B204" s="2" t="s">
        <v>49</v>
      </c>
      <c r="C204" s="2" t="s">
        <v>49</v>
      </c>
      <c r="D204" s="2">
        <v>0.02</v>
      </c>
      <c r="E204" s="2">
        <v>0</v>
      </c>
      <c r="F204" s="2">
        <v>0</v>
      </c>
      <c r="G204" s="2">
        <v>0</v>
      </c>
      <c r="H204" s="2">
        <v>0.01</v>
      </c>
      <c r="I204" s="2">
        <v>0</v>
      </c>
      <c r="J204" s="2">
        <v>0.97</v>
      </c>
      <c r="K204" s="2">
        <v>0</v>
      </c>
      <c r="L204" s="2">
        <v>0</v>
      </c>
      <c r="M204" s="2">
        <v>0</v>
      </c>
      <c r="N204" s="2">
        <v>0</v>
      </c>
    </row>
    <row r="205" spans="1:14">
      <c r="A205" s="2">
        <v>204</v>
      </c>
      <c r="B205" s="2" t="s">
        <v>20</v>
      </c>
      <c r="C205" s="2" t="s">
        <v>20</v>
      </c>
      <c r="D205" s="2">
        <v>0</v>
      </c>
      <c r="E205" s="2">
        <v>1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</row>
    <row r="206" spans="1:14">
      <c r="A206" s="2">
        <v>205</v>
      </c>
      <c r="B206" s="2" t="s">
        <v>35</v>
      </c>
      <c r="C206" s="2" t="s">
        <v>35</v>
      </c>
      <c r="D206" s="2">
        <v>0.22</v>
      </c>
      <c r="E206" s="2">
        <v>0.02</v>
      </c>
      <c r="F206" s="2">
        <v>0.01</v>
      </c>
      <c r="G206" s="2">
        <v>0</v>
      </c>
      <c r="H206" s="2">
        <v>0.67</v>
      </c>
      <c r="I206" s="2">
        <v>0</v>
      </c>
      <c r="J206" s="2">
        <v>0</v>
      </c>
      <c r="K206" s="2">
        <v>0</v>
      </c>
      <c r="L206" s="2">
        <v>0</v>
      </c>
      <c r="M206" s="2">
        <v>0.02</v>
      </c>
      <c r="N206" s="2">
        <v>0.06</v>
      </c>
    </row>
    <row r="207" spans="1:14">
      <c r="A207" s="2">
        <v>206</v>
      </c>
      <c r="B207" s="2" t="s">
        <v>49</v>
      </c>
      <c r="C207" s="2" t="s">
        <v>49</v>
      </c>
      <c r="D207" s="2">
        <v>0</v>
      </c>
      <c r="E207" s="2">
        <v>0</v>
      </c>
      <c r="F207" s="2">
        <v>0</v>
      </c>
      <c r="G207" s="2">
        <v>0</v>
      </c>
      <c r="H207" s="2">
        <v>0.01</v>
      </c>
      <c r="I207" s="2">
        <v>0.03</v>
      </c>
      <c r="J207" s="2">
        <v>0.96</v>
      </c>
      <c r="K207" s="2">
        <v>0</v>
      </c>
      <c r="L207" s="2">
        <v>0</v>
      </c>
      <c r="M207" s="2">
        <v>0</v>
      </c>
      <c r="N207" s="2">
        <v>0</v>
      </c>
    </row>
    <row r="208" spans="1:14">
      <c r="A208" s="2">
        <v>207</v>
      </c>
      <c r="B208" s="2" t="s">
        <v>43</v>
      </c>
      <c r="C208" s="2" t="s">
        <v>43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0.28000000000000003</v>
      </c>
      <c r="K208" s="2">
        <v>0</v>
      </c>
      <c r="L208" s="2">
        <v>0</v>
      </c>
      <c r="M208" s="2">
        <v>0.72</v>
      </c>
      <c r="N208" s="2">
        <v>0</v>
      </c>
    </row>
    <row r="209" spans="1:14">
      <c r="A209" s="2">
        <v>208</v>
      </c>
      <c r="B209" s="2" t="s">
        <v>35</v>
      </c>
      <c r="C209" s="2" t="s">
        <v>35</v>
      </c>
      <c r="D209" s="2">
        <v>0</v>
      </c>
      <c r="E209" s="2">
        <v>0.05</v>
      </c>
      <c r="F209" s="2">
        <v>0</v>
      </c>
      <c r="G209" s="2">
        <v>0</v>
      </c>
      <c r="H209" s="2">
        <v>0.94</v>
      </c>
      <c r="I209" s="2">
        <v>0.01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</row>
    <row r="210" spans="1:14">
      <c r="A210" s="2">
        <v>209</v>
      </c>
      <c r="B210" s="2" t="s">
        <v>25</v>
      </c>
      <c r="C210" s="2" t="s">
        <v>25</v>
      </c>
      <c r="D210" s="2">
        <v>0.72</v>
      </c>
      <c r="E210" s="2">
        <v>0.04</v>
      </c>
      <c r="F210" s="2">
        <v>0</v>
      </c>
      <c r="G210" s="2">
        <v>0</v>
      </c>
      <c r="H210" s="2">
        <v>0.06</v>
      </c>
      <c r="I210" s="2">
        <v>0</v>
      </c>
      <c r="J210" s="2">
        <v>0.08</v>
      </c>
      <c r="K210" s="2">
        <v>0</v>
      </c>
      <c r="L210" s="2">
        <v>0</v>
      </c>
      <c r="M210" s="2">
        <v>0.08</v>
      </c>
      <c r="N210" s="2">
        <v>0.02</v>
      </c>
    </row>
    <row r="211" spans="1:14">
      <c r="A211" s="2">
        <v>210</v>
      </c>
      <c r="B211" s="2" t="s">
        <v>25</v>
      </c>
      <c r="C211" s="2" t="s">
        <v>25</v>
      </c>
      <c r="D211" s="2">
        <v>0.66</v>
      </c>
      <c r="E211" s="2">
        <v>0</v>
      </c>
      <c r="F211" s="2">
        <v>0</v>
      </c>
      <c r="G211" s="2">
        <v>0</v>
      </c>
      <c r="H211" s="2">
        <v>0.23</v>
      </c>
      <c r="I211" s="2">
        <v>0.04</v>
      </c>
      <c r="J211" s="2">
        <v>0.04</v>
      </c>
      <c r="K211" s="2">
        <v>0</v>
      </c>
      <c r="L211" s="2">
        <v>0</v>
      </c>
      <c r="M211" s="2">
        <v>0.03</v>
      </c>
      <c r="N211" s="2">
        <v>0</v>
      </c>
    </row>
    <row r="212" spans="1:14">
      <c r="A212" s="2">
        <v>211</v>
      </c>
      <c r="B212" s="2" t="s">
        <v>87</v>
      </c>
      <c r="C212" s="2" t="s">
        <v>87</v>
      </c>
      <c r="D212" s="2">
        <v>0</v>
      </c>
      <c r="E212" s="2">
        <v>0</v>
      </c>
      <c r="F212" s="2">
        <v>1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</row>
    <row r="213" spans="1:14">
      <c r="A213" s="2">
        <v>212</v>
      </c>
      <c r="B213" s="2" t="s">
        <v>20</v>
      </c>
      <c r="C213" s="2" t="s">
        <v>20</v>
      </c>
      <c r="D213" s="2">
        <v>0.09</v>
      </c>
      <c r="E213" s="2">
        <v>0.84</v>
      </c>
      <c r="F213" s="2">
        <v>0</v>
      </c>
      <c r="G213" s="2">
        <v>0</v>
      </c>
      <c r="H213" s="2">
        <v>0.02</v>
      </c>
      <c r="I213" s="2">
        <v>0</v>
      </c>
      <c r="J213" s="2">
        <v>0</v>
      </c>
      <c r="K213" s="2">
        <v>0</v>
      </c>
      <c r="L213" s="2">
        <v>0</v>
      </c>
      <c r="M213" s="2">
        <v>0.05</v>
      </c>
      <c r="N213" s="2">
        <v>0</v>
      </c>
    </row>
    <row r="214" spans="1:14">
      <c r="A214" s="2">
        <v>213</v>
      </c>
      <c r="B214" s="2" t="s">
        <v>20</v>
      </c>
      <c r="C214" s="2" t="s">
        <v>20</v>
      </c>
      <c r="D214" s="2">
        <v>0</v>
      </c>
      <c r="E214" s="2">
        <v>1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</row>
    <row r="215" spans="1:14">
      <c r="A215" s="2">
        <v>214</v>
      </c>
      <c r="B215" s="2" t="s">
        <v>35</v>
      </c>
      <c r="C215" s="2" t="s">
        <v>35</v>
      </c>
      <c r="D215" s="2">
        <v>0</v>
      </c>
      <c r="E215" s="2">
        <v>0</v>
      </c>
      <c r="F215" s="2">
        <v>0</v>
      </c>
      <c r="G215" s="2">
        <v>0</v>
      </c>
      <c r="H215" s="2">
        <v>0.91</v>
      </c>
      <c r="I215" s="2">
        <v>0</v>
      </c>
      <c r="J215" s="2">
        <v>0.02</v>
      </c>
      <c r="K215" s="2">
        <v>0</v>
      </c>
      <c r="L215" s="2">
        <v>0</v>
      </c>
      <c r="M215" s="2">
        <v>7.0000000000000007E-2</v>
      </c>
      <c r="N215" s="2">
        <v>0</v>
      </c>
    </row>
    <row r="216" spans="1:14">
      <c r="A216" s="2">
        <v>215</v>
      </c>
      <c r="B216" s="2" t="s">
        <v>35</v>
      </c>
      <c r="C216" s="2" t="s">
        <v>35</v>
      </c>
      <c r="D216" s="2">
        <v>0.1</v>
      </c>
      <c r="E216" s="2">
        <v>0.1</v>
      </c>
      <c r="F216" s="2">
        <v>0.01</v>
      </c>
      <c r="G216" s="2">
        <v>0</v>
      </c>
      <c r="H216" s="2">
        <v>0.69</v>
      </c>
      <c r="I216" s="2">
        <v>0</v>
      </c>
      <c r="J216" s="2">
        <v>0.01</v>
      </c>
      <c r="K216" s="2">
        <v>0.04</v>
      </c>
      <c r="L216" s="2">
        <v>0</v>
      </c>
      <c r="M216" s="2">
        <v>0.03</v>
      </c>
      <c r="N216" s="2">
        <v>0.02</v>
      </c>
    </row>
    <row r="217" spans="1:14">
      <c r="A217" s="2">
        <v>216</v>
      </c>
      <c r="B217" s="2" t="s">
        <v>62</v>
      </c>
      <c r="C217" s="2" t="s">
        <v>62</v>
      </c>
      <c r="D217" s="2">
        <v>0</v>
      </c>
      <c r="E217" s="2">
        <v>0.01</v>
      </c>
      <c r="F217" s="2">
        <v>0.01</v>
      </c>
      <c r="G217" s="2">
        <v>0</v>
      </c>
      <c r="H217" s="2">
        <v>0.05</v>
      </c>
      <c r="I217" s="2">
        <v>0</v>
      </c>
      <c r="J217" s="2">
        <v>0</v>
      </c>
      <c r="K217" s="2">
        <v>0</v>
      </c>
      <c r="L217" s="2">
        <v>0.93</v>
      </c>
      <c r="M217" s="2">
        <v>0</v>
      </c>
      <c r="N217" s="2">
        <v>0</v>
      </c>
    </row>
    <row r="218" spans="1:14">
      <c r="A218" s="2">
        <v>217</v>
      </c>
      <c r="B218" s="2" t="s">
        <v>87</v>
      </c>
      <c r="C218" s="2" t="s">
        <v>87</v>
      </c>
      <c r="D218" s="2">
        <v>0</v>
      </c>
      <c r="E218" s="2">
        <v>0</v>
      </c>
      <c r="F218" s="2">
        <v>0.99</v>
      </c>
      <c r="G218" s="2">
        <v>0</v>
      </c>
      <c r="H218" s="2">
        <v>0</v>
      </c>
      <c r="I218" s="2">
        <v>0</v>
      </c>
      <c r="J218" s="2">
        <v>0.01</v>
      </c>
      <c r="K218" s="2">
        <v>0</v>
      </c>
      <c r="L218" s="2">
        <v>0</v>
      </c>
      <c r="M218" s="2">
        <v>0</v>
      </c>
      <c r="N218" s="2">
        <v>0</v>
      </c>
    </row>
    <row r="219" spans="1:14">
      <c r="A219" s="2">
        <v>218</v>
      </c>
      <c r="B219" s="2" t="s">
        <v>20</v>
      </c>
      <c r="C219" s="2" t="s">
        <v>20</v>
      </c>
      <c r="D219" s="2">
        <v>0</v>
      </c>
      <c r="E219" s="2">
        <v>0.97</v>
      </c>
      <c r="F219" s="2">
        <v>0</v>
      </c>
      <c r="G219" s="2">
        <v>0</v>
      </c>
      <c r="H219" s="2">
        <v>0.03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</row>
    <row r="220" spans="1:14">
      <c r="A220" s="2">
        <v>219</v>
      </c>
      <c r="B220" s="2" t="s">
        <v>35</v>
      </c>
      <c r="C220" s="2" t="s">
        <v>35</v>
      </c>
      <c r="D220" s="2">
        <v>0.02</v>
      </c>
      <c r="E220" s="2">
        <v>7.0000000000000007E-2</v>
      </c>
      <c r="F220" s="2">
        <v>0</v>
      </c>
      <c r="G220" s="2">
        <v>0</v>
      </c>
      <c r="H220" s="2">
        <v>0.78</v>
      </c>
      <c r="I220" s="2">
        <v>0</v>
      </c>
      <c r="J220" s="2">
        <v>0.04</v>
      </c>
      <c r="K220" s="2">
        <v>0</v>
      </c>
      <c r="L220" s="2">
        <v>0</v>
      </c>
      <c r="M220" s="2">
        <v>7.0000000000000007E-2</v>
      </c>
      <c r="N220" s="2">
        <v>0.02</v>
      </c>
    </row>
    <row r="221" spans="1:14">
      <c r="A221" s="2">
        <v>220</v>
      </c>
      <c r="B221" s="2" t="s">
        <v>35</v>
      </c>
      <c r="C221" s="2" t="s">
        <v>35</v>
      </c>
      <c r="D221" s="2">
        <v>0</v>
      </c>
      <c r="E221" s="2">
        <v>0</v>
      </c>
      <c r="F221" s="2">
        <v>0</v>
      </c>
      <c r="G221" s="2">
        <v>0</v>
      </c>
      <c r="H221" s="2">
        <v>0.98</v>
      </c>
      <c r="I221" s="2">
        <v>0</v>
      </c>
      <c r="J221" s="2">
        <v>0</v>
      </c>
      <c r="K221" s="2">
        <v>0</v>
      </c>
      <c r="L221" s="2">
        <v>0</v>
      </c>
      <c r="M221" s="2">
        <v>0.02</v>
      </c>
      <c r="N221" s="2">
        <v>0</v>
      </c>
    </row>
    <row r="222" spans="1:14">
      <c r="A222" s="2">
        <v>221</v>
      </c>
      <c r="B222" s="2" t="s">
        <v>20</v>
      </c>
      <c r="C222" s="2" t="s">
        <v>20</v>
      </c>
      <c r="D222" s="2">
        <v>0</v>
      </c>
      <c r="E222" s="2">
        <v>0.97</v>
      </c>
      <c r="F222" s="2">
        <v>0</v>
      </c>
      <c r="G222" s="2">
        <v>0</v>
      </c>
      <c r="H222" s="2">
        <v>0.03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</row>
    <row r="223" spans="1:14">
      <c r="A223" s="2">
        <v>222</v>
      </c>
      <c r="B223" s="2" t="s">
        <v>35</v>
      </c>
      <c r="C223" s="2" t="s">
        <v>35</v>
      </c>
      <c r="D223" s="2">
        <v>0.02</v>
      </c>
      <c r="E223" s="2">
        <v>0</v>
      </c>
      <c r="F223" s="2">
        <v>0</v>
      </c>
      <c r="G223" s="2">
        <v>0</v>
      </c>
      <c r="H223" s="2">
        <v>0.92</v>
      </c>
      <c r="I223" s="2">
        <v>0</v>
      </c>
      <c r="J223" s="2">
        <v>0.01</v>
      </c>
      <c r="K223" s="2">
        <v>0</v>
      </c>
      <c r="L223" s="2">
        <v>0</v>
      </c>
      <c r="M223" s="2">
        <v>0.05</v>
      </c>
      <c r="N223" s="2">
        <v>0</v>
      </c>
    </row>
    <row r="224" spans="1:14">
      <c r="A224" s="2">
        <v>223</v>
      </c>
      <c r="B224" s="2" t="s">
        <v>58</v>
      </c>
      <c r="C224" s="2" t="s">
        <v>58</v>
      </c>
      <c r="D224" s="2">
        <v>0</v>
      </c>
      <c r="E224" s="2">
        <v>0</v>
      </c>
      <c r="F224" s="2">
        <v>0</v>
      </c>
      <c r="G224" s="2">
        <v>0.99</v>
      </c>
      <c r="H224" s="2">
        <v>0.01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</row>
    <row r="225" spans="1:14">
      <c r="A225" s="2">
        <v>224</v>
      </c>
      <c r="B225" s="2" t="s">
        <v>20</v>
      </c>
      <c r="C225" s="2" t="s">
        <v>20</v>
      </c>
      <c r="D225" s="2">
        <v>0</v>
      </c>
      <c r="E225" s="2">
        <v>0.91</v>
      </c>
      <c r="F225" s="2">
        <v>0</v>
      </c>
      <c r="G225" s="2">
        <v>0.04</v>
      </c>
      <c r="H225" s="2">
        <v>0.05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</row>
    <row r="226" spans="1:14">
      <c r="A226" s="2">
        <v>225</v>
      </c>
      <c r="B226" s="2" t="s">
        <v>49</v>
      </c>
      <c r="C226" s="2" t="s">
        <v>49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1</v>
      </c>
      <c r="K226" s="2">
        <v>0</v>
      </c>
      <c r="L226" s="2">
        <v>0</v>
      </c>
      <c r="M226" s="2">
        <v>0</v>
      </c>
      <c r="N226" s="2">
        <v>0</v>
      </c>
    </row>
    <row r="227" spans="1:14">
      <c r="A227" s="2">
        <v>226</v>
      </c>
      <c r="B227" s="2" t="s">
        <v>58</v>
      </c>
      <c r="C227" s="2" t="s">
        <v>58</v>
      </c>
      <c r="D227" s="2">
        <v>0</v>
      </c>
      <c r="E227" s="2">
        <v>0</v>
      </c>
      <c r="F227" s="2">
        <v>0</v>
      </c>
      <c r="G227" s="2">
        <v>1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</row>
    <row r="228" spans="1:14">
      <c r="A228" s="2">
        <v>227</v>
      </c>
      <c r="B228" s="2" t="s">
        <v>35</v>
      </c>
      <c r="C228" s="2" t="s">
        <v>35</v>
      </c>
      <c r="D228" s="2">
        <v>0.01</v>
      </c>
      <c r="E228" s="2">
        <v>0.03</v>
      </c>
      <c r="F228" s="2">
        <v>0</v>
      </c>
      <c r="G228" s="2">
        <v>0.01</v>
      </c>
      <c r="H228" s="2">
        <v>0.82</v>
      </c>
      <c r="I228" s="2">
        <v>0</v>
      </c>
      <c r="J228" s="2">
        <v>0.06</v>
      </c>
      <c r="K228" s="2">
        <v>7.0000000000000007E-2</v>
      </c>
      <c r="L228" s="2">
        <v>0</v>
      </c>
      <c r="M228" s="2">
        <v>0</v>
      </c>
      <c r="N228" s="2">
        <v>0</v>
      </c>
    </row>
    <row r="229" spans="1:14">
      <c r="A229" s="2">
        <v>228</v>
      </c>
      <c r="B229" s="2" t="s">
        <v>49</v>
      </c>
      <c r="C229" s="2" t="s">
        <v>49</v>
      </c>
      <c r="D229" s="2">
        <v>0.01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0.99</v>
      </c>
      <c r="K229" s="2">
        <v>0</v>
      </c>
      <c r="L229" s="2">
        <v>0</v>
      </c>
      <c r="M229" s="2">
        <v>0</v>
      </c>
      <c r="N229" s="2">
        <v>0</v>
      </c>
    </row>
    <row r="230" spans="1:14">
      <c r="A230" s="2">
        <v>229</v>
      </c>
      <c r="B230" s="2" t="s">
        <v>35</v>
      </c>
      <c r="C230" s="2" t="s">
        <v>35</v>
      </c>
      <c r="D230" s="2">
        <v>0</v>
      </c>
      <c r="E230" s="2">
        <v>0</v>
      </c>
      <c r="F230" s="2">
        <v>0</v>
      </c>
      <c r="G230" s="2">
        <v>0</v>
      </c>
      <c r="H230" s="2">
        <v>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</row>
    <row r="231" spans="1:14">
      <c r="A231" s="2">
        <v>230</v>
      </c>
      <c r="B231" s="2" t="s">
        <v>49</v>
      </c>
      <c r="C231" s="2" t="s">
        <v>49</v>
      </c>
      <c r="D231" s="2">
        <v>0.03</v>
      </c>
      <c r="E231" s="2">
        <v>0</v>
      </c>
      <c r="F231" s="2">
        <v>0</v>
      </c>
      <c r="G231" s="2">
        <v>0</v>
      </c>
      <c r="H231" s="2">
        <v>0.14000000000000001</v>
      </c>
      <c r="I231" s="2">
        <v>0</v>
      </c>
      <c r="J231" s="2">
        <v>0.74</v>
      </c>
      <c r="K231" s="2">
        <v>0</v>
      </c>
      <c r="L231" s="2">
        <v>0</v>
      </c>
      <c r="M231" s="2">
        <v>0.09</v>
      </c>
      <c r="N231" s="2">
        <v>0</v>
      </c>
    </row>
    <row r="232" spans="1:14">
      <c r="A232" s="2">
        <v>231</v>
      </c>
      <c r="B232" s="2" t="s">
        <v>20</v>
      </c>
      <c r="C232" s="2" t="s">
        <v>20</v>
      </c>
      <c r="D232" s="2">
        <v>0</v>
      </c>
      <c r="E232" s="2">
        <v>1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</row>
    <row r="233" spans="1:14">
      <c r="A233" s="2">
        <v>232</v>
      </c>
      <c r="B233" s="2" t="s">
        <v>35</v>
      </c>
      <c r="C233" s="2" t="s">
        <v>35</v>
      </c>
      <c r="D233" s="2">
        <v>0</v>
      </c>
      <c r="E233" s="2">
        <v>0.01</v>
      </c>
      <c r="F233" s="2">
        <v>0</v>
      </c>
      <c r="G233" s="2">
        <v>0</v>
      </c>
      <c r="H233" s="2">
        <v>0.99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</row>
    <row r="234" spans="1:14">
      <c r="A234" s="2">
        <v>233</v>
      </c>
      <c r="B234" s="2" t="s">
        <v>20</v>
      </c>
      <c r="C234" s="2" t="s">
        <v>20</v>
      </c>
      <c r="D234" s="2">
        <v>0.01</v>
      </c>
      <c r="E234" s="2">
        <v>0.99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</row>
    <row r="235" spans="1:14">
      <c r="A235" s="2">
        <v>234</v>
      </c>
      <c r="B235" s="2" t="s">
        <v>35</v>
      </c>
      <c r="C235" s="2" t="s">
        <v>35</v>
      </c>
      <c r="D235" s="2">
        <v>7.0000000000000007E-2</v>
      </c>
      <c r="E235" s="2">
        <v>0.25</v>
      </c>
      <c r="F235" s="2">
        <v>0</v>
      </c>
      <c r="G235" s="2">
        <v>0</v>
      </c>
      <c r="H235" s="2">
        <v>0.63</v>
      </c>
      <c r="I235" s="2">
        <v>0</v>
      </c>
      <c r="J235" s="2">
        <v>0</v>
      </c>
      <c r="K235" s="2">
        <v>0</v>
      </c>
      <c r="L235" s="2">
        <v>0</v>
      </c>
      <c r="M235" s="2">
        <v>0.05</v>
      </c>
      <c r="N235" s="2">
        <v>0</v>
      </c>
    </row>
    <row r="236" spans="1:14">
      <c r="A236" s="2">
        <v>235</v>
      </c>
      <c r="B236" s="2" t="s">
        <v>87</v>
      </c>
      <c r="C236" s="2" t="s">
        <v>87</v>
      </c>
      <c r="D236" s="2">
        <v>0</v>
      </c>
      <c r="E236" s="2">
        <v>0</v>
      </c>
      <c r="F236" s="2">
        <v>0.92</v>
      </c>
      <c r="G236" s="2">
        <v>0</v>
      </c>
      <c r="H236" s="2">
        <v>0.01</v>
      </c>
      <c r="I236" s="2">
        <v>0</v>
      </c>
      <c r="J236" s="2">
        <v>0</v>
      </c>
      <c r="K236" s="2">
        <v>0</v>
      </c>
      <c r="L236" s="2">
        <v>7.0000000000000007E-2</v>
      </c>
      <c r="M236" s="2">
        <v>0</v>
      </c>
      <c r="N236" s="2">
        <v>0</v>
      </c>
    </row>
    <row r="237" spans="1:14">
      <c r="A237" s="2">
        <v>236</v>
      </c>
      <c r="B237" s="2" t="s">
        <v>62</v>
      </c>
      <c r="C237" s="2" t="s">
        <v>62</v>
      </c>
      <c r="D237" s="2">
        <v>0</v>
      </c>
      <c r="E237" s="2">
        <v>0</v>
      </c>
      <c r="F237" s="2">
        <v>0</v>
      </c>
      <c r="G237" s="2">
        <v>0</v>
      </c>
      <c r="H237" s="2">
        <v>0.01</v>
      </c>
      <c r="I237" s="2">
        <v>0</v>
      </c>
      <c r="J237" s="2">
        <v>0</v>
      </c>
      <c r="K237" s="2">
        <v>0</v>
      </c>
      <c r="L237" s="2">
        <v>0.99</v>
      </c>
      <c r="M237" s="2">
        <v>0</v>
      </c>
      <c r="N237" s="2">
        <v>0</v>
      </c>
    </row>
    <row r="238" spans="1:14">
      <c r="A238" s="2">
        <v>237</v>
      </c>
      <c r="B238" s="2" t="s">
        <v>49</v>
      </c>
      <c r="C238" s="2" t="s">
        <v>49</v>
      </c>
      <c r="D238" s="2">
        <v>0</v>
      </c>
      <c r="E238" s="2">
        <v>0.01</v>
      </c>
      <c r="F238" s="2">
        <v>0</v>
      </c>
      <c r="G238" s="2">
        <v>0</v>
      </c>
      <c r="H238" s="2">
        <v>7.0000000000000007E-2</v>
      </c>
      <c r="I238" s="2">
        <v>0</v>
      </c>
      <c r="J238" s="2">
        <v>0.85</v>
      </c>
      <c r="K238" s="2">
        <v>0</v>
      </c>
      <c r="L238" s="2">
        <v>0</v>
      </c>
      <c r="M238" s="2">
        <v>7.0000000000000007E-2</v>
      </c>
      <c r="N238" s="2">
        <v>0</v>
      </c>
    </row>
    <row r="239" spans="1:14">
      <c r="A239" s="2">
        <v>238</v>
      </c>
      <c r="B239" s="2" t="s">
        <v>43</v>
      </c>
      <c r="C239" s="2" t="s">
        <v>43</v>
      </c>
      <c r="D239" s="2">
        <v>0</v>
      </c>
      <c r="E239" s="2">
        <v>0</v>
      </c>
      <c r="F239" s="2">
        <v>0</v>
      </c>
      <c r="G239" s="2">
        <v>0.28000000000000003</v>
      </c>
      <c r="H239" s="2">
        <v>0</v>
      </c>
      <c r="I239" s="2">
        <v>0</v>
      </c>
      <c r="J239" s="2">
        <v>0.1</v>
      </c>
      <c r="K239" s="2">
        <v>0</v>
      </c>
      <c r="L239" s="2">
        <v>0</v>
      </c>
      <c r="M239" s="2">
        <v>0.62</v>
      </c>
      <c r="N239" s="2">
        <v>0</v>
      </c>
    </row>
    <row r="240" spans="1:14">
      <c r="A240" s="2">
        <v>239</v>
      </c>
      <c r="B240" s="2" t="s">
        <v>58</v>
      </c>
      <c r="C240" s="2" t="s">
        <v>58</v>
      </c>
      <c r="D240" s="2">
        <v>0</v>
      </c>
      <c r="E240" s="2">
        <v>0</v>
      </c>
      <c r="F240" s="2">
        <v>0</v>
      </c>
      <c r="G240" s="2">
        <v>1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</row>
    <row r="241" spans="1:14">
      <c r="A241" s="2">
        <v>240</v>
      </c>
      <c r="B241" s="2" t="s">
        <v>62</v>
      </c>
      <c r="C241" s="2" t="s">
        <v>62</v>
      </c>
      <c r="D241" s="2">
        <v>0</v>
      </c>
      <c r="E241" s="2">
        <v>0</v>
      </c>
      <c r="F241" s="2">
        <v>0</v>
      </c>
      <c r="G241" s="2">
        <v>0</v>
      </c>
      <c r="H241" s="2">
        <v>7.0000000000000007E-2</v>
      </c>
      <c r="I241" s="2">
        <v>0</v>
      </c>
      <c r="J241" s="2">
        <v>0</v>
      </c>
      <c r="K241" s="2">
        <v>0</v>
      </c>
      <c r="L241" s="2">
        <v>0.93</v>
      </c>
      <c r="M241" s="2">
        <v>0</v>
      </c>
      <c r="N241" s="2">
        <v>0</v>
      </c>
    </row>
    <row r="242" spans="1:14">
      <c r="A242" s="2">
        <v>241</v>
      </c>
      <c r="B242" s="2" t="s">
        <v>20</v>
      </c>
      <c r="C242" s="2" t="s">
        <v>20</v>
      </c>
      <c r="D242" s="2">
        <v>0</v>
      </c>
      <c r="E242" s="2">
        <v>1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</row>
    <row r="243" spans="1:14">
      <c r="A243" s="2">
        <v>242</v>
      </c>
      <c r="B243" s="2" t="s">
        <v>20</v>
      </c>
      <c r="C243" s="2" t="s">
        <v>20</v>
      </c>
      <c r="D243" s="2">
        <v>0</v>
      </c>
      <c r="E243" s="2">
        <v>1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</row>
    <row r="244" spans="1:14">
      <c r="A244" s="2">
        <v>243</v>
      </c>
      <c r="B244" s="2" t="s">
        <v>25</v>
      </c>
      <c r="C244" s="2" t="s">
        <v>25</v>
      </c>
      <c r="D244" s="2">
        <v>0.97</v>
      </c>
      <c r="E244" s="2">
        <v>0</v>
      </c>
      <c r="F244" s="2">
        <v>0.01</v>
      </c>
      <c r="G244" s="2">
        <v>0</v>
      </c>
      <c r="H244" s="2">
        <v>0.02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</row>
    <row r="245" spans="1:14">
      <c r="A245" s="2">
        <v>244</v>
      </c>
      <c r="B245" s="2" t="s">
        <v>20</v>
      </c>
      <c r="C245" s="2" t="s">
        <v>20</v>
      </c>
      <c r="D245" s="2">
        <v>0</v>
      </c>
      <c r="E245" s="2">
        <v>1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</row>
    <row r="246" spans="1:14">
      <c r="A246" s="2">
        <v>245</v>
      </c>
      <c r="B246" s="2" t="s">
        <v>20</v>
      </c>
      <c r="C246" s="2" t="s">
        <v>20</v>
      </c>
      <c r="D246" s="2">
        <v>0</v>
      </c>
      <c r="E246" s="2">
        <v>1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</row>
    <row r="247" spans="1:14">
      <c r="A247" s="2">
        <v>246</v>
      </c>
      <c r="B247" s="2" t="s">
        <v>20</v>
      </c>
      <c r="C247" s="2" t="s">
        <v>20</v>
      </c>
      <c r="D247" s="2">
        <v>0</v>
      </c>
      <c r="E247" s="2">
        <v>1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</row>
    <row r="248" spans="1:14">
      <c r="A248" s="2">
        <v>247</v>
      </c>
      <c r="B248" s="2" t="s">
        <v>35</v>
      </c>
      <c r="C248" s="2" t="s">
        <v>35</v>
      </c>
      <c r="D248" s="2">
        <v>0.02</v>
      </c>
      <c r="E248" s="2">
        <v>0.03</v>
      </c>
      <c r="F248" s="2">
        <v>0</v>
      </c>
      <c r="G248" s="2">
        <v>0</v>
      </c>
      <c r="H248" s="2">
        <v>0.88</v>
      </c>
      <c r="I248" s="2">
        <v>0</v>
      </c>
      <c r="J248" s="2">
        <v>0.06</v>
      </c>
      <c r="K248" s="2">
        <v>0</v>
      </c>
      <c r="L248" s="2">
        <v>0</v>
      </c>
      <c r="M248" s="2">
        <v>0.01</v>
      </c>
      <c r="N248" s="2">
        <v>0</v>
      </c>
    </row>
    <row r="249" spans="1:14">
      <c r="A249" s="2">
        <v>248</v>
      </c>
      <c r="B249" s="2" t="s">
        <v>35</v>
      </c>
      <c r="C249" s="2" t="s">
        <v>35</v>
      </c>
      <c r="D249" s="2">
        <v>0.01</v>
      </c>
      <c r="E249" s="2">
        <v>0</v>
      </c>
      <c r="F249" s="2">
        <v>0</v>
      </c>
      <c r="G249" s="2">
        <v>0</v>
      </c>
      <c r="H249" s="2">
        <v>0.96</v>
      </c>
      <c r="I249" s="2">
        <v>0</v>
      </c>
      <c r="J249" s="2">
        <v>0</v>
      </c>
      <c r="K249" s="2">
        <v>0</v>
      </c>
      <c r="L249" s="2">
        <v>0</v>
      </c>
      <c r="M249" s="2">
        <v>0.03</v>
      </c>
      <c r="N249" s="2">
        <v>0</v>
      </c>
    </row>
    <row r="250" spans="1:14">
      <c r="A250" s="2">
        <v>249</v>
      </c>
      <c r="B250" s="2" t="s">
        <v>20</v>
      </c>
      <c r="C250" s="2" t="s">
        <v>20</v>
      </c>
      <c r="D250" s="2">
        <v>0</v>
      </c>
      <c r="E250" s="2">
        <v>1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</row>
    <row r="251" spans="1:14">
      <c r="A251" s="2">
        <v>250</v>
      </c>
      <c r="B251" s="2" t="s">
        <v>43</v>
      </c>
      <c r="C251" s="2" t="s">
        <v>43</v>
      </c>
      <c r="D251" s="2">
        <v>0.01</v>
      </c>
      <c r="E251" s="2">
        <v>0.09</v>
      </c>
      <c r="F251" s="2">
        <v>0</v>
      </c>
      <c r="G251" s="2">
        <v>0</v>
      </c>
      <c r="H251" s="2">
        <v>0.17</v>
      </c>
      <c r="I251" s="2">
        <v>0</v>
      </c>
      <c r="J251" s="2">
        <v>0.02</v>
      </c>
      <c r="K251" s="2">
        <v>0</v>
      </c>
      <c r="L251" s="2">
        <v>0</v>
      </c>
      <c r="M251" s="2">
        <v>0.67</v>
      </c>
      <c r="N251" s="2">
        <v>0.04</v>
      </c>
    </row>
    <row r="252" spans="1:14">
      <c r="A252" s="2">
        <v>251</v>
      </c>
      <c r="B252" s="2" t="s">
        <v>20</v>
      </c>
      <c r="C252" s="2" t="s">
        <v>20</v>
      </c>
      <c r="D252" s="2">
        <v>0.03</v>
      </c>
      <c r="E252" s="2">
        <v>0.97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</row>
    <row r="253" spans="1:14">
      <c r="A253" s="2">
        <v>252</v>
      </c>
      <c r="B253" s="2" t="s">
        <v>49</v>
      </c>
      <c r="C253" s="2" t="s">
        <v>49</v>
      </c>
      <c r="D253" s="2">
        <v>0</v>
      </c>
      <c r="E253" s="2">
        <v>0</v>
      </c>
      <c r="F253" s="2">
        <v>0</v>
      </c>
      <c r="G253" s="2">
        <v>0</v>
      </c>
      <c r="H253" s="2">
        <v>0.16</v>
      </c>
      <c r="I253" s="2">
        <v>0</v>
      </c>
      <c r="J253" s="2">
        <v>0.84</v>
      </c>
      <c r="K253" s="2">
        <v>0</v>
      </c>
      <c r="L253" s="2">
        <v>0</v>
      </c>
      <c r="M253" s="2">
        <v>0</v>
      </c>
      <c r="N253" s="2">
        <v>0</v>
      </c>
    </row>
    <row r="254" spans="1:14">
      <c r="A254" s="2">
        <v>253</v>
      </c>
      <c r="B254" s="2" t="s">
        <v>20</v>
      </c>
      <c r="C254" s="2" t="s">
        <v>20</v>
      </c>
      <c r="D254" s="2">
        <v>0</v>
      </c>
      <c r="E254" s="2">
        <v>1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</row>
    <row r="255" spans="1:14">
      <c r="A255" s="2">
        <v>254</v>
      </c>
      <c r="B255" s="2" t="s">
        <v>20</v>
      </c>
      <c r="C255" s="2" t="s">
        <v>20</v>
      </c>
      <c r="D255" s="2">
        <v>0.01</v>
      </c>
      <c r="E255" s="2">
        <v>0.98</v>
      </c>
      <c r="F255" s="2">
        <v>0</v>
      </c>
      <c r="G255" s="2">
        <v>0</v>
      </c>
      <c r="H255" s="2">
        <v>0.01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</row>
    <row r="256" spans="1:14">
      <c r="A256" s="2">
        <v>255</v>
      </c>
      <c r="B256" s="2" t="s">
        <v>20</v>
      </c>
      <c r="C256" s="2" t="s">
        <v>20</v>
      </c>
      <c r="D256" s="2">
        <v>0.01</v>
      </c>
      <c r="E256" s="2">
        <v>0.99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</row>
    <row r="257" spans="1:14">
      <c r="A257" s="2">
        <v>256</v>
      </c>
      <c r="B257" s="2" t="s">
        <v>35</v>
      </c>
      <c r="C257" s="2" t="s">
        <v>35</v>
      </c>
      <c r="D257" s="2">
        <v>0.01</v>
      </c>
      <c r="E257" s="2">
        <v>0.2</v>
      </c>
      <c r="F257" s="2">
        <v>0</v>
      </c>
      <c r="G257" s="2">
        <v>0</v>
      </c>
      <c r="H257" s="2">
        <v>0.77</v>
      </c>
      <c r="I257" s="2">
        <v>0.01</v>
      </c>
      <c r="J257" s="2">
        <v>0</v>
      </c>
      <c r="K257" s="2">
        <v>0.01</v>
      </c>
      <c r="L257" s="2">
        <v>0</v>
      </c>
      <c r="M257" s="2">
        <v>0</v>
      </c>
      <c r="N257" s="2">
        <v>0</v>
      </c>
    </row>
    <row r="258" spans="1:14">
      <c r="A258" s="2">
        <v>257</v>
      </c>
      <c r="B258" s="2" t="s">
        <v>49</v>
      </c>
      <c r="C258" s="2" t="s">
        <v>49</v>
      </c>
      <c r="D258" s="2">
        <v>0</v>
      </c>
      <c r="E258" s="2">
        <v>0</v>
      </c>
      <c r="F258" s="2">
        <v>0</v>
      </c>
      <c r="G258" s="2">
        <v>0</v>
      </c>
      <c r="H258" s="2">
        <v>0.06</v>
      </c>
      <c r="I258" s="2">
        <v>0</v>
      </c>
      <c r="J258" s="2">
        <v>0.88</v>
      </c>
      <c r="K258" s="2">
        <v>0</v>
      </c>
      <c r="L258" s="2">
        <v>0</v>
      </c>
      <c r="M258" s="2">
        <v>0.06</v>
      </c>
      <c r="N258" s="2">
        <v>0</v>
      </c>
    </row>
    <row r="259" spans="1:14">
      <c r="A259" s="2">
        <v>258</v>
      </c>
      <c r="B259" s="2" t="s">
        <v>20</v>
      </c>
      <c r="C259" s="2" t="s">
        <v>20</v>
      </c>
      <c r="D259" s="2">
        <v>0</v>
      </c>
      <c r="E259" s="2">
        <v>1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</row>
    <row r="260" spans="1:14">
      <c r="A260" s="2">
        <v>259</v>
      </c>
      <c r="B260" s="2" t="s">
        <v>35</v>
      </c>
      <c r="C260" s="2" t="s">
        <v>35</v>
      </c>
      <c r="D260" s="2">
        <v>0.04</v>
      </c>
      <c r="E260" s="2">
        <v>0</v>
      </c>
      <c r="F260" s="2">
        <v>0</v>
      </c>
      <c r="G260" s="2">
        <v>0</v>
      </c>
      <c r="H260" s="2">
        <v>0.74</v>
      </c>
      <c r="I260" s="2">
        <v>0</v>
      </c>
      <c r="J260" s="2">
        <v>0.15</v>
      </c>
      <c r="K260" s="2">
        <v>0</v>
      </c>
      <c r="L260" s="2">
        <v>0</v>
      </c>
      <c r="M260" s="2">
        <v>7.0000000000000007E-2</v>
      </c>
      <c r="N260" s="2">
        <v>0</v>
      </c>
    </row>
    <row r="261" spans="1:14">
      <c r="A261" s="2">
        <v>260</v>
      </c>
      <c r="B261" s="2" t="s">
        <v>20</v>
      </c>
      <c r="C261" s="2" t="s">
        <v>20</v>
      </c>
      <c r="D261" s="2">
        <v>0</v>
      </c>
      <c r="E261" s="2">
        <v>0.87</v>
      </c>
      <c r="F261" s="2">
        <v>0</v>
      </c>
      <c r="G261" s="2">
        <v>0</v>
      </c>
      <c r="H261" s="2">
        <v>0.08</v>
      </c>
      <c r="I261" s="2">
        <v>0</v>
      </c>
      <c r="J261" s="2">
        <v>0.05</v>
      </c>
      <c r="K261" s="2">
        <v>0</v>
      </c>
      <c r="L261" s="2">
        <v>0</v>
      </c>
      <c r="M261" s="2">
        <v>0</v>
      </c>
      <c r="N261" s="2">
        <v>0</v>
      </c>
    </row>
    <row r="262" spans="1:14">
      <c r="A262" s="2">
        <v>261</v>
      </c>
      <c r="B262" s="2" t="s">
        <v>20</v>
      </c>
      <c r="C262" s="2" t="s">
        <v>20</v>
      </c>
      <c r="D262" s="2">
        <v>0</v>
      </c>
      <c r="E262" s="2">
        <v>0.97</v>
      </c>
      <c r="F262" s="2">
        <v>0</v>
      </c>
      <c r="G262" s="2">
        <v>0</v>
      </c>
      <c r="H262" s="2">
        <v>0</v>
      </c>
      <c r="I262" s="2">
        <v>0</v>
      </c>
      <c r="J262" s="2">
        <v>0.03</v>
      </c>
      <c r="K262" s="2">
        <v>0</v>
      </c>
      <c r="L262" s="2">
        <v>0</v>
      </c>
      <c r="M262" s="2">
        <v>0</v>
      </c>
      <c r="N262" s="2">
        <v>0</v>
      </c>
    </row>
    <row r="263" spans="1:14">
      <c r="A263" s="2">
        <v>262</v>
      </c>
      <c r="B263" s="2" t="s">
        <v>20</v>
      </c>
      <c r="C263" s="2" t="s">
        <v>20</v>
      </c>
      <c r="D263" s="2">
        <v>0</v>
      </c>
      <c r="E263" s="2">
        <v>1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</row>
    <row r="264" spans="1:14">
      <c r="A264" s="2">
        <v>263</v>
      </c>
      <c r="B264" s="2" t="s">
        <v>58</v>
      </c>
      <c r="C264" s="2" t="s">
        <v>58</v>
      </c>
      <c r="D264" s="2">
        <v>0</v>
      </c>
      <c r="E264" s="2">
        <v>0</v>
      </c>
      <c r="F264" s="2">
        <v>0</v>
      </c>
      <c r="G264" s="2">
        <v>0.97</v>
      </c>
      <c r="H264" s="2">
        <v>0</v>
      </c>
      <c r="I264" s="2">
        <v>0</v>
      </c>
      <c r="J264" s="2">
        <v>0.01</v>
      </c>
      <c r="K264" s="2">
        <v>0</v>
      </c>
      <c r="L264" s="2">
        <v>0</v>
      </c>
      <c r="M264" s="2">
        <v>0.02</v>
      </c>
      <c r="N264" s="2">
        <v>0</v>
      </c>
    </row>
    <row r="265" spans="1:14">
      <c r="A265" s="2">
        <v>264</v>
      </c>
      <c r="B265" s="2" t="s">
        <v>20</v>
      </c>
      <c r="C265" s="2" t="s">
        <v>20</v>
      </c>
      <c r="D265" s="2">
        <v>0</v>
      </c>
      <c r="E265" s="2">
        <v>1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</row>
    <row r="266" spans="1:14">
      <c r="A266" s="2">
        <v>265</v>
      </c>
      <c r="B266" s="2" t="s">
        <v>25</v>
      </c>
      <c r="C266" s="2" t="s">
        <v>25</v>
      </c>
      <c r="D266" s="2">
        <v>0.86</v>
      </c>
      <c r="E266" s="2">
        <v>0</v>
      </c>
      <c r="F266" s="2">
        <v>0.02</v>
      </c>
      <c r="G266" s="2">
        <v>0</v>
      </c>
      <c r="H266" s="2">
        <v>0.09</v>
      </c>
      <c r="I266" s="2">
        <v>0.03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</row>
    <row r="267" spans="1:14">
      <c r="A267" s="2">
        <v>266</v>
      </c>
      <c r="B267" s="2" t="s">
        <v>35</v>
      </c>
      <c r="C267" s="2" t="s">
        <v>35</v>
      </c>
      <c r="D267" s="2">
        <v>0</v>
      </c>
      <c r="E267" s="2">
        <v>0</v>
      </c>
      <c r="F267" s="2">
        <v>0</v>
      </c>
      <c r="G267" s="2">
        <v>0</v>
      </c>
      <c r="H267" s="2">
        <v>0.98</v>
      </c>
      <c r="I267" s="2">
        <v>0</v>
      </c>
      <c r="J267" s="2">
        <v>0.02</v>
      </c>
      <c r="K267" s="2">
        <v>0</v>
      </c>
      <c r="L267" s="2">
        <v>0</v>
      </c>
      <c r="M267" s="2">
        <v>0</v>
      </c>
      <c r="N267" s="2">
        <v>0</v>
      </c>
    </row>
    <row r="268" spans="1:14">
      <c r="A268" s="2">
        <v>267</v>
      </c>
      <c r="B268" s="2" t="s">
        <v>58</v>
      </c>
      <c r="C268" s="2" t="s">
        <v>58</v>
      </c>
      <c r="D268" s="2">
        <v>0</v>
      </c>
      <c r="E268" s="2">
        <v>0</v>
      </c>
      <c r="F268" s="2">
        <v>0</v>
      </c>
      <c r="G268" s="2">
        <v>1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</row>
    <row r="269" spans="1:14">
      <c r="A269" s="2">
        <v>268</v>
      </c>
      <c r="B269" s="2" t="s">
        <v>20</v>
      </c>
      <c r="C269" s="2" t="s">
        <v>20</v>
      </c>
      <c r="D269" s="2">
        <v>0</v>
      </c>
      <c r="E269" s="2">
        <v>1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</row>
    <row r="270" spans="1:14">
      <c r="A270" s="2">
        <v>269</v>
      </c>
      <c r="B270" s="2" t="s">
        <v>20</v>
      </c>
      <c r="C270" s="2" t="s">
        <v>20</v>
      </c>
      <c r="D270" s="2">
        <v>0.05</v>
      </c>
      <c r="E270" s="2">
        <v>0.94</v>
      </c>
      <c r="F270" s="2">
        <v>0</v>
      </c>
      <c r="G270" s="2">
        <v>0</v>
      </c>
      <c r="H270" s="2">
        <v>0</v>
      </c>
      <c r="I270" s="2">
        <v>0</v>
      </c>
      <c r="J270" s="2">
        <v>0.01</v>
      </c>
      <c r="K270" s="2">
        <v>0</v>
      </c>
      <c r="L270" s="2">
        <v>0</v>
      </c>
      <c r="M270" s="2">
        <v>0</v>
      </c>
      <c r="N270" s="2">
        <v>0</v>
      </c>
    </row>
    <row r="271" spans="1:14">
      <c r="A271" s="2">
        <v>270</v>
      </c>
      <c r="B271" s="2" t="s">
        <v>35</v>
      </c>
      <c r="C271" s="2" t="s">
        <v>35</v>
      </c>
      <c r="D271" s="2">
        <v>0</v>
      </c>
      <c r="E271" s="2">
        <v>0</v>
      </c>
      <c r="F271" s="2">
        <v>0</v>
      </c>
      <c r="G271" s="2">
        <v>0</v>
      </c>
      <c r="H271" s="2">
        <v>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</row>
    <row r="272" spans="1:14">
      <c r="A272" s="2">
        <v>271</v>
      </c>
      <c r="B272" s="2" t="s">
        <v>58</v>
      </c>
      <c r="C272" s="2" t="s">
        <v>58</v>
      </c>
      <c r="D272" s="2">
        <v>0</v>
      </c>
      <c r="E272" s="2">
        <v>0</v>
      </c>
      <c r="F272" s="2">
        <v>0</v>
      </c>
      <c r="G272" s="2">
        <v>0.92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0.08</v>
      </c>
      <c r="N272" s="2">
        <v>0</v>
      </c>
    </row>
    <row r="273" spans="1:14">
      <c r="A273" s="2">
        <v>272</v>
      </c>
      <c r="B273" s="2" t="s">
        <v>49</v>
      </c>
      <c r="C273" s="2" t="s">
        <v>49</v>
      </c>
      <c r="D273" s="2">
        <v>0.1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0.88</v>
      </c>
      <c r="K273" s="2">
        <v>0</v>
      </c>
      <c r="L273" s="2">
        <v>0</v>
      </c>
      <c r="M273" s="2">
        <v>0.02</v>
      </c>
      <c r="N273" s="2">
        <v>0</v>
      </c>
    </row>
    <row r="274" spans="1:14">
      <c r="A274" s="2">
        <v>273</v>
      </c>
      <c r="B274" s="2" t="s">
        <v>35</v>
      </c>
      <c r="C274" s="2" t="s">
        <v>35</v>
      </c>
      <c r="D274" s="2">
        <v>0</v>
      </c>
      <c r="E274" s="2">
        <v>0</v>
      </c>
      <c r="F274" s="2">
        <v>0</v>
      </c>
      <c r="G274" s="2">
        <v>0</v>
      </c>
      <c r="H274" s="2">
        <v>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</row>
    <row r="275" spans="1:14">
      <c r="A275" s="2">
        <v>274</v>
      </c>
      <c r="B275" s="2" t="s">
        <v>20</v>
      </c>
      <c r="C275" s="2" t="s">
        <v>20</v>
      </c>
      <c r="D275" s="2">
        <v>0</v>
      </c>
      <c r="E275" s="2">
        <v>1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</row>
    <row r="276" spans="1:14">
      <c r="A276" s="2">
        <v>275</v>
      </c>
      <c r="B276" s="2" t="s">
        <v>49</v>
      </c>
      <c r="C276" s="2" t="s">
        <v>49</v>
      </c>
      <c r="D276" s="2">
        <v>0</v>
      </c>
      <c r="E276" s="2">
        <v>0</v>
      </c>
      <c r="F276" s="2">
        <v>0</v>
      </c>
      <c r="G276" s="2">
        <v>0.02</v>
      </c>
      <c r="H276" s="2">
        <v>0</v>
      </c>
      <c r="I276" s="2">
        <v>0</v>
      </c>
      <c r="J276" s="2">
        <v>0.97</v>
      </c>
      <c r="K276" s="2">
        <v>0</v>
      </c>
      <c r="L276" s="2">
        <v>0</v>
      </c>
      <c r="M276" s="2">
        <v>0.01</v>
      </c>
      <c r="N276" s="2">
        <v>0</v>
      </c>
    </row>
    <row r="277" spans="1:14">
      <c r="A277" s="2">
        <v>276</v>
      </c>
      <c r="B277" s="2" t="s">
        <v>35</v>
      </c>
      <c r="C277" s="2" t="s">
        <v>35</v>
      </c>
      <c r="D277" s="2">
        <v>0.01</v>
      </c>
      <c r="E277" s="2">
        <v>0</v>
      </c>
      <c r="F277" s="2">
        <v>0</v>
      </c>
      <c r="G277" s="2">
        <v>0</v>
      </c>
      <c r="H277" s="2">
        <v>0.96</v>
      </c>
      <c r="I277" s="2">
        <v>0.01</v>
      </c>
      <c r="J277" s="2">
        <v>0</v>
      </c>
      <c r="K277" s="2">
        <v>0</v>
      </c>
      <c r="L277" s="2">
        <v>0</v>
      </c>
      <c r="M277" s="2">
        <v>0.02</v>
      </c>
      <c r="N277" s="2">
        <v>0</v>
      </c>
    </row>
    <row r="278" spans="1:14">
      <c r="A278" s="2">
        <v>277</v>
      </c>
      <c r="B278" s="2" t="s">
        <v>35</v>
      </c>
      <c r="C278" s="2" t="s">
        <v>35</v>
      </c>
      <c r="D278" s="2">
        <v>0</v>
      </c>
      <c r="E278" s="2">
        <v>0</v>
      </c>
      <c r="F278" s="2">
        <v>0</v>
      </c>
      <c r="G278" s="2">
        <v>0</v>
      </c>
      <c r="H278" s="2">
        <v>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</row>
    <row r="279" spans="1:14">
      <c r="A279" s="2">
        <v>278</v>
      </c>
      <c r="B279" s="2" t="s">
        <v>25</v>
      </c>
      <c r="C279" s="2" t="s">
        <v>25</v>
      </c>
      <c r="D279" s="2">
        <v>0.74</v>
      </c>
      <c r="E279" s="2">
        <v>0.01</v>
      </c>
      <c r="F279" s="2">
        <v>0</v>
      </c>
      <c r="G279" s="2">
        <v>0</v>
      </c>
      <c r="H279" s="2">
        <v>0.16</v>
      </c>
      <c r="I279" s="2">
        <v>0</v>
      </c>
      <c r="J279" s="2">
        <v>0.01</v>
      </c>
      <c r="K279" s="2">
        <v>0</v>
      </c>
      <c r="L279" s="2">
        <v>0</v>
      </c>
      <c r="M279" s="2">
        <v>0.06</v>
      </c>
      <c r="N279" s="2">
        <v>0.02</v>
      </c>
    </row>
    <row r="280" spans="1:14">
      <c r="A280" s="2">
        <v>279</v>
      </c>
      <c r="B280" s="2" t="s">
        <v>43</v>
      </c>
      <c r="C280" s="2" t="s">
        <v>43</v>
      </c>
      <c r="D280" s="2">
        <v>0</v>
      </c>
      <c r="E280" s="2">
        <v>0.18</v>
      </c>
      <c r="F280" s="2">
        <v>0</v>
      </c>
      <c r="G280" s="2">
        <v>0</v>
      </c>
      <c r="H280" s="2">
        <v>0.14000000000000001</v>
      </c>
      <c r="I280" s="2">
        <v>0</v>
      </c>
      <c r="J280" s="2">
        <v>0.01</v>
      </c>
      <c r="K280" s="2">
        <v>0.01</v>
      </c>
      <c r="L280" s="2">
        <v>0</v>
      </c>
      <c r="M280" s="2">
        <v>0.64</v>
      </c>
      <c r="N280" s="2">
        <v>0.02</v>
      </c>
    </row>
    <row r="281" spans="1:14">
      <c r="A281" s="2">
        <v>280</v>
      </c>
      <c r="B281" s="2" t="s">
        <v>20</v>
      </c>
      <c r="C281" s="2" t="s">
        <v>20</v>
      </c>
      <c r="D281" s="2">
        <v>0</v>
      </c>
      <c r="E281" s="2">
        <v>1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</row>
    <row r="282" spans="1:14">
      <c r="A282" s="2">
        <v>281</v>
      </c>
      <c r="B282" s="2" t="s">
        <v>49</v>
      </c>
      <c r="C282" s="2" t="s">
        <v>49</v>
      </c>
      <c r="D282" s="2">
        <v>0.05</v>
      </c>
      <c r="E282" s="2">
        <v>0</v>
      </c>
      <c r="F282" s="2">
        <v>0</v>
      </c>
      <c r="G282" s="2">
        <v>0</v>
      </c>
      <c r="H282" s="2">
        <v>0.1</v>
      </c>
      <c r="I282" s="2">
        <v>0</v>
      </c>
      <c r="J282" s="2">
        <v>0.84</v>
      </c>
      <c r="K282" s="2">
        <v>0.01</v>
      </c>
      <c r="L282" s="2">
        <v>0</v>
      </c>
      <c r="M282" s="2">
        <v>0</v>
      </c>
      <c r="N282" s="2">
        <v>0</v>
      </c>
    </row>
    <row r="283" spans="1:14">
      <c r="A283" s="2">
        <v>282</v>
      </c>
      <c r="B283" s="2" t="s">
        <v>177</v>
      </c>
      <c r="C283" s="2" t="s">
        <v>177</v>
      </c>
      <c r="D283" s="2">
        <v>0.38</v>
      </c>
      <c r="E283" s="2">
        <v>0.06</v>
      </c>
      <c r="F283" s="2">
        <v>0</v>
      </c>
      <c r="G283" s="2">
        <v>0</v>
      </c>
      <c r="H283" s="2">
        <v>0</v>
      </c>
      <c r="I283" s="2">
        <v>0.56000000000000005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</row>
    <row r="284" spans="1:14">
      <c r="A284" s="2">
        <v>283</v>
      </c>
      <c r="B284" s="2" t="s">
        <v>20</v>
      </c>
      <c r="C284" s="2" t="s">
        <v>20</v>
      </c>
      <c r="D284" s="2">
        <v>0</v>
      </c>
      <c r="E284" s="2">
        <v>1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</row>
    <row r="285" spans="1:14">
      <c r="A285" s="2">
        <v>284</v>
      </c>
      <c r="B285" s="2" t="s">
        <v>25</v>
      </c>
      <c r="C285" s="2" t="s">
        <v>25</v>
      </c>
      <c r="D285" s="2">
        <v>0.8</v>
      </c>
      <c r="E285" s="2">
        <v>0.03</v>
      </c>
      <c r="F285" s="2">
        <v>0</v>
      </c>
      <c r="G285" s="2">
        <v>0</v>
      </c>
      <c r="H285" s="2">
        <v>0.15</v>
      </c>
      <c r="I285" s="2">
        <v>0</v>
      </c>
      <c r="J285" s="2">
        <v>0.02</v>
      </c>
      <c r="K285" s="2">
        <v>0</v>
      </c>
      <c r="L285" s="2">
        <v>0</v>
      </c>
      <c r="M285" s="2">
        <v>0</v>
      </c>
      <c r="N285" s="2">
        <v>0</v>
      </c>
    </row>
    <row r="286" spans="1:14">
      <c r="A286" s="2">
        <v>285</v>
      </c>
      <c r="B286" s="2" t="s">
        <v>20</v>
      </c>
      <c r="C286" s="2" t="s">
        <v>20</v>
      </c>
      <c r="D286" s="2">
        <v>0</v>
      </c>
      <c r="E286" s="2">
        <v>1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</row>
    <row r="287" spans="1:14">
      <c r="A287" s="2">
        <v>286</v>
      </c>
      <c r="B287" s="2" t="s">
        <v>20</v>
      </c>
      <c r="C287" s="2" t="s">
        <v>20</v>
      </c>
      <c r="D287" s="2">
        <v>0</v>
      </c>
      <c r="E287" s="2">
        <v>0.89</v>
      </c>
      <c r="F287" s="2">
        <v>0</v>
      </c>
      <c r="G287" s="2">
        <v>0</v>
      </c>
      <c r="H287" s="2">
        <v>0.11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</row>
    <row r="288" spans="1:14">
      <c r="A288" s="2">
        <v>287</v>
      </c>
      <c r="B288" s="2" t="s">
        <v>20</v>
      </c>
      <c r="C288" s="2" t="s">
        <v>20</v>
      </c>
      <c r="D288" s="2">
        <v>0</v>
      </c>
      <c r="E288" s="2">
        <v>1</v>
      </c>
      <c r="F288" s="2">
        <v>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</row>
    <row r="289" spans="1:14">
      <c r="A289" s="2">
        <v>288</v>
      </c>
      <c r="B289" s="2" t="s">
        <v>20</v>
      </c>
      <c r="C289" s="2" t="s">
        <v>20</v>
      </c>
      <c r="D289" s="2">
        <v>0</v>
      </c>
      <c r="E289" s="2">
        <v>0.89</v>
      </c>
      <c r="F289" s="2">
        <v>0</v>
      </c>
      <c r="G289" s="2">
        <v>0</v>
      </c>
      <c r="H289" s="2">
        <v>0.1</v>
      </c>
      <c r="I289" s="2">
        <v>0</v>
      </c>
      <c r="J289" s="2">
        <v>0.01</v>
      </c>
      <c r="K289" s="2">
        <v>0</v>
      </c>
      <c r="L289" s="2">
        <v>0</v>
      </c>
      <c r="M289" s="2">
        <v>0</v>
      </c>
      <c r="N289" s="2">
        <v>0</v>
      </c>
    </row>
    <row r="290" spans="1:14">
      <c r="A290" s="2">
        <v>289</v>
      </c>
      <c r="B290" s="2" t="s">
        <v>20</v>
      </c>
      <c r="C290" s="2" t="s">
        <v>20</v>
      </c>
      <c r="D290" s="2">
        <v>0</v>
      </c>
      <c r="E290" s="2">
        <v>0.99</v>
      </c>
      <c r="F290" s="2">
        <v>0</v>
      </c>
      <c r="G290" s="2">
        <v>0</v>
      </c>
      <c r="H290" s="2">
        <v>0.01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</row>
    <row r="291" spans="1:14">
      <c r="A291" s="2">
        <v>290</v>
      </c>
      <c r="B291" s="2" t="s">
        <v>20</v>
      </c>
      <c r="C291" s="2" t="s">
        <v>20</v>
      </c>
      <c r="D291" s="2">
        <v>0</v>
      </c>
      <c r="E291" s="2">
        <v>0.96</v>
      </c>
      <c r="F291" s="2">
        <v>0</v>
      </c>
      <c r="G291" s="2">
        <v>0</v>
      </c>
      <c r="H291" s="2">
        <v>0.04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</row>
    <row r="292" spans="1:14">
      <c r="A292" s="2">
        <v>291</v>
      </c>
      <c r="B292" s="2" t="s">
        <v>35</v>
      </c>
      <c r="C292" s="2" t="s">
        <v>35</v>
      </c>
      <c r="D292" s="2">
        <v>0.01</v>
      </c>
      <c r="E292" s="2">
        <v>0</v>
      </c>
      <c r="F292" s="2">
        <v>0</v>
      </c>
      <c r="G292" s="2">
        <v>0</v>
      </c>
      <c r="H292" s="2">
        <v>0.89</v>
      </c>
      <c r="I292" s="2">
        <v>0</v>
      </c>
      <c r="J292" s="2">
        <v>0.03</v>
      </c>
      <c r="K292" s="2">
        <v>0</v>
      </c>
      <c r="L292" s="2">
        <v>0</v>
      </c>
      <c r="M292" s="2">
        <v>7.0000000000000007E-2</v>
      </c>
      <c r="N292" s="2">
        <v>0</v>
      </c>
    </row>
    <row r="293" spans="1:14">
      <c r="A293" s="2">
        <v>292</v>
      </c>
      <c r="B293" s="2" t="s">
        <v>20</v>
      </c>
      <c r="C293" s="2" t="s">
        <v>20</v>
      </c>
      <c r="D293" s="2">
        <v>0</v>
      </c>
      <c r="E293" s="2">
        <v>1</v>
      </c>
      <c r="F293" s="2">
        <v>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</row>
    <row r="294" spans="1:14">
      <c r="A294" s="2">
        <v>293</v>
      </c>
      <c r="B294" s="2" t="s">
        <v>43</v>
      </c>
      <c r="C294" s="2" t="s">
        <v>43</v>
      </c>
      <c r="D294" s="2">
        <v>0</v>
      </c>
      <c r="E294" s="2">
        <v>0</v>
      </c>
      <c r="F294" s="2">
        <v>0</v>
      </c>
      <c r="G294" s="2">
        <v>0</v>
      </c>
      <c r="H294" s="2">
        <v>7.0000000000000007E-2</v>
      </c>
      <c r="I294" s="2">
        <v>0.05</v>
      </c>
      <c r="J294" s="2">
        <v>0.04</v>
      </c>
      <c r="K294" s="2">
        <v>0</v>
      </c>
      <c r="L294" s="2">
        <v>0</v>
      </c>
      <c r="M294" s="2">
        <v>0.83</v>
      </c>
      <c r="N294" s="2">
        <v>0.01</v>
      </c>
    </row>
    <row r="295" spans="1:14">
      <c r="A295" s="2">
        <v>294</v>
      </c>
      <c r="B295" s="2" t="s">
        <v>43</v>
      </c>
      <c r="C295" s="2" t="s">
        <v>43</v>
      </c>
      <c r="D295" s="2">
        <v>0</v>
      </c>
      <c r="E295" s="2">
        <v>0.13</v>
      </c>
      <c r="F295" s="2">
        <v>0</v>
      </c>
      <c r="G295" s="2">
        <v>0</v>
      </c>
      <c r="H295" s="2">
        <v>0.08</v>
      </c>
      <c r="I295" s="2">
        <v>0</v>
      </c>
      <c r="J295" s="2">
        <v>0.04</v>
      </c>
      <c r="K295" s="2">
        <v>0</v>
      </c>
      <c r="L295" s="2">
        <v>0</v>
      </c>
      <c r="M295" s="2">
        <v>0.75</v>
      </c>
      <c r="N295" s="2">
        <v>0</v>
      </c>
    </row>
    <row r="296" spans="1:14">
      <c r="A296" s="2">
        <v>295</v>
      </c>
      <c r="B296" s="2" t="s">
        <v>20</v>
      </c>
      <c r="C296" s="2" t="s">
        <v>20</v>
      </c>
      <c r="D296" s="2">
        <v>0</v>
      </c>
      <c r="E296" s="2">
        <v>0.99</v>
      </c>
      <c r="F296" s="2">
        <v>0</v>
      </c>
      <c r="G296" s="2">
        <v>0</v>
      </c>
      <c r="H296" s="2">
        <v>0.01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</row>
    <row r="297" spans="1:14">
      <c r="A297" s="2">
        <v>296</v>
      </c>
      <c r="B297" s="2" t="s">
        <v>25</v>
      </c>
      <c r="C297" s="2" t="s">
        <v>25</v>
      </c>
      <c r="D297" s="2">
        <v>0.68</v>
      </c>
      <c r="E297" s="2">
        <v>0.02</v>
      </c>
      <c r="F297" s="2">
        <v>0</v>
      </c>
      <c r="G297" s="2">
        <v>0</v>
      </c>
      <c r="H297" s="2">
        <v>0.2</v>
      </c>
      <c r="I297" s="2">
        <v>0</v>
      </c>
      <c r="J297" s="2">
        <v>0.01</v>
      </c>
      <c r="K297" s="2">
        <v>0</v>
      </c>
      <c r="L297" s="2">
        <v>0</v>
      </c>
      <c r="M297" s="2">
        <v>0.09</v>
      </c>
      <c r="N297" s="2">
        <v>0</v>
      </c>
    </row>
    <row r="298" spans="1:14">
      <c r="A298" s="2">
        <v>297</v>
      </c>
      <c r="B298" s="2" t="s">
        <v>58</v>
      </c>
      <c r="C298" s="2" t="s">
        <v>58</v>
      </c>
      <c r="D298" s="2">
        <v>0</v>
      </c>
      <c r="E298" s="2">
        <v>0</v>
      </c>
      <c r="F298" s="2">
        <v>0</v>
      </c>
      <c r="G298" s="2">
        <v>0.99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0.01</v>
      </c>
      <c r="N298" s="2">
        <v>0</v>
      </c>
    </row>
    <row r="299" spans="1:14">
      <c r="A299" s="2">
        <v>298</v>
      </c>
      <c r="B299" s="2" t="s">
        <v>20</v>
      </c>
      <c r="C299" s="2" t="s">
        <v>20</v>
      </c>
      <c r="D299" s="2">
        <v>0</v>
      </c>
      <c r="E299" s="2">
        <v>0.95</v>
      </c>
      <c r="F299" s="2">
        <v>0</v>
      </c>
      <c r="G299" s="2">
        <v>0</v>
      </c>
      <c r="H299" s="2">
        <v>0.03</v>
      </c>
      <c r="I299" s="2">
        <v>0.01</v>
      </c>
      <c r="J299" s="2">
        <v>0</v>
      </c>
      <c r="K299" s="2">
        <v>0</v>
      </c>
      <c r="L299" s="2">
        <v>0</v>
      </c>
      <c r="M299" s="2">
        <v>0.01</v>
      </c>
      <c r="N299" s="2">
        <v>0</v>
      </c>
    </row>
    <row r="300" spans="1:14">
      <c r="A300" s="2">
        <v>299</v>
      </c>
      <c r="B300" s="2" t="s">
        <v>58</v>
      </c>
      <c r="C300" s="2" t="s">
        <v>58</v>
      </c>
      <c r="D300" s="2">
        <v>0</v>
      </c>
      <c r="E300" s="2">
        <v>0</v>
      </c>
      <c r="F300" s="2">
        <v>0</v>
      </c>
      <c r="G300" s="2">
        <v>0.99</v>
      </c>
      <c r="H300" s="2">
        <v>0</v>
      </c>
      <c r="I300" s="2">
        <v>0</v>
      </c>
      <c r="J300" s="2">
        <v>0.01</v>
      </c>
      <c r="K300" s="2">
        <v>0</v>
      </c>
      <c r="L300" s="2">
        <v>0</v>
      </c>
      <c r="M300" s="2">
        <v>0</v>
      </c>
      <c r="N300" s="2">
        <v>0</v>
      </c>
    </row>
    <row r="301" spans="1:14">
      <c r="A301" s="2">
        <v>300</v>
      </c>
      <c r="B301" s="2" t="s">
        <v>43</v>
      </c>
      <c r="C301" s="2" t="s">
        <v>43</v>
      </c>
      <c r="D301" s="2">
        <v>0</v>
      </c>
      <c r="E301" s="2">
        <v>0.1</v>
      </c>
      <c r="F301" s="2">
        <v>0</v>
      </c>
      <c r="G301" s="2">
        <v>0</v>
      </c>
      <c r="H301" s="2">
        <v>0.04</v>
      </c>
      <c r="I301" s="2">
        <v>0.01</v>
      </c>
      <c r="J301" s="2">
        <v>0</v>
      </c>
      <c r="K301" s="2">
        <v>0</v>
      </c>
      <c r="L301" s="2">
        <v>0</v>
      </c>
      <c r="M301" s="2">
        <v>0.85</v>
      </c>
      <c r="N301" s="2">
        <v>0</v>
      </c>
    </row>
    <row r="302" spans="1:14">
      <c r="A302" s="2">
        <v>301</v>
      </c>
      <c r="B302" s="2" t="s">
        <v>35</v>
      </c>
      <c r="C302" s="2" t="s">
        <v>35</v>
      </c>
      <c r="D302" s="2">
        <v>0</v>
      </c>
      <c r="E302" s="2">
        <v>7.0000000000000007E-2</v>
      </c>
      <c r="F302" s="2">
        <v>0</v>
      </c>
      <c r="G302" s="2">
        <v>0</v>
      </c>
      <c r="H302" s="2">
        <v>0.7</v>
      </c>
      <c r="I302" s="2">
        <v>0</v>
      </c>
      <c r="J302" s="2">
        <v>0.16</v>
      </c>
      <c r="K302" s="2">
        <v>0</v>
      </c>
      <c r="L302" s="2">
        <v>0</v>
      </c>
      <c r="M302" s="2">
        <v>7.0000000000000007E-2</v>
      </c>
      <c r="N302" s="2">
        <v>0</v>
      </c>
    </row>
    <row r="303" spans="1:14">
      <c r="A303" s="2">
        <v>302</v>
      </c>
      <c r="B303" s="2" t="s">
        <v>20</v>
      </c>
      <c r="C303" s="2" t="s">
        <v>20</v>
      </c>
      <c r="D303" s="2">
        <v>0</v>
      </c>
      <c r="E303" s="2">
        <v>0.99</v>
      </c>
      <c r="F303" s="2">
        <v>0</v>
      </c>
      <c r="G303" s="2">
        <v>0</v>
      </c>
      <c r="H303" s="2">
        <v>0.01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</row>
    <row r="304" spans="1:14">
      <c r="A304" s="2">
        <v>303</v>
      </c>
      <c r="B304" s="2" t="s">
        <v>62</v>
      </c>
      <c r="C304" s="2" t="s">
        <v>62</v>
      </c>
      <c r="D304" s="2">
        <v>0</v>
      </c>
      <c r="E304" s="2">
        <v>0</v>
      </c>
      <c r="F304" s="2">
        <v>0.02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0.98</v>
      </c>
      <c r="M304" s="2">
        <v>0</v>
      </c>
      <c r="N304" s="2">
        <v>0</v>
      </c>
    </row>
    <row r="305" spans="1:14">
      <c r="A305" s="2">
        <v>304</v>
      </c>
      <c r="B305" s="2" t="s">
        <v>35</v>
      </c>
      <c r="C305" s="2" t="s">
        <v>35</v>
      </c>
      <c r="D305" s="2">
        <v>0.01</v>
      </c>
      <c r="E305" s="2">
        <v>0</v>
      </c>
      <c r="F305" s="2">
        <v>0</v>
      </c>
      <c r="G305" s="2">
        <v>0</v>
      </c>
      <c r="H305" s="2">
        <v>0.94</v>
      </c>
      <c r="I305" s="2">
        <v>0</v>
      </c>
      <c r="J305" s="2">
        <v>0.05</v>
      </c>
      <c r="K305" s="2">
        <v>0</v>
      </c>
      <c r="L305" s="2">
        <v>0</v>
      </c>
      <c r="M305" s="2">
        <v>0</v>
      </c>
      <c r="N305" s="2">
        <v>0</v>
      </c>
    </row>
    <row r="306" spans="1:14">
      <c r="A306" s="2">
        <v>305</v>
      </c>
      <c r="B306" s="2" t="s">
        <v>20</v>
      </c>
      <c r="C306" s="2" t="s">
        <v>20</v>
      </c>
      <c r="D306" s="2">
        <v>0</v>
      </c>
      <c r="E306" s="2">
        <v>1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</row>
    <row r="307" spans="1:14">
      <c r="A307" s="2">
        <v>306</v>
      </c>
      <c r="B307" s="2" t="s">
        <v>35</v>
      </c>
      <c r="C307" s="2" t="s">
        <v>35</v>
      </c>
      <c r="D307" s="2">
        <v>0</v>
      </c>
      <c r="E307" s="2">
        <v>0</v>
      </c>
      <c r="F307" s="2">
        <v>0</v>
      </c>
      <c r="G307" s="2">
        <v>0</v>
      </c>
      <c r="H307" s="2">
        <v>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</row>
    <row r="308" spans="1:14">
      <c r="A308" s="2">
        <v>307</v>
      </c>
      <c r="B308" s="2" t="s">
        <v>20</v>
      </c>
      <c r="C308" s="2" t="s">
        <v>20</v>
      </c>
      <c r="D308" s="2">
        <v>0</v>
      </c>
      <c r="E308" s="2">
        <v>1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</row>
    <row r="309" spans="1:14">
      <c r="A309" s="2">
        <v>308</v>
      </c>
      <c r="B309" s="2" t="s">
        <v>20</v>
      </c>
      <c r="C309" s="2" t="s">
        <v>20</v>
      </c>
      <c r="D309" s="2">
        <v>0</v>
      </c>
      <c r="E309" s="2">
        <v>0.68</v>
      </c>
      <c r="F309" s="2">
        <v>0</v>
      </c>
      <c r="G309" s="2">
        <v>0</v>
      </c>
      <c r="H309" s="2">
        <v>0.32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</row>
    <row r="310" spans="1:14">
      <c r="A310" s="2">
        <v>309</v>
      </c>
      <c r="B310" s="2" t="s">
        <v>25</v>
      </c>
      <c r="C310" s="2" t="s">
        <v>25</v>
      </c>
      <c r="D310" s="2">
        <v>0.77</v>
      </c>
      <c r="E310" s="2">
        <v>0</v>
      </c>
      <c r="F310" s="2">
        <v>0</v>
      </c>
      <c r="G310" s="2">
        <v>0.01</v>
      </c>
      <c r="H310" s="2">
        <v>0</v>
      </c>
      <c r="I310" s="2">
        <v>0</v>
      </c>
      <c r="J310" s="2">
        <v>0.22</v>
      </c>
      <c r="K310" s="2">
        <v>0</v>
      </c>
      <c r="L310" s="2">
        <v>0</v>
      </c>
      <c r="M310" s="2">
        <v>0</v>
      </c>
      <c r="N310" s="2">
        <v>0</v>
      </c>
    </row>
    <row r="311" spans="1:14">
      <c r="A311" s="2">
        <v>310</v>
      </c>
      <c r="B311" s="2" t="s">
        <v>20</v>
      </c>
      <c r="C311" s="2" t="s">
        <v>20</v>
      </c>
      <c r="D311" s="2">
        <v>0</v>
      </c>
      <c r="E311" s="2">
        <v>1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</row>
    <row r="312" spans="1:14">
      <c r="A312" s="2">
        <v>311</v>
      </c>
      <c r="B312" s="2" t="s">
        <v>58</v>
      </c>
      <c r="C312" s="2" t="s">
        <v>58</v>
      </c>
      <c r="D312" s="2">
        <v>0</v>
      </c>
      <c r="E312" s="2">
        <v>0</v>
      </c>
      <c r="F312" s="2">
        <v>0</v>
      </c>
      <c r="G312" s="2">
        <v>0.83</v>
      </c>
      <c r="H312" s="2">
        <v>0</v>
      </c>
      <c r="I312" s="2">
        <v>0</v>
      </c>
      <c r="J312" s="2">
        <v>0.08</v>
      </c>
      <c r="K312" s="2">
        <v>0</v>
      </c>
      <c r="L312" s="2">
        <v>0</v>
      </c>
      <c r="M312" s="2">
        <v>0.09</v>
      </c>
      <c r="N312" s="2">
        <v>0</v>
      </c>
    </row>
    <row r="313" spans="1:14">
      <c r="A313" s="2">
        <v>312</v>
      </c>
      <c r="B313" s="2" t="s">
        <v>35</v>
      </c>
      <c r="C313" s="2" t="s">
        <v>35</v>
      </c>
      <c r="D313" s="2">
        <v>0</v>
      </c>
      <c r="E313" s="2">
        <v>0</v>
      </c>
      <c r="F313" s="2">
        <v>0</v>
      </c>
      <c r="G313" s="2">
        <v>0</v>
      </c>
      <c r="H313" s="2">
        <v>0.97</v>
      </c>
      <c r="I313" s="2">
        <v>0</v>
      </c>
      <c r="J313" s="2">
        <v>0</v>
      </c>
      <c r="K313" s="2">
        <v>0</v>
      </c>
      <c r="L313" s="2">
        <v>0</v>
      </c>
      <c r="M313" s="2">
        <v>0.03</v>
      </c>
      <c r="N313" s="2">
        <v>0</v>
      </c>
    </row>
    <row r="314" spans="1:14">
      <c r="A314" s="2">
        <v>313</v>
      </c>
      <c r="B314" s="2" t="s">
        <v>62</v>
      </c>
      <c r="C314" s="2" t="s">
        <v>62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1</v>
      </c>
      <c r="M314" s="2">
        <v>0</v>
      </c>
      <c r="N314" s="2">
        <v>0</v>
      </c>
    </row>
    <row r="315" spans="1:14">
      <c r="A315" s="2">
        <v>314</v>
      </c>
      <c r="B315" s="2" t="s">
        <v>20</v>
      </c>
      <c r="C315" s="2" t="s">
        <v>20</v>
      </c>
      <c r="D315" s="2">
        <v>0</v>
      </c>
      <c r="E315" s="2">
        <v>1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</row>
    <row r="316" spans="1:14">
      <c r="A316" s="2">
        <v>315</v>
      </c>
      <c r="B316" s="2" t="s">
        <v>35</v>
      </c>
      <c r="C316" s="2" t="s">
        <v>35</v>
      </c>
      <c r="D316" s="2">
        <v>0</v>
      </c>
      <c r="E316" s="2">
        <v>0</v>
      </c>
      <c r="F316" s="2">
        <v>0</v>
      </c>
      <c r="G316" s="2">
        <v>0</v>
      </c>
      <c r="H316" s="2">
        <v>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</row>
    <row r="317" spans="1:14">
      <c r="A317" s="2">
        <v>316</v>
      </c>
      <c r="B317" s="2" t="s">
        <v>20</v>
      </c>
      <c r="C317" s="2" t="s">
        <v>20</v>
      </c>
      <c r="D317" s="2">
        <v>0</v>
      </c>
      <c r="E317" s="2">
        <v>1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</row>
    <row r="318" spans="1:14">
      <c r="A318" s="2">
        <v>317</v>
      </c>
      <c r="B318" s="2" t="s">
        <v>58</v>
      </c>
      <c r="C318" s="2" t="s">
        <v>58</v>
      </c>
      <c r="D318" s="2">
        <v>0</v>
      </c>
      <c r="E318" s="2">
        <v>0</v>
      </c>
      <c r="F318" s="2">
        <v>0</v>
      </c>
      <c r="G318" s="2">
        <v>0.99</v>
      </c>
      <c r="H318" s="2">
        <v>0</v>
      </c>
      <c r="I318" s="2">
        <v>0</v>
      </c>
      <c r="J318" s="2">
        <v>0.01</v>
      </c>
      <c r="K318" s="2">
        <v>0</v>
      </c>
      <c r="L318" s="2">
        <v>0</v>
      </c>
      <c r="M318" s="2">
        <v>0</v>
      </c>
      <c r="N318" s="2">
        <v>0</v>
      </c>
    </row>
    <row r="319" spans="1:14">
      <c r="A319" s="2">
        <v>318</v>
      </c>
      <c r="B319" s="2" t="s">
        <v>49</v>
      </c>
      <c r="C319" s="2" t="s">
        <v>49</v>
      </c>
      <c r="D319" s="2">
        <v>0</v>
      </c>
      <c r="E319" s="2">
        <v>0</v>
      </c>
      <c r="F319" s="2">
        <v>0</v>
      </c>
      <c r="G319" s="2">
        <v>0.13</v>
      </c>
      <c r="H319" s="2">
        <v>0.05</v>
      </c>
      <c r="I319" s="2">
        <v>0</v>
      </c>
      <c r="J319" s="2">
        <v>0.77</v>
      </c>
      <c r="K319" s="2">
        <v>0</v>
      </c>
      <c r="L319" s="2">
        <v>0</v>
      </c>
      <c r="M319" s="2">
        <v>0.01</v>
      </c>
      <c r="N319" s="2">
        <v>0.04</v>
      </c>
    </row>
    <row r="320" spans="1:14">
      <c r="A320" s="2">
        <v>319</v>
      </c>
      <c r="B320" s="2" t="s">
        <v>49</v>
      </c>
      <c r="C320" s="2" t="s">
        <v>49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0.99</v>
      </c>
      <c r="K320" s="2">
        <v>0</v>
      </c>
      <c r="L320" s="2">
        <v>0</v>
      </c>
      <c r="M320" s="2">
        <v>0.01</v>
      </c>
      <c r="N320" s="2">
        <v>0</v>
      </c>
    </row>
    <row r="321" spans="1:14">
      <c r="A321" s="2">
        <v>320</v>
      </c>
      <c r="B321" s="2" t="s">
        <v>20</v>
      </c>
      <c r="C321" s="2" t="s">
        <v>20</v>
      </c>
      <c r="D321" s="2">
        <v>0</v>
      </c>
      <c r="E321" s="2">
        <v>1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</row>
    <row r="322" spans="1:14">
      <c r="A322" s="2">
        <v>321</v>
      </c>
      <c r="B322" s="2" t="s">
        <v>49</v>
      </c>
      <c r="C322" s="2" t="s">
        <v>49</v>
      </c>
      <c r="D322" s="2">
        <v>0.02</v>
      </c>
      <c r="E322" s="2">
        <v>0</v>
      </c>
      <c r="F322" s="2">
        <v>0</v>
      </c>
      <c r="G322" s="2">
        <v>0</v>
      </c>
      <c r="H322" s="2">
        <v>0.23</v>
      </c>
      <c r="I322" s="2">
        <v>0</v>
      </c>
      <c r="J322" s="2">
        <v>0.74</v>
      </c>
      <c r="K322" s="2">
        <v>0</v>
      </c>
      <c r="L322" s="2">
        <v>0</v>
      </c>
      <c r="M322" s="2">
        <v>0</v>
      </c>
      <c r="N322" s="2">
        <v>0.01</v>
      </c>
    </row>
    <row r="323" spans="1:14">
      <c r="A323" s="2">
        <v>322</v>
      </c>
      <c r="B323" s="2" t="s">
        <v>20</v>
      </c>
      <c r="C323" s="2" t="s">
        <v>20</v>
      </c>
      <c r="D323" s="2">
        <v>0</v>
      </c>
      <c r="E323" s="2">
        <v>1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</row>
    <row r="324" spans="1:14">
      <c r="A324" s="2">
        <v>323</v>
      </c>
      <c r="B324" s="2" t="s">
        <v>20</v>
      </c>
      <c r="C324" s="2" t="s">
        <v>20</v>
      </c>
      <c r="D324" s="2">
        <v>0</v>
      </c>
      <c r="E324" s="2">
        <v>0.71</v>
      </c>
      <c r="F324" s="2">
        <v>0</v>
      </c>
      <c r="G324" s="2">
        <v>0</v>
      </c>
      <c r="H324" s="2">
        <v>0.24</v>
      </c>
      <c r="I324" s="2">
        <v>0</v>
      </c>
      <c r="J324" s="2">
        <v>0.05</v>
      </c>
      <c r="K324" s="2">
        <v>0</v>
      </c>
      <c r="L324" s="2">
        <v>0</v>
      </c>
      <c r="M324" s="2">
        <v>0</v>
      </c>
      <c r="N324" s="2">
        <v>0</v>
      </c>
    </row>
    <row r="325" spans="1:14">
      <c r="A325" s="2">
        <v>324</v>
      </c>
      <c r="B325" s="2" t="s">
        <v>35</v>
      </c>
      <c r="C325" s="2" t="s">
        <v>35</v>
      </c>
      <c r="D325" s="2">
        <v>0.03</v>
      </c>
      <c r="E325" s="2">
        <v>0.01</v>
      </c>
      <c r="F325" s="2">
        <v>0</v>
      </c>
      <c r="G325" s="2">
        <v>0</v>
      </c>
      <c r="H325" s="2">
        <v>0.8</v>
      </c>
      <c r="I325" s="2">
        <v>0</v>
      </c>
      <c r="J325" s="2">
        <v>0</v>
      </c>
      <c r="K325" s="2">
        <v>0</v>
      </c>
      <c r="L325" s="2">
        <v>0</v>
      </c>
      <c r="M325" s="2">
        <v>0.15</v>
      </c>
      <c r="N325" s="2">
        <v>0.01</v>
      </c>
    </row>
    <row r="326" spans="1:14">
      <c r="A326" s="2">
        <v>325</v>
      </c>
      <c r="B326" s="2" t="s">
        <v>35</v>
      </c>
      <c r="C326" s="2" t="s">
        <v>35</v>
      </c>
      <c r="D326" s="2">
        <v>0</v>
      </c>
      <c r="E326" s="2">
        <v>0</v>
      </c>
      <c r="F326" s="2">
        <v>0</v>
      </c>
      <c r="G326" s="2">
        <v>0</v>
      </c>
      <c r="H326" s="2">
        <v>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</row>
    <row r="327" spans="1:14">
      <c r="A327" s="2">
        <v>326</v>
      </c>
      <c r="B327" s="2" t="s">
        <v>20</v>
      </c>
      <c r="C327" s="2" t="s">
        <v>20</v>
      </c>
      <c r="D327" s="2">
        <v>0</v>
      </c>
      <c r="E327" s="2">
        <v>1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</row>
    <row r="328" spans="1:14">
      <c r="A328" s="2">
        <v>327</v>
      </c>
      <c r="B328" s="2" t="s">
        <v>25</v>
      </c>
      <c r="C328" s="2" t="s">
        <v>25</v>
      </c>
      <c r="D328" s="2">
        <v>0.79</v>
      </c>
      <c r="E328" s="2">
        <v>0.08</v>
      </c>
      <c r="F328" s="2">
        <v>0.05</v>
      </c>
      <c r="G328" s="2">
        <v>0</v>
      </c>
      <c r="H328" s="2">
        <v>0.04</v>
      </c>
      <c r="I328" s="2">
        <v>0</v>
      </c>
      <c r="J328" s="2">
        <v>0</v>
      </c>
      <c r="K328" s="2">
        <v>0.03</v>
      </c>
      <c r="L328" s="2">
        <v>0</v>
      </c>
      <c r="M328" s="2">
        <v>0.01</v>
      </c>
      <c r="N328" s="2">
        <v>0</v>
      </c>
    </row>
    <row r="329" spans="1:14">
      <c r="A329" s="2">
        <v>328</v>
      </c>
      <c r="B329" s="2" t="s">
        <v>20</v>
      </c>
      <c r="C329" s="2" t="s">
        <v>20</v>
      </c>
      <c r="D329" s="2">
        <v>0</v>
      </c>
      <c r="E329" s="2">
        <v>1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</row>
    <row r="330" spans="1:14">
      <c r="A330" s="2">
        <v>329</v>
      </c>
      <c r="B330" s="2" t="s">
        <v>43</v>
      </c>
      <c r="C330" s="2" t="s">
        <v>43</v>
      </c>
      <c r="D330" s="2">
        <v>0.01</v>
      </c>
      <c r="E330" s="2">
        <v>0.06</v>
      </c>
      <c r="F330" s="2">
        <v>0</v>
      </c>
      <c r="G330" s="2">
        <v>0</v>
      </c>
      <c r="H330" s="2">
        <v>0.04</v>
      </c>
      <c r="I330" s="2">
        <v>0</v>
      </c>
      <c r="J330" s="2">
        <v>0.19</v>
      </c>
      <c r="K330" s="2">
        <v>0</v>
      </c>
      <c r="L330" s="2">
        <v>0</v>
      </c>
      <c r="M330" s="2">
        <v>0.7</v>
      </c>
      <c r="N330" s="2">
        <v>0</v>
      </c>
    </row>
    <row r="331" spans="1:14">
      <c r="A331" s="2">
        <v>330</v>
      </c>
      <c r="B331" s="2" t="s">
        <v>49</v>
      </c>
      <c r="C331" s="2" t="s">
        <v>49</v>
      </c>
      <c r="D331" s="2">
        <v>0</v>
      </c>
      <c r="E331" s="2">
        <v>0</v>
      </c>
      <c r="F331" s="2">
        <v>0.01</v>
      </c>
      <c r="G331" s="2">
        <v>0</v>
      </c>
      <c r="H331" s="2">
        <v>0.08</v>
      </c>
      <c r="I331" s="2">
        <v>0</v>
      </c>
      <c r="J331" s="2">
        <v>0.91</v>
      </c>
      <c r="K331" s="2">
        <v>0</v>
      </c>
      <c r="L331" s="2">
        <v>0</v>
      </c>
      <c r="M331" s="2">
        <v>0</v>
      </c>
      <c r="N331" s="2">
        <v>0</v>
      </c>
    </row>
    <row r="332" spans="1:14">
      <c r="A332" s="2">
        <v>331</v>
      </c>
      <c r="B332" s="2" t="s">
        <v>49</v>
      </c>
      <c r="C332" s="2" t="s">
        <v>49</v>
      </c>
      <c r="D332" s="2">
        <v>0.08</v>
      </c>
      <c r="E332" s="2">
        <v>0.01</v>
      </c>
      <c r="F332" s="2">
        <v>0</v>
      </c>
      <c r="G332" s="2">
        <v>0</v>
      </c>
      <c r="H332" s="2">
        <v>0.04</v>
      </c>
      <c r="I332" s="2">
        <v>0</v>
      </c>
      <c r="J332" s="2">
        <v>0.64</v>
      </c>
      <c r="K332" s="2">
        <v>0</v>
      </c>
      <c r="L332" s="2">
        <v>0</v>
      </c>
      <c r="M332" s="2">
        <v>7.0000000000000007E-2</v>
      </c>
      <c r="N332" s="2">
        <v>0.16</v>
      </c>
    </row>
    <row r="333" spans="1:14">
      <c r="A333" s="2">
        <v>332</v>
      </c>
      <c r="B333" s="2" t="s">
        <v>20</v>
      </c>
      <c r="C333" s="2" t="s">
        <v>20</v>
      </c>
      <c r="D333" s="2">
        <v>0</v>
      </c>
      <c r="E333" s="2">
        <v>1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</row>
    <row r="334" spans="1:14">
      <c r="A334" s="2">
        <v>333</v>
      </c>
      <c r="B334" s="2" t="s">
        <v>20</v>
      </c>
      <c r="C334" s="2" t="s">
        <v>20</v>
      </c>
      <c r="D334" s="2">
        <v>0</v>
      </c>
      <c r="E334" s="2">
        <v>1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</row>
    <row r="335" spans="1:14">
      <c r="A335" s="2">
        <v>334</v>
      </c>
      <c r="B335" s="2" t="s">
        <v>49</v>
      </c>
      <c r="C335" s="2" t="s">
        <v>49</v>
      </c>
      <c r="D335" s="2">
        <v>0.03</v>
      </c>
      <c r="E335" s="2">
        <v>0</v>
      </c>
      <c r="F335" s="2">
        <v>0</v>
      </c>
      <c r="G335" s="2">
        <v>0</v>
      </c>
      <c r="H335" s="2">
        <v>0.24</v>
      </c>
      <c r="I335" s="2">
        <v>0</v>
      </c>
      <c r="J335" s="2">
        <v>0.61</v>
      </c>
      <c r="K335" s="2">
        <v>0</v>
      </c>
      <c r="L335" s="2">
        <v>0</v>
      </c>
      <c r="M335" s="2">
        <v>0.12</v>
      </c>
      <c r="N335" s="2">
        <v>0</v>
      </c>
    </row>
    <row r="336" spans="1:14">
      <c r="A336" s="2">
        <v>335</v>
      </c>
      <c r="B336" s="2" t="s">
        <v>49</v>
      </c>
      <c r="C336" s="2" t="s">
        <v>49</v>
      </c>
      <c r="D336" s="2">
        <v>0</v>
      </c>
      <c r="E336" s="2">
        <v>0.02</v>
      </c>
      <c r="F336" s="2">
        <v>0</v>
      </c>
      <c r="G336" s="2">
        <v>0</v>
      </c>
      <c r="H336" s="2">
        <v>0.05</v>
      </c>
      <c r="I336" s="2">
        <v>0</v>
      </c>
      <c r="J336" s="2">
        <v>0.91</v>
      </c>
      <c r="K336" s="2">
        <v>0</v>
      </c>
      <c r="L336" s="2">
        <v>0</v>
      </c>
      <c r="M336" s="2">
        <v>0.02</v>
      </c>
      <c r="N336" s="2">
        <v>0</v>
      </c>
    </row>
    <row r="337" spans="1:14">
      <c r="A337" s="2">
        <v>336</v>
      </c>
      <c r="B337" s="2" t="s">
        <v>20</v>
      </c>
      <c r="C337" s="2" t="s">
        <v>20</v>
      </c>
      <c r="D337" s="2">
        <v>0</v>
      </c>
      <c r="E337" s="2">
        <v>0.99</v>
      </c>
      <c r="F337" s="2">
        <v>0</v>
      </c>
      <c r="G337" s="2">
        <v>0</v>
      </c>
      <c r="H337" s="2">
        <v>0.01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</row>
    <row r="338" spans="1:14">
      <c r="A338" s="2">
        <v>337</v>
      </c>
      <c r="B338" s="2" t="s">
        <v>62</v>
      </c>
      <c r="C338" s="2" t="s">
        <v>62</v>
      </c>
      <c r="D338" s="2">
        <v>0</v>
      </c>
      <c r="E338" s="2">
        <v>0.01</v>
      </c>
      <c r="F338" s="2">
        <v>0.02</v>
      </c>
      <c r="G338" s="2">
        <v>0</v>
      </c>
      <c r="H338" s="2">
        <v>0.01</v>
      </c>
      <c r="I338" s="2">
        <v>0</v>
      </c>
      <c r="J338" s="2">
        <v>0</v>
      </c>
      <c r="K338" s="2">
        <v>0</v>
      </c>
      <c r="L338" s="2">
        <v>0.96</v>
      </c>
      <c r="M338" s="2">
        <v>0</v>
      </c>
      <c r="N338" s="2">
        <v>0</v>
      </c>
    </row>
    <row r="339" spans="1:14">
      <c r="A339" s="2">
        <v>338</v>
      </c>
      <c r="B339" s="2" t="s">
        <v>43</v>
      </c>
      <c r="C339" s="2" t="s">
        <v>43</v>
      </c>
      <c r="D339" s="2">
        <v>0.02</v>
      </c>
      <c r="E339" s="2">
        <v>0.02</v>
      </c>
      <c r="F339" s="2">
        <v>0</v>
      </c>
      <c r="G339" s="2">
        <v>0</v>
      </c>
      <c r="H339" s="2">
        <v>0.19</v>
      </c>
      <c r="I339" s="2">
        <v>0</v>
      </c>
      <c r="J339" s="2">
        <v>0.12</v>
      </c>
      <c r="K339" s="2">
        <v>0</v>
      </c>
      <c r="L339" s="2">
        <v>0</v>
      </c>
      <c r="M339" s="2">
        <v>0.65</v>
      </c>
      <c r="N339" s="2">
        <v>0</v>
      </c>
    </row>
    <row r="340" spans="1:14">
      <c r="A340" s="2">
        <v>339</v>
      </c>
      <c r="B340" s="2" t="s">
        <v>49</v>
      </c>
      <c r="C340" s="2" t="s">
        <v>49</v>
      </c>
      <c r="D340" s="2">
        <v>0</v>
      </c>
      <c r="E340" s="2">
        <v>0</v>
      </c>
      <c r="F340" s="2">
        <v>0</v>
      </c>
      <c r="G340" s="2">
        <v>0</v>
      </c>
      <c r="H340" s="2">
        <v>0</v>
      </c>
      <c r="I340" s="2">
        <v>0</v>
      </c>
      <c r="J340" s="2">
        <v>1</v>
      </c>
      <c r="K340" s="2">
        <v>0</v>
      </c>
      <c r="L340" s="2">
        <v>0</v>
      </c>
      <c r="M340" s="2">
        <v>0</v>
      </c>
      <c r="N340" s="2">
        <v>0</v>
      </c>
    </row>
    <row r="341" spans="1:14">
      <c r="A341" s="2">
        <v>340</v>
      </c>
      <c r="B341" s="2" t="s">
        <v>35</v>
      </c>
      <c r="C341" s="2" t="s">
        <v>35</v>
      </c>
      <c r="D341" s="2">
        <v>0</v>
      </c>
      <c r="E341" s="2">
        <v>0</v>
      </c>
      <c r="F341" s="2">
        <v>0</v>
      </c>
      <c r="G341" s="2">
        <v>0</v>
      </c>
      <c r="H341" s="2">
        <v>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</row>
    <row r="342" spans="1:14">
      <c r="A342" s="2">
        <v>341</v>
      </c>
      <c r="B342" s="2" t="s">
        <v>20</v>
      </c>
      <c r="C342" s="2" t="s">
        <v>20</v>
      </c>
      <c r="D342" s="2">
        <v>0</v>
      </c>
      <c r="E342" s="2">
        <v>1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</row>
    <row r="343" spans="1:14">
      <c r="A343" s="2">
        <v>342</v>
      </c>
      <c r="B343" s="2" t="s">
        <v>20</v>
      </c>
      <c r="C343" s="2" t="s">
        <v>20</v>
      </c>
      <c r="D343" s="2">
        <v>0</v>
      </c>
      <c r="E343" s="2">
        <v>0.65</v>
      </c>
      <c r="F343" s="2">
        <v>0</v>
      </c>
      <c r="G343" s="2">
        <v>0</v>
      </c>
      <c r="H343" s="2">
        <v>0.22</v>
      </c>
      <c r="I343" s="2">
        <v>0</v>
      </c>
      <c r="J343" s="2">
        <v>0.13</v>
      </c>
      <c r="K343" s="2">
        <v>0</v>
      </c>
      <c r="L343" s="2">
        <v>0</v>
      </c>
      <c r="M343" s="2">
        <v>0</v>
      </c>
      <c r="N343" s="2">
        <v>0</v>
      </c>
    </row>
    <row r="344" spans="1:14">
      <c r="A344" s="2">
        <v>343</v>
      </c>
      <c r="B344" s="2" t="s">
        <v>20</v>
      </c>
      <c r="C344" s="2" t="s">
        <v>20</v>
      </c>
      <c r="D344" s="2">
        <v>0</v>
      </c>
      <c r="E344" s="2">
        <v>1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</row>
    <row r="345" spans="1:14">
      <c r="A345" s="2">
        <v>344</v>
      </c>
      <c r="B345" s="2" t="s">
        <v>35</v>
      </c>
      <c r="C345" s="2" t="s">
        <v>35</v>
      </c>
      <c r="D345" s="2">
        <v>0</v>
      </c>
      <c r="E345" s="2">
        <v>0</v>
      </c>
      <c r="F345" s="2">
        <v>0</v>
      </c>
      <c r="G345" s="2">
        <v>0</v>
      </c>
      <c r="H345" s="2">
        <v>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</row>
    <row r="346" spans="1:14">
      <c r="A346" s="2">
        <v>345</v>
      </c>
      <c r="B346" s="2" t="s">
        <v>20</v>
      </c>
      <c r="C346" s="2" t="s">
        <v>20</v>
      </c>
      <c r="D346" s="2">
        <v>0.01</v>
      </c>
      <c r="E346" s="2">
        <v>0.99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</row>
    <row r="347" spans="1:14">
      <c r="A347" s="2">
        <v>346</v>
      </c>
      <c r="B347" s="2" t="s">
        <v>35</v>
      </c>
      <c r="C347" s="2" t="s">
        <v>35</v>
      </c>
      <c r="D347" s="2">
        <v>0.04</v>
      </c>
      <c r="E347" s="2">
        <v>0.02</v>
      </c>
      <c r="F347" s="2">
        <v>0</v>
      </c>
      <c r="G347" s="2">
        <v>0</v>
      </c>
      <c r="H347" s="2">
        <v>0.93</v>
      </c>
      <c r="I347" s="2">
        <v>0</v>
      </c>
      <c r="J347" s="2">
        <v>0</v>
      </c>
      <c r="K347" s="2">
        <v>0</v>
      </c>
      <c r="L347" s="2">
        <v>0.01</v>
      </c>
      <c r="M347" s="2">
        <v>0</v>
      </c>
      <c r="N347" s="2">
        <v>0</v>
      </c>
    </row>
    <row r="348" spans="1:14">
      <c r="A348" s="2">
        <v>347</v>
      </c>
      <c r="B348" s="2" t="s">
        <v>58</v>
      </c>
      <c r="C348" s="2" t="s">
        <v>58</v>
      </c>
      <c r="D348" s="2">
        <v>0</v>
      </c>
      <c r="E348" s="2">
        <v>0</v>
      </c>
      <c r="F348" s="2">
        <v>0</v>
      </c>
      <c r="G348" s="2">
        <v>1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</row>
    <row r="349" spans="1:14">
      <c r="A349" s="2">
        <v>348</v>
      </c>
      <c r="B349" s="2" t="s">
        <v>35</v>
      </c>
      <c r="C349" s="2" t="s">
        <v>35</v>
      </c>
      <c r="D349" s="2">
        <v>0.06</v>
      </c>
      <c r="E349" s="2">
        <v>0.01</v>
      </c>
      <c r="F349" s="2">
        <v>0</v>
      </c>
      <c r="G349" s="2">
        <v>0</v>
      </c>
      <c r="H349" s="2">
        <v>0.78</v>
      </c>
      <c r="I349" s="2">
        <v>0</v>
      </c>
      <c r="J349" s="2">
        <v>0.04</v>
      </c>
      <c r="K349" s="2">
        <v>0</v>
      </c>
      <c r="L349" s="2">
        <v>0</v>
      </c>
      <c r="M349" s="2">
        <v>0.1</v>
      </c>
      <c r="N349" s="2">
        <v>0.01</v>
      </c>
    </row>
    <row r="350" spans="1:14">
      <c r="A350" s="2">
        <v>349</v>
      </c>
      <c r="B350" s="2" t="s">
        <v>20</v>
      </c>
      <c r="C350" s="2" t="s">
        <v>20</v>
      </c>
      <c r="D350" s="2">
        <v>0</v>
      </c>
      <c r="E350" s="2">
        <v>1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</row>
    <row r="351" spans="1:14">
      <c r="A351" s="2">
        <v>350</v>
      </c>
      <c r="B351" s="2" t="s">
        <v>35</v>
      </c>
      <c r="C351" s="2" t="s">
        <v>35</v>
      </c>
      <c r="D351" s="2">
        <v>0</v>
      </c>
      <c r="E351" s="2">
        <v>0</v>
      </c>
      <c r="F351" s="2">
        <v>0</v>
      </c>
      <c r="G351" s="2">
        <v>0</v>
      </c>
      <c r="H351" s="2">
        <v>0.72</v>
      </c>
      <c r="I351" s="2">
        <v>0.25</v>
      </c>
      <c r="J351" s="2">
        <v>0.03</v>
      </c>
      <c r="K351" s="2">
        <v>0</v>
      </c>
      <c r="L351" s="2">
        <v>0</v>
      </c>
      <c r="M351" s="2">
        <v>0</v>
      </c>
      <c r="N351" s="2">
        <v>0</v>
      </c>
    </row>
    <row r="352" spans="1:14">
      <c r="A352" s="2">
        <v>351</v>
      </c>
      <c r="B352" s="2" t="s">
        <v>35</v>
      </c>
      <c r="C352" s="2" t="s">
        <v>35</v>
      </c>
      <c r="D352" s="2">
        <v>0</v>
      </c>
      <c r="E352" s="2">
        <v>0</v>
      </c>
      <c r="F352" s="2">
        <v>0</v>
      </c>
      <c r="G352" s="2">
        <v>0</v>
      </c>
      <c r="H352" s="2">
        <v>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</row>
    <row r="353" spans="1:14">
      <c r="A353" s="2">
        <v>352</v>
      </c>
      <c r="B353" s="2" t="s">
        <v>20</v>
      </c>
      <c r="C353" s="2" t="s">
        <v>20</v>
      </c>
      <c r="D353" s="2">
        <v>0</v>
      </c>
      <c r="E353" s="2">
        <v>1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</row>
    <row r="354" spans="1:14">
      <c r="A354" s="2">
        <v>353</v>
      </c>
      <c r="B354" s="2" t="s">
        <v>43</v>
      </c>
      <c r="C354" s="2" t="s">
        <v>43</v>
      </c>
      <c r="D354" s="2">
        <v>0</v>
      </c>
      <c r="E354" s="2">
        <v>0.01</v>
      </c>
      <c r="F354" s="2">
        <v>0</v>
      </c>
      <c r="G354" s="2">
        <v>0</v>
      </c>
      <c r="H354" s="2">
        <v>0.02</v>
      </c>
      <c r="I354" s="2">
        <v>0</v>
      </c>
      <c r="J354" s="2">
        <v>0.01</v>
      </c>
      <c r="K354" s="2">
        <v>0</v>
      </c>
      <c r="L354" s="2">
        <v>0</v>
      </c>
      <c r="M354" s="2">
        <v>0.96</v>
      </c>
      <c r="N354" s="2">
        <v>0</v>
      </c>
    </row>
    <row r="355" spans="1:14">
      <c r="A355" s="2">
        <v>354</v>
      </c>
      <c r="B355" s="2" t="s">
        <v>20</v>
      </c>
      <c r="C355" s="2" t="s">
        <v>20</v>
      </c>
      <c r="D355" s="2">
        <v>0</v>
      </c>
      <c r="E355" s="2">
        <v>1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activeCell="Q32" sqref="Q32"/>
    </sheetView>
  </sheetViews>
  <sheetFormatPr baseColWidth="10" defaultRowHeight="16"/>
  <sheetData>
    <row r="1" spans="1:26">
      <c r="A1" s="2" t="s">
        <v>413</v>
      </c>
      <c r="B1" s="2" t="s">
        <v>10</v>
      </c>
      <c r="C1" s="2" t="s">
        <v>416</v>
      </c>
      <c r="D1" s="2" t="s">
        <v>88</v>
      </c>
      <c r="E1" s="2" t="s">
        <v>121</v>
      </c>
      <c r="F1" s="2" t="s">
        <v>26</v>
      </c>
      <c r="G1" s="2" t="s">
        <v>36</v>
      </c>
      <c r="H1" s="2" t="s">
        <v>161</v>
      </c>
      <c r="I1" s="2" t="s">
        <v>53</v>
      </c>
      <c r="J1" s="2" t="s">
        <v>409</v>
      </c>
      <c r="K1" s="2" t="s">
        <v>410</v>
      </c>
      <c r="L1" s="2" t="s">
        <v>21</v>
      </c>
      <c r="M1" s="2" t="s">
        <v>97</v>
      </c>
      <c r="N1" s="2" t="s">
        <v>111</v>
      </c>
      <c r="O1" s="2" t="s">
        <v>63</v>
      </c>
      <c r="P1" s="2" t="s">
        <v>178</v>
      </c>
      <c r="Q1" s="2" t="s">
        <v>50</v>
      </c>
      <c r="R1" s="2" t="s">
        <v>148</v>
      </c>
      <c r="S1" s="2" t="s">
        <v>194</v>
      </c>
      <c r="T1" s="2" t="s">
        <v>59</v>
      </c>
      <c r="U1" s="2" t="s">
        <v>29</v>
      </c>
      <c r="V1" s="2" t="s">
        <v>44</v>
      </c>
      <c r="W1" s="2" t="s">
        <v>133</v>
      </c>
      <c r="X1" s="2" t="s">
        <v>235</v>
      </c>
      <c r="Y1" s="2" t="s">
        <v>32</v>
      </c>
      <c r="Z1" s="2" t="s">
        <v>69</v>
      </c>
    </row>
    <row r="2" spans="1:26">
      <c r="A2" s="2">
        <v>1</v>
      </c>
      <c r="B2" s="2" t="s">
        <v>21</v>
      </c>
      <c r="C2" s="2" t="s">
        <v>21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</v>
      </c>
      <c r="J2" s="2">
        <v>0</v>
      </c>
      <c r="K2" s="2">
        <v>0</v>
      </c>
      <c r="L2" s="2">
        <v>0.89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0.01</v>
      </c>
    </row>
    <row r="3" spans="1:26">
      <c r="A3" s="2">
        <v>2</v>
      </c>
      <c r="B3" s="2" t="s">
        <v>26</v>
      </c>
      <c r="C3" s="2" t="s">
        <v>26</v>
      </c>
      <c r="D3" s="2">
        <v>0</v>
      </c>
      <c r="E3" s="2">
        <v>0</v>
      </c>
      <c r="F3" s="2">
        <v>0.89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0.11</v>
      </c>
      <c r="V3" s="2">
        <v>0</v>
      </c>
      <c r="W3" s="2">
        <v>0</v>
      </c>
      <c r="X3" s="2">
        <v>0</v>
      </c>
      <c r="Y3" s="2">
        <v>0</v>
      </c>
      <c r="Z3" s="2">
        <v>0</v>
      </c>
    </row>
    <row r="4" spans="1:26">
      <c r="A4" s="2">
        <v>3</v>
      </c>
      <c r="B4" s="2" t="s">
        <v>29</v>
      </c>
      <c r="C4" s="2" t="s">
        <v>29</v>
      </c>
      <c r="D4" s="2">
        <v>0</v>
      </c>
      <c r="E4" s="2">
        <v>0</v>
      </c>
      <c r="F4" s="2">
        <v>0.15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0.85</v>
      </c>
      <c r="V4" s="2">
        <v>0</v>
      </c>
      <c r="W4" s="2">
        <v>0</v>
      </c>
      <c r="X4" s="2">
        <v>0</v>
      </c>
      <c r="Y4" s="2">
        <v>0</v>
      </c>
      <c r="Z4" s="2">
        <v>0</v>
      </c>
    </row>
    <row r="5" spans="1:26">
      <c r="A5" s="2">
        <v>4</v>
      </c>
      <c r="B5" s="2" t="s">
        <v>32</v>
      </c>
      <c r="C5" s="2" t="s">
        <v>32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1</v>
      </c>
      <c r="Z5" s="2">
        <v>0</v>
      </c>
    </row>
    <row r="6" spans="1:26">
      <c r="A6" s="2">
        <v>5</v>
      </c>
      <c r="B6" s="2" t="s">
        <v>36</v>
      </c>
      <c r="C6" s="2" t="s">
        <v>36</v>
      </c>
      <c r="D6" s="2">
        <v>0</v>
      </c>
      <c r="E6" s="2">
        <v>0</v>
      </c>
      <c r="F6" s="2">
        <v>0</v>
      </c>
      <c r="G6" s="2">
        <v>0.97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0.03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</row>
    <row r="7" spans="1:26">
      <c r="A7" s="2">
        <v>6</v>
      </c>
      <c r="B7" s="2" t="s">
        <v>36</v>
      </c>
      <c r="C7" s="2" t="s">
        <v>36</v>
      </c>
      <c r="D7" s="2">
        <v>0</v>
      </c>
      <c r="E7" s="2">
        <v>0</v>
      </c>
      <c r="F7" s="2">
        <v>0</v>
      </c>
      <c r="G7" s="2">
        <v>1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</row>
    <row r="8" spans="1:26">
      <c r="A8" s="2">
        <v>7</v>
      </c>
      <c r="B8" s="2" t="s">
        <v>21</v>
      </c>
      <c r="C8" s="2" t="s">
        <v>21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</row>
    <row r="9" spans="1:26">
      <c r="A9" s="2">
        <v>8</v>
      </c>
      <c r="B9" s="2" t="s">
        <v>36</v>
      </c>
      <c r="C9" s="2" t="s">
        <v>36</v>
      </c>
      <c r="D9" s="2">
        <v>0</v>
      </c>
      <c r="E9" s="2">
        <v>0</v>
      </c>
      <c r="F9" s="2">
        <v>0</v>
      </c>
      <c r="G9" s="2">
        <v>0.93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7.0000000000000007E-2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</row>
    <row r="10" spans="1:26">
      <c r="A10" s="2">
        <v>9</v>
      </c>
      <c r="B10" s="2" t="s">
        <v>44</v>
      </c>
      <c r="C10" s="2" t="s">
        <v>44</v>
      </c>
      <c r="D10" s="2">
        <v>0</v>
      </c>
      <c r="E10" s="2">
        <v>0</v>
      </c>
      <c r="F10" s="2">
        <v>0</v>
      </c>
      <c r="G10" s="2">
        <v>0</v>
      </c>
      <c r="H10" s="2">
        <v>0.03</v>
      </c>
      <c r="I10" s="2">
        <v>0</v>
      </c>
      <c r="J10" s="2">
        <v>0</v>
      </c>
      <c r="K10" s="2">
        <v>0</v>
      </c>
      <c r="L10" s="2">
        <v>0</v>
      </c>
      <c r="M10" s="2">
        <v>0.04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0.92</v>
      </c>
      <c r="W10" s="2">
        <v>0.01</v>
      </c>
      <c r="X10" s="2">
        <v>0</v>
      </c>
      <c r="Y10" s="2">
        <v>0</v>
      </c>
      <c r="Z10" s="2">
        <v>0</v>
      </c>
    </row>
    <row r="11" spans="1:26">
      <c r="A11" s="2">
        <v>10</v>
      </c>
      <c r="B11" s="2" t="s">
        <v>36</v>
      </c>
      <c r="C11" s="2" t="s">
        <v>36</v>
      </c>
      <c r="D11" s="2">
        <v>0</v>
      </c>
      <c r="E11" s="2">
        <v>0</v>
      </c>
      <c r="F11" s="2">
        <v>0</v>
      </c>
      <c r="G11" s="2">
        <v>1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6">
      <c r="A12" s="2">
        <v>11</v>
      </c>
      <c r="B12" s="2" t="s">
        <v>21</v>
      </c>
      <c r="C12" s="2" t="s">
        <v>21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1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</row>
    <row r="13" spans="1:26">
      <c r="A13" s="2">
        <v>12</v>
      </c>
      <c r="B13" s="2" t="s">
        <v>50</v>
      </c>
      <c r="C13" s="2" t="s">
        <v>50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1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</row>
    <row r="14" spans="1:26">
      <c r="A14" s="2">
        <v>13</v>
      </c>
      <c r="B14" s="2" t="s">
        <v>53</v>
      </c>
      <c r="C14" s="2" t="s">
        <v>53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0.97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0.03</v>
      </c>
    </row>
    <row r="15" spans="1:26">
      <c r="A15" s="2">
        <v>14</v>
      </c>
      <c r="B15" s="2" t="s">
        <v>36</v>
      </c>
      <c r="C15" s="2" t="s">
        <v>36</v>
      </c>
      <c r="D15" s="2">
        <v>0</v>
      </c>
      <c r="E15" s="2">
        <v>0</v>
      </c>
      <c r="F15" s="2">
        <v>0</v>
      </c>
      <c r="G15" s="2">
        <v>1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</row>
    <row r="16" spans="1:26">
      <c r="A16" s="2">
        <v>15</v>
      </c>
      <c r="B16" s="2" t="s">
        <v>53</v>
      </c>
      <c r="C16" s="2" t="s">
        <v>53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0.91</v>
      </c>
      <c r="J16" s="2">
        <v>0.08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0.01</v>
      </c>
    </row>
    <row r="17" spans="1:26">
      <c r="A17" s="2">
        <v>16</v>
      </c>
      <c r="B17" s="2" t="s">
        <v>59</v>
      </c>
      <c r="C17" s="2" t="s">
        <v>59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0.98</v>
      </c>
      <c r="U17" s="2">
        <v>0</v>
      </c>
      <c r="V17" s="2">
        <v>0</v>
      </c>
      <c r="W17" s="2">
        <v>0.02</v>
      </c>
      <c r="X17" s="2">
        <v>0</v>
      </c>
      <c r="Y17" s="2">
        <v>0</v>
      </c>
      <c r="Z17" s="2">
        <v>0</v>
      </c>
    </row>
    <row r="18" spans="1:26">
      <c r="A18" s="2">
        <v>17</v>
      </c>
      <c r="B18" s="2" t="s">
        <v>63</v>
      </c>
      <c r="C18" s="2" t="s">
        <v>63</v>
      </c>
      <c r="D18" s="2">
        <v>0</v>
      </c>
      <c r="E18" s="2">
        <v>0.01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0.01</v>
      </c>
      <c r="M18" s="2">
        <v>0</v>
      </c>
      <c r="N18" s="2">
        <v>0</v>
      </c>
      <c r="O18" s="2">
        <v>0.97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0.01</v>
      </c>
      <c r="Y18" s="2">
        <v>0</v>
      </c>
      <c r="Z18" s="2">
        <v>0</v>
      </c>
    </row>
    <row r="19" spans="1:26">
      <c r="A19" s="2">
        <v>18</v>
      </c>
      <c r="B19" s="2" t="s">
        <v>21</v>
      </c>
      <c r="C19" s="2" t="s">
        <v>21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1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</row>
    <row r="20" spans="1:26">
      <c r="A20" s="2">
        <v>19</v>
      </c>
      <c r="B20" s="2" t="s">
        <v>59</v>
      </c>
      <c r="C20" s="2" t="s">
        <v>59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0.96</v>
      </c>
      <c r="U20" s="2">
        <v>0</v>
      </c>
      <c r="V20" s="2">
        <v>0</v>
      </c>
      <c r="W20" s="2">
        <v>0.04</v>
      </c>
      <c r="X20" s="2">
        <v>0</v>
      </c>
      <c r="Y20" s="2">
        <v>0</v>
      </c>
      <c r="Z20" s="2">
        <v>0</v>
      </c>
    </row>
    <row r="21" spans="1:26">
      <c r="A21" s="2">
        <v>20</v>
      </c>
      <c r="B21" s="2" t="s">
        <v>69</v>
      </c>
      <c r="C21" s="2" t="s">
        <v>69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0.12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0.88</v>
      </c>
    </row>
    <row r="22" spans="1:26">
      <c r="A22" s="2">
        <v>21</v>
      </c>
      <c r="B22" s="2" t="s">
        <v>36</v>
      </c>
      <c r="C22" s="2" t="s">
        <v>36</v>
      </c>
      <c r="D22" s="2">
        <v>0</v>
      </c>
      <c r="E22" s="2">
        <v>0</v>
      </c>
      <c r="F22" s="2">
        <v>0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</row>
    <row r="23" spans="1:26">
      <c r="A23" s="2">
        <v>22</v>
      </c>
      <c r="B23" s="2" t="s">
        <v>32</v>
      </c>
      <c r="C23" s="2" t="s">
        <v>32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0.16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0.84</v>
      </c>
      <c r="Z23" s="2">
        <v>0</v>
      </c>
    </row>
    <row r="24" spans="1:26">
      <c r="A24" s="2">
        <v>23</v>
      </c>
      <c r="B24" s="2" t="s">
        <v>36</v>
      </c>
      <c r="C24" s="2" t="s">
        <v>36</v>
      </c>
      <c r="D24" s="2">
        <v>0</v>
      </c>
      <c r="E24" s="2">
        <v>0</v>
      </c>
      <c r="F24" s="2">
        <v>0</v>
      </c>
      <c r="G24" s="2">
        <v>1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</row>
    <row r="25" spans="1:26">
      <c r="A25" s="2">
        <v>24</v>
      </c>
      <c r="B25" s="2" t="s">
        <v>21</v>
      </c>
      <c r="C25" s="2" t="s">
        <v>21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0.89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0.1</v>
      </c>
      <c r="Z25" s="2">
        <v>0.01</v>
      </c>
    </row>
    <row r="26" spans="1:26">
      <c r="A26" s="2">
        <v>25</v>
      </c>
      <c r="B26" s="2" t="s">
        <v>59</v>
      </c>
      <c r="C26" s="2" t="s">
        <v>59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0.8</v>
      </c>
      <c r="U26" s="2">
        <v>0</v>
      </c>
      <c r="V26" s="2">
        <v>0</v>
      </c>
      <c r="W26" s="2">
        <v>0.2</v>
      </c>
      <c r="X26" s="2">
        <v>0</v>
      </c>
      <c r="Y26" s="2">
        <v>0</v>
      </c>
      <c r="Z26" s="2">
        <v>0</v>
      </c>
    </row>
    <row r="27" spans="1:26">
      <c r="A27" s="2">
        <v>26</v>
      </c>
      <c r="B27" s="2" t="s">
        <v>53</v>
      </c>
      <c r="C27" s="2" t="s">
        <v>53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0.65</v>
      </c>
      <c r="J27" s="2">
        <v>0</v>
      </c>
      <c r="K27" s="2">
        <v>0</v>
      </c>
      <c r="L27" s="2">
        <v>0.27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0.08</v>
      </c>
    </row>
    <row r="28" spans="1:26">
      <c r="A28" s="2">
        <v>27</v>
      </c>
      <c r="B28" s="2" t="s">
        <v>50</v>
      </c>
      <c r="C28" s="2" t="s">
        <v>50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1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</row>
    <row r="29" spans="1:26">
      <c r="A29" s="2">
        <v>28</v>
      </c>
      <c r="B29" s="2" t="s">
        <v>36</v>
      </c>
      <c r="C29" s="2" t="s">
        <v>36</v>
      </c>
      <c r="D29" s="2">
        <v>0</v>
      </c>
      <c r="E29" s="2">
        <v>0</v>
      </c>
      <c r="F29" s="2">
        <v>0</v>
      </c>
      <c r="G29" s="2">
        <v>1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</row>
    <row r="30" spans="1:26">
      <c r="A30" s="2">
        <v>29</v>
      </c>
      <c r="B30" s="2" t="s">
        <v>59</v>
      </c>
      <c r="C30" s="2" t="s">
        <v>59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1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</row>
    <row r="31" spans="1:26">
      <c r="A31" s="2">
        <v>30</v>
      </c>
      <c r="B31" s="2" t="s">
        <v>63</v>
      </c>
      <c r="C31" s="2" t="s">
        <v>63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1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</row>
    <row r="32" spans="1:26">
      <c r="A32" s="2">
        <v>31</v>
      </c>
      <c r="B32" s="2" t="s">
        <v>50</v>
      </c>
      <c r="C32" s="2" t="s">
        <v>50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1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</row>
    <row r="33" spans="1:26">
      <c r="A33" s="2">
        <v>32</v>
      </c>
      <c r="B33" s="2" t="s">
        <v>50</v>
      </c>
      <c r="C33" s="2" t="s">
        <v>50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1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</row>
    <row r="34" spans="1:26">
      <c r="A34" s="2">
        <v>33</v>
      </c>
      <c r="B34" s="2" t="s">
        <v>36</v>
      </c>
      <c r="C34" s="2" t="s">
        <v>36</v>
      </c>
      <c r="D34" s="2">
        <v>0</v>
      </c>
      <c r="E34" s="2">
        <v>0</v>
      </c>
      <c r="F34" s="2">
        <v>0</v>
      </c>
      <c r="G34" s="2">
        <v>1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</row>
    <row r="35" spans="1:26">
      <c r="A35" s="2">
        <v>34</v>
      </c>
      <c r="B35" s="2" t="s">
        <v>88</v>
      </c>
      <c r="C35" s="2" t="s">
        <v>88</v>
      </c>
      <c r="D35" s="2">
        <v>1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</row>
    <row r="36" spans="1:26">
      <c r="A36" s="2">
        <v>35</v>
      </c>
      <c r="B36" s="2" t="s">
        <v>36</v>
      </c>
      <c r="C36" s="2" t="s">
        <v>36</v>
      </c>
      <c r="D36" s="2">
        <v>0.01</v>
      </c>
      <c r="E36" s="2">
        <v>0</v>
      </c>
      <c r="F36" s="2">
        <v>0</v>
      </c>
      <c r="G36" s="2">
        <v>0.81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0.18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</row>
    <row r="37" spans="1:26">
      <c r="A37" s="2">
        <v>36</v>
      </c>
      <c r="B37" s="2" t="s">
        <v>21</v>
      </c>
      <c r="C37" s="2" t="s">
        <v>21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</row>
    <row r="38" spans="1:26">
      <c r="A38" s="2">
        <v>37</v>
      </c>
      <c r="B38" s="2" t="s">
        <v>36</v>
      </c>
      <c r="C38" s="2" t="s">
        <v>36</v>
      </c>
      <c r="D38" s="2">
        <v>0</v>
      </c>
      <c r="E38" s="2">
        <v>0</v>
      </c>
      <c r="F38" s="2">
        <v>0</v>
      </c>
      <c r="G38" s="2">
        <v>1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</row>
    <row r="39" spans="1:26">
      <c r="A39" s="2">
        <v>38</v>
      </c>
      <c r="B39" s="2" t="s">
        <v>21</v>
      </c>
      <c r="C39" s="2" t="s">
        <v>21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1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</row>
    <row r="40" spans="1:26">
      <c r="A40" s="2">
        <v>39</v>
      </c>
      <c r="B40" s="2" t="s">
        <v>53</v>
      </c>
      <c r="C40" s="2" t="s">
        <v>53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0.95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0.05</v>
      </c>
    </row>
    <row r="41" spans="1:26">
      <c r="A41" s="2">
        <v>40</v>
      </c>
      <c r="B41" s="2" t="s">
        <v>36</v>
      </c>
      <c r="C41" s="2" t="s">
        <v>36</v>
      </c>
      <c r="D41" s="2">
        <v>0</v>
      </c>
      <c r="E41" s="2">
        <v>0</v>
      </c>
      <c r="F41" s="2">
        <v>0</v>
      </c>
      <c r="G41" s="2">
        <v>1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</row>
    <row r="42" spans="1:26">
      <c r="A42" s="2">
        <v>41</v>
      </c>
      <c r="B42" s="2" t="s">
        <v>97</v>
      </c>
      <c r="C42" s="2" t="s">
        <v>97</v>
      </c>
      <c r="D42" s="2">
        <v>0</v>
      </c>
      <c r="E42" s="2">
        <v>0.02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0.81</v>
      </c>
      <c r="N42" s="2">
        <v>0.12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0.03</v>
      </c>
      <c r="W42" s="2">
        <v>0</v>
      </c>
      <c r="X42" s="2">
        <v>0.02</v>
      </c>
      <c r="Y42" s="2">
        <v>0</v>
      </c>
      <c r="Z42" s="2">
        <v>0</v>
      </c>
    </row>
    <row r="43" spans="1:26">
      <c r="A43" s="2">
        <v>42</v>
      </c>
      <c r="B43" s="2" t="s">
        <v>32</v>
      </c>
      <c r="C43" s="2" t="s">
        <v>32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1</v>
      </c>
      <c r="Z43" s="2">
        <v>0</v>
      </c>
    </row>
    <row r="44" spans="1:26">
      <c r="A44" s="2">
        <v>43</v>
      </c>
      <c r="B44" s="2" t="s">
        <v>59</v>
      </c>
      <c r="C44" s="2" t="s">
        <v>59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0.77</v>
      </c>
      <c r="U44" s="2">
        <v>0.01</v>
      </c>
      <c r="V44" s="2">
        <v>0</v>
      </c>
      <c r="W44" s="2">
        <v>0.22</v>
      </c>
      <c r="X44" s="2">
        <v>0</v>
      </c>
      <c r="Y44" s="2">
        <v>0</v>
      </c>
      <c r="Z44" s="2">
        <v>0</v>
      </c>
    </row>
    <row r="45" spans="1:26">
      <c r="A45" s="2">
        <v>44</v>
      </c>
      <c r="B45" s="2" t="s">
        <v>32</v>
      </c>
      <c r="C45" s="2" t="s">
        <v>32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1</v>
      </c>
      <c r="Z45" s="2">
        <v>0</v>
      </c>
    </row>
    <row r="46" spans="1:26">
      <c r="A46" s="2">
        <v>45</v>
      </c>
      <c r="B46" s="2" t="s">
        <v>36</v>
      </c>
      <c r="C46" s="2" t="s">
        <v>36</v>
      </c>
      <c r="D46" s="2">
        <v>0</v>
      </c>
      <c r="E46" s="2">
        <v>0</v>
      </c>
      <c r="F46" s="2">
        <v>0</v>
      </c>
      <c r="G46" s="2">
        <v>1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</row>
    <row r="47" spans="1:26">
      <c r="A47" s="2">
        <v>46</v>
      </c>
      <c r="B47" s="2" t="s">
        <v>88</v>
      </c>
      <c r="C47" s="2" t="s">
        <v>88</v>
      </c>
      <c r="D47" s="2">
        <v>1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</row>
    <row r="48" spans="1:26">
      <c r="A48" s="2">
        <v>47</v>
      </c>
      <c r="B48" s="2" t="s">
        <v>69</v>
      </c>
      <c r="C48" s="2" t="s">
        <v>69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0.02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0.98</v>
      </c>
    </row>
    <row r="49" spans="1:26">
      <c r="A49" s="2">
        <v>48</v>
      </c>
      <c r="B49" s="2" t="s">
        <v>50</v>
      </c>
      <c r="C49" s="2" t="s">
        <v>50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1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</row>
    <row r="50" spans="1:26">
      <c r="A50" s="2">
        <v>49</v>
      </c>
      <c r="B50" s="2" t="s">
        <v>111</v>
      </c>
      <c r="C50" s="2" t="s">
        <v>111</v>
      </c>
      <c r="D50" s="2">
        <v>0</v>
      </c>
      <c r="E50" s="2">
        <v>7.0000000000000007E-2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0.93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</row>
    <row r="51" spans="1:26">
      <c r="A51" s="2">
        <v>50</v>
      </c>
      <c r="B51" s="2" t="s">
        <v>32</v>
      </c>
      <c r="C51" s="2" t="s">
        <v>32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1</v>
      </c>
      <c r="Z51" s="2">
        <v>0</v>
      </c>
    </row>
    <row r="52" spans="1:26">
      <c r="A52" s="2">
        <v>51</v>
      </c>
      <c r="B52" s="2" t="s">
        <v>36</v>
      </c>
      <c r="C52" s="2" t="s">
        <v>36</v>
      </c>
      <c r="D52" s="2">
        <v>0</v>
      </c>
      <c r="E52" s="2">
        <v>0</v>
      </c>
      <c r="F52" s="2">
        <v>0</v>
      </c>
      <c r="G52" s="2">
        <v>1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</row>
    <row r="53" spans="1:26">
      <c r="A53" s="2">
        <v>52</v>
      </c>
      <c r="B53" s="2" t="s">
        <v>36</v>
      </c>
      <c r="C53" s="2" t="s">
        <v>36</v>
      </c>
      <c r="D53" s="2">
        <v>0</v>
      </c>
      <c r="E53" s="2">
        <v>0</v>
      </c>
      <c r="F53" s="2">
        <v>0</v>
      </c>
      <c r="G53" s="2">
        <v>1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</row>
    <row r="54" spans="1:26">
      <c r="A54" s="2">
        <v>53</v>
      </c>
      <c r="B54" s="2" t="s">
        <v>36</v>
      </c>
      <c r="C54" s="2" t="s">
        <v>36</v>
      </c>
      <c r="D54" s="2">
        <v>0</v>
      </c>
      <c r="E54" s="2">
        <v>0</v>
      </c>
      <c r="F54" s="2">
        <v>0</v>
      </c>
      <c r="G54" s="2">
        <v>0.95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0.05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</row>
    <row r="55" spans="1:26">
      <c r="A55" s="2">
        <v>54</v>
      </c>
      <c r="B55" s="2" t="s">
        <v>26</v>
      </c>
      <c r="C55" s="2" t="s">
        <v>26</v>
      </c>
      <c r="D55" s="2">
        <v>0</v>
      </c>
      <c r="E55" s="2">
        <v>0</v>
      </c>
      <c r="F55" s="2">
        <v>1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</row>
    <row r="56" spans="1:26">
      <c r="A56" s="2">
        <v>55</v>
      </c>
      <c r="B56" s="2" t="s">
        <v>121</v>
      </c>
      <c r="C56" s="2" t="s">
        <v>121</v>
      </c>
      <c r="D56" s="2">
        <v>0</v>
      </c>
      <c r="E56" s="2">
        <v>0.81</v>
      </c>
      <c r="F56" s="2">
        <v>0</v>
      </c>
      <c r="G56" s="2">
        <v>0</v>
      </c>
      <c r="H56" s="2">
        <v>0.01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0.18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</row>
    <row r="57" spans="1:26">
      <c r="A57" s="2">
        <v>56</v>
      </c>
      <c r="B57" s="2" t="s">
        <v>59</v>
      </c>
      <c r="C57" s="2" t="s">
        <v>59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0.01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0.89</v>
      </c>
      <c r="U57" s="2">
        <v>0</v>
      </c>
      <c r="V57" s="2">
        <v>0</v>
      </c>
      <c r="W57" s="2">
        <v>0.1</v>
      </c>
      <c r="X57" s="2">
        <v>0</v>
      </c>
      <c r="Y57" s="2">
        <v>0</v>
      </c>
      <c r="Z57" s="2">
        <v>0</v>
      </c>
    </row>
    <row r="58" spans="1:26">
      <c r="A58" s="2">
        <v>57</v>
      </c>
      <c r="B58" s="2" t="s">
        <v>36</v>
      </c>
      <c r="C58" s="2" t="s">
        <v>36</v>
      </c>
      <c r="D58" s="2">
        <v>0</v>
      </c>
      <c r="E58" s="2">
        <v>0</v>
      </c>
      <c r="F58" s="2">
        <v>0</v>
      </c>
      <c r="G58" s="2">
        <v>1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</row>
    <row r="59" spans="1:26">
      <c r="A59" s="2">
        <v>58</v>
      </c>
      <c r="B59" s="2" t="s">
        <v>53</v>
      </c>
      <c r="C59" s="2" t="s">
        <v>53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1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</row>
    <row r="60" spans="1:26">
      <c r="A60" s="2">
        <v>59</v>
      </c>
      <c r="B60" s="2" t="s">
        <v>36</v>
      </c>
      <c r="C60" s="2" t="s">
        <v>36</v>
      </c>
      <c r="D60" s="2">
        <v>0</v>
      </c>
      <c r="E60" s="2">
        <v>0</v>
      </c>
      <c r="F60" s="2">
        <v>0</v>
      </c>
      <c r="G60" s="2">
        <v>0.93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7.0000000000000007E-2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</row>
    <row r="61" spans="1:26">
      <c r="A61" s="2">
        <v>60</v>
      </c>
      <c r="B61" s="2" t="s">
        <v>26</v>
      </c>
      <c r="C61" s="2" t="s">
        <v>26</v>
      </c>
      <c r="D61" s="2">
        <v>0</v>
      </c>
      <c r="E61" s="2">
        <v>0</v>
      </c>
      <c r="F61" s="2">
        <v>1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</row>
    <row r="62" spans="1:26">
      <c r="A62" s="2">
        <v>61</v>
      </c>
      <c r="B62" s="2" t="s">
        <v>36</v>
      </c>
      <c r="C62" s="2" t="s">
        <v>36</v>
      </c>
      <c r="D62" s="2">
        <v>0</v>
      </c>
      <c r="E62" s="2">
        <v>0</v>
      </c>
      <c r="F62" s="2">
        <v>0</v>
      </c>
      <c r="G62" s="2">
        <v>0.92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0.08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</row>
    <row r="63" spans="1:26">
      <c r="A63" s="2">
        <v>62</v>
      </c>
      <c r="B63" s="2" t="s">
        <v>50</v>
      </c>
      <c r="C63" s="2" t="s">
        <v>50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</row>
    <row r="64" spans="1:26">
      <c r="A64" s="2">
        <v>63</v>
      </c>
      <c r="B64" s="2" t="s">
        <v>133</v>
      </c>
      <c r="C64" s="2" t="s">
        <v>133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0.18</v>
      </c>
      <c r="U64" s="2">
        <v>0</v>
      </c>
      <c r="V64" s="2">
        <v>0</v>
      </c>
      <c r="W64" s="2">
        <v>0.82</v>
      </c>
      <c r="X64" s="2">
        <v>0</v>
      </c>
      <c r="Y64" s="2">
        <v>0</v>
      </c>
      <c r="Z64" s="2">
        <v>0</v>
      </c>
    </row>
    <row r="65" spans="1:26">
      <c r="A65" s="2">
        <v>64</v>
      </c>
      <c r="B65" s="2" t="s">
        <v>32</v>
      </c>
      <c r="C65" s="2" t="s">
        <v>32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1</v>
      </c>
      <c r="Z65" s="2">
        <v>0</v>
      </c>
    </row>
    <row r="66" spans="1:26">
      <c r="A66" s="2">
        <v>65</v>
      </c>
      <c r="B66" s="2" t="s">
        <v>59</v>
      </c>
      <c r="C66" s="2" t="s">
        <v>59</v>
      </c>
      <c r="D66" s="2">
        <v>0</v>
      </c>
      <c r="E66" s="2">
        <v>0</v>
      </c>
      <c r="F66" s="2">
        <v>0.02</v>
      </c>
      <c r="G66" s="2">
        <v>0</v>
      </c>
      <c r="H66" s="2">
        <v>0</v>
      </c>
      <c r="I66" s="2">
        <v>0.02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0.96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</row>
    <row r="67" spans="1:26">
      <c r="A67" s="2">
        <v>66</v>
      </c>
      <c r="B67" s="2" t="s">
        <v>50</v>
      </c>
      <c r="C67" s="2" t="s">
        <v>50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</row>
    <row r="68" spans="1:26">
      <c r="A68" s="2">
        <v>67</v>
      </c>
      <c r="B68" s="2" t="s">
        <v>26</v>
      </c>
      <c r="C68" s="2" t="s">
        <v>26</v>
      </c>
      <c r="D68" s="2">
        <v>0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</row>
    <row r="69" spans="1:26">
      <c r="A69" s="2">
        <v>68</v>
      </c>
      <c r="B69" s="2" t="s">
        <v>36</v>
      </c>
      <c r="C69" s="2" t="s">
        <v>36</v>
      </c>
      <c r="D69" s="2">
        <v>0</v>
      </c>
      <c r="E69" s="2">
        <v>0</v>
      </c>
      <c r="F69" s="2">
        <v>0</v>
      </c>
      <c r="G69" s="2">
        <v>1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</row>
    <row r="70" spans="1:26">
      <c r="A70" s="2">
        <v>69</v>
      </c>
      <c r="B70" s="2" t="s">
        <v>133</v>
      </c>
      <c r="C70" s="2" t="s">
        <v>133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0.41</v>
      </c>
      <c r="U70" s="2">
        <v>0</v>
      </c>
      <c r="V70" s="2">
        <v>0</v>
      </c>
      <c r="W70" s="2">
        <v>0.59</v>
      </c>
      <c r="X70" s="2">
        <v>0</v>
      </c>
      <c r="Y70" s="2">
        <v>0</v>
      </c>
      <c r="Z70" s="2">
        <v>0</v>
      </c>
    </row>
    <row r="71" spans="1:26">
      <c r="A71" s="2">
        <v>70</v>
      </c>
      <c r="B71" s="2" t="s">
        <v>36</v>
      </c>
      <c r="C71" s="2" t="s">
        <v>36</v>
      </c>
      <c r="D71" s="2">
        <v>0</v>
      </c>
      <c r="E71" s="2">
        <v>0</v>
      </c>
      <c r="F71" s="2">
        <v>0</v>
      </c>
      <c r="G71" s="2">
        <v>1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</row>
    <row r="72" spans="1:26">
      <c r="A72" s="2">
        <v>71</v>
      </c>
      <c r="B72" s="2" t="s">
        <v>121</v>
      </c>
      <c r="C72" s="2" t="s">
        <v>121</v>
      </c>
      <c r="D72" s="2">
        <v>0</v>
      </c>
      <c r="E72" s="2">
        <v>0.56999999999999995</v>
      </c>
      <c r="F72" s="2">
        <v>0</v>
      </c>
      <c r="G72" s="2">
        <v>0</v>
      </c>
      <c r="H72" s="2">
        <v>7.0000000000000007E-2</v>
      </c>
      <c r="I72" s="2">
        <v>0</v>
      </c>
      <c r="J72" s="2">
        <v>0</v>
      </c>
      <c r="K72" s="2">
        <v>0</v>
      </c>
      <c r="L72" s="2">
        <v>0</v>
      </c>
      <c r="M72" s="2">
        <v>0.17</v>
      </c>
      <c r="N72" s="2">
        <v>0.02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0.17</v>
      </c>
      <c r="W72" s="2">
        <v>0</v>
      </c>
      <c r="X72" s="2">
        <v>0</v>
      </c>
      <c r="Y72" s="2">
        <v>0</v>
      </c>
      <c r="Z72" s="2">
        <v>0</v>
      </c>
    </row>
    <row r="73" spans="1:26">
      <c r="A73" s="2">
        <v>72</v>
      </c>
      <c r="B73" s="2" t="s">
        <v>50</v>
      </c>
      <c r="C73" s="2" t="s">
        <v>50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</row>
    <row r="74" spans="1:26">
      <c r="A74" s="2">
        <v>73</v>
      </c>
      <c r="B74" s="2" t="s">
        <v>32</v>
      </c>
      <c r="C74" s="2" t="s">
        <v>32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1</v>
      </c>
      <c r="Z74" s="2">
        <v>0</v>
      </c>
    </row>
    <row r="75" spans="1:26">
      <c r="A75" s="2">
        <v>74</v>
      </c>
      <c r="B75" s="2" t="s">
        <v>53</v>
      </c>
      <c r="C75" s="2" t="s">
        <v>53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0.9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0.1</v>
      </c>
    </row>
    <row r="76" spans="1:26">
      <c r="A76" s="2">
        <v>75</v>
      </c>
      <c r="B76" s="2" t="s">
        <v>148</v>
      </c>
      <c r="C76" s="2" t="s">
        <v>148</v>
      </c>
      <c r="D76" s="2">
        <v>0</v>
      </c>
      <c r="E76" s="2">
        <v>0</v>
      </c>
      <c r="F76" s="2">
        <v>0</v>
      </c>
      <c r="G76" s="2">
        <v>0.02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0.98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</row>
    <row r="77" spans="1:26">
      <c r="A77" s="2">
        <v>76</v>
      </c>
      <c r="B77" s="2" t="s">
        <v>133</v>
      </c>
      <c r="C77" s="2" t="s">
        <v>133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0.05</v>
      </c>
      <c r="U77" s="2">
        <v>0</v>
      </c>
      <c r="V77" s="2">
        <v>0</v>
      </c>
      <c r="W77" s="2">
        <v>0.95</v>
      </c>
      <c r="X77" s="2">
        <v>0</v>
      </c>
      <c r="Y77" s="2">
        <v>0</v>
      </c>
      <c r="Z77" s="2">
        <v>0</v>
      </c>
    </row>
    <row r="78" spans="1:26">
      <c r="A78" s="2">
        <v>77</v>
      </c>
      <c r="B78" s="2" t="s">
        <v>21</v>
      </c>
      <c r="C78" s="2" t="s">
        <v>21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1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</row>
    <row r="79" spans="1:26">
      <c r="A79" s="2">
        <v>78</v>
      </c>
      <c r="B79" s="2" t="s">
        <v>36</v>
      </c>
      <c r="C79" s="2" t="s">
        <v>36</v>
      </c>
      <c r="D79" s="2">
        <v>0</v>
      </c>
      <c r="E79" s="2">
        <v>0</v>
      </c>
      <c r="F79" s="2">
        <v>0</v>
      </c>
      <c r="G79" s="2">
        <v>1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</row>
    <row r="80" spans="1:26">
      <c r="A80" s="2">
        <v>79</v>
      </c>
      <c r="B80" s="2" t="s">
        <v>53</v>
      </c>
      <c r="C80" s="2" t="s">
        <v>53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0.98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0.02</v>
      </c>
    </row>
    <row r="81" spans="1:26">
      <c r="A81" s="2">
        <v>80</v>
      </c>
      <c r="B81" s="2" t="s">
        <v>88</v>
      </c>
      <c r="C81" s="2" t="s">
        <v>88</v>
      </c>
      <c r="D81" s="2">
        <v>0.98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0.02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</row>
    <row r="82" spans="1:26">
      <c r="A82" s="2">
        <v>81</v>
      </c>
      <c r="B82" s="2" t="s">
        <v>36</v>
      </c>
      <c r="C82" s="2" t="s">
        <v>36</v>
      </c>
      <c r="D82" s="2">
        <v>0</v>
      </c>
      <c r="E82" s="2">
        <v>0</v>
      </c>
      <c r="F82" s="2">
        <v>0</v>
      </c>
      <c r="G82" s="2">
        <v>1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</row>
    <row r="83" spans="1:26">
      <c r="A83" s="2">
        <v>82</v>
      </c>
      <c r="B83" s="2" t="s">
        <v>21</v>
      </c>
      <c r="C83" s="2" t="s">
        <v>21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1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</row>
    <row r="84" spans="1:26">
      <c r="A84" s="2">
        <v>83</v>
      </c>
      <c r="B84" s="2" t="s">
        <v>50</v>
      </c>
      <c r="C84" s="2" t="s">
        <v>50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1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</row>
    <row r="85" spans="1:26">
      <c r="A85" s="2">
        <v>84</v>
      </c>
      <c r="B85" s="2" t="s">
        <v>161</v>
      </c>
      <c r="C85" s="2" t="s">
        <v>161</v>
      </c>
      <c r="D85" s="2">
        <v>0</v>
      </c>
      <c r="E85" s="2">
        <v>0.01</v>
      </c>
      <c r="F85" s="2">
        <v>0</v>
      </c>
      <c r="G85" s="2">
        <v>0</v>
      </c>
      <c r="H85" s="2">
        <v>0.73</v>
      </c>
      <c r="I85" s="2">
        <v>0</v>
      </c>
      <c r="J85" s="2">
        <v>0</v>
      </c>
      <c r="K85" s="2">
        <v>0.02</v>
      </c>
      <c r="L85" s="2">
        <v>0</v>
      </c>
      <c r="M85" s="2">
        <v>0</v>
      </c>
      <c r="N85" s="2">
        <v>0</v>
      </c>
      <c r="O85" s="2">
        <v>0.02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0.22</v>
      </c>
      <c r="Y85" s="2">
        <v>0</v>
      </c>
      <c r="Z85" s="2">
        <v>0</v>
      </c>
    </row>
    <row r="86" spans="1:26">
      <c r="A86" s="2">
        <v>85</v>
      </c>
      <c r="B86" s="2" t="s">
        <v>50</v>
      </c>
      <c r="C86" s="2" t="s">
        <v>50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1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</row>
    <row r="87" spans="1:26">
      <c r="A87" s="2">
        <v>86</v>
      </c>
      <c r="B87" s="2" t="s">
        <v>63</v>
      </c>
      <c r="C87" s="2" t="s">
        <v>63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1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</row>
    <row r="88" spans="1:26">
      <c r="A88" s="2">
        <v>87</v>
      </c>
      <c r="B88" s="2" t="s">
        <v>36</v>
      </c>
      <c r="C88" s="2" t="s">
        <v>36</v>
      </c>
      <c r="D88" s="2">
        <v>0</v>
      </c>
      <c r="E88" s="2">
        <v>0</v>
      </c>
      <c r="F88" s="2">
        <v>0</v>
      </c>
      <c r="G88" s="2">
        <v>0.96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0.04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</row>
    <row r="89" spans="1:26">
      <c r="A89" s="2">
        <v>88</v>
      </c>
      <c r="B89" s="2" t="s">
        <v>36</v>
      </c>
      <c r="C89" s="2" t="s">
        <v>36</v>
      </c>
      <c r="D89" s="2">
        <v>0</v>
      </c>
      <c r="E89" s="2">
        <v>0</v>
      </c>
      <c r="F89" s="2">
        <v>0</v>
      </c>
      <c r="G89" s="2">
        <v>0.98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0.02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</row>
    <row r="90" spans="1:26">
      <c r="A90" s="2">
        <v>89</v>
      </c>
      <c r="B90" s="2" t="s">
        <v>36</v>
      </c>
      <c r="C90" s="2" t="s">
        <v>36</v>
      </c>
      <c r="D90" s="2">
        <v>0</v>
      </c>
      <c r="E90" s="2">
        <v>0</v>
      </c>
      <c r="F90" s="2">
        <v>0</v>
      </c>
      <c r="G90" s="2">
        <v>1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</row>
    <row r="91" spans="1:26">
      <c r="A91" s="2">
        <v>90</v>
      </c>
      <c r="B91" s="2" t="s">
        <v>88</v>
      </c>
      <c r="C91" s="2" t="s">
        <v>88</v>
      </c>
      <c r="D91" s="2">
        <v>1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</row>
    <row r="92" spans="1:26">
      <c r="A92" s="2">
        <v>91</v>
      </c>
      <c r="B92" s="2" t="s">
        <v>59</v>
      </c>
      <c r="C92" s="2" t="s">
        <v>59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1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</row>
    <row r="93" spans="1:26">
      <c r="A93" s="2">
        <v>92</v>
      </c>
      <c r="B93" s="2" t="s">
        <v>133</v>
      </c>
      <c r="C93" s="2" t="s">
        <v>133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0.2</v>
      </c>
      <c r="U93" s="2">
        <v>0</v>
      </c>
      <c r="V93" s="2">
        <v>0</v>
      </c>
      <c r="W93" s="2">
        <v>0.8</v>
      </c>
      <c r="X93" s="2">
        <v>0</v>
      </c>
      <c r="Y93" s="2">
        <v>0</v>
      </c>
      <c r="Z93" s="2">
        <v>0</v>
      </c>
    </row>
    <row r="94" spans="1:26">
      <c r="A94" s="2">
        <v>93</v>
      </c>
      <c r="B94" s="2" t="s">
        <v>32</v>
      </c>
      <c r="C94" s="2" t="s">
        <v>32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0.05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0.95</v>
      </c>
      <c r="Z94" s="2">
        <v>0</v>
      </c>
    </row>
    <row r="95" spans="1:26">
      <c r="A95" s="2">
        <v>94</v>
      </c>
      <c r="B95" s="2" t="s">
        <v>53</v>
      </c>
      <c r="C95" s="2" t="s">
        <v>53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1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</row>
    <row r="96" spans="1:26">
      <c r="A96" s="2">
        <v>95</v>
      </c>
      <c r="B96" s="2" t="s">
        <v>36</v>
      </c>
      <c r="C96" s="2" t="s">
        <v>36</v>
      </c>
      <c r="D96" s="2">
        <v>0</v>
      </c>
      <c r="E96" s="2">
        <v>0</v>
      </c>
      <c r="F96" s="2">
        <v>0</v>
      </c>
      <c r="G96" s="2">
        <v>1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</row>
    <row r="97" spans="1:26">
      <c r="A97" s="2">
        <v>96</v>
      </c>
      <c r="B97" s="2" t="s">
        <v>69</v>
      </c>
      <c r="C97" s="2" t="s">
        <v>69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0.15</v>
      </c>
      <c r="J97" s="2">
        <v>0</v>
      </c>
      <c r="K97" s="2">
        <v>0</v>
      </c>
      <c r="L97" s="2">
        <v>0.1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0.01</v>
      </c>
      <c r="Z97" s="2">
        <v>0.74</v>
      </c>
    </row>
    <row r="98" spans="1:26">
      <c r="A98" s="2">
        <v>97</v>
      </c>
      <c r="B98" s="2" t="s">
        <v>21</v>
      </c>
      <c r="C98" s="2" t="s">
        <v>21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1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</row>
    <row r="99" spans="1:26">
      <c r="A99" s="2">
        <v>98</v>
      </c>
      <c r="B99" s="2" t="s">
        <v>178</v>
      </c>
      <c r="C99" s="2" t="s">
        <v>178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0.99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0.01</v>
      </c>
      <c r="W99" s="2">
        <v>0</v>
      </c>
      <c r="X99" s="2">
        <v>0</v>
      </c>
      <c r="Y99" s="2">
        <v>0</v>
      </c>
      <c r="Z99" s="2">
        <v>0</v>
      </c>
    </row>
    <row r="100" spans="1:26">
      <c r="A100" s="2">
        <v>99</v>
      </c>
      <c r="B100" s="2" t="s">
        <v>21</v>
      </c>
      <c r="C100" s="2" t="s">
        <v>21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0.01</v>
      </c>
      <c r="J100" s="2">
        <v>0</v>
      </c>
      <c r="K100" s="2">
        <v>0</v>
      </c>
      <c r="L100" s="2">
        <v>0.95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0.01</v>
      </c>
      <c r="Z100" s="2">
        <v>0.03</v>
      </c>
    </row>
    <row r="101" spans="1:26">
      <c r="A101" s="2">
        <v>100</v>
      </c>
      <c r="B101" s="2" t="s">
        <v>32</v>
      </c>
      <c r="C101" s="2" t="s">
        <v>32</v>
      </c>
      <c r="D101" s="2">
        <v>0.01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0.99</v>
      </c>
      <c r="Z101" s="2">
        <v>0</v>
      </c>
    </row>
    <row r="102" spans="1:26">
      <c r="A102" s="2">
        <v>101</v>
      </c>
      <c r="B102" s="2" t="s">
        <v>32</v>
      </c>
      <c r="C102" s="2" t="s">
        <v>32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1</v>
      </c>
      <c r="Z102" s="2">
        <v>0</v>
      </c>
    </row>
    <row r="103" spans="1:26">
      <c r="A103" s="2">
        <v>102</v>
      </c>
      <c r="B103" s="2" t="s">
        <v>36</v>
      </c>
      <c r="C103" s="2" t="s">
        <v>36</v>
      </c>
      <c r="D103" s="2">
        <v>0</v>
      </c>
      <c r="E103" s="2">
        <v>0</v>
      </c>
      <c r="F103" s="2">
        <v>0</v>
      </c>
      <c r="G103" s="2">
        <v>1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</row>
    <row r="104" spans="1:26">
      <c r="A104" s="2">
        <v>103</v>
      </c>
      <c r="B104" s="2" t="s">
        <v>50</v>
      </c>
      <c r="C104" s="2" t="s">
        <v>50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1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</row>
    <row r="105" spans="1:26">
      <c r="A105" s="2">
        <v>104</v>
      </c>
      <c r="B105" s="2" t="s">
        <v>59</v>
      </c>
      <c r="C105" s="2" t="s">
        <v>59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0.86</v>
      </c>
      <c r="U105" s="2">
        <v>0</v>
      </c>
      <c r="V105" s="2">
        <v>0</v>
      </c>
      <c r="W105" s="2">
        <v>0.14000000000000001</v>
      </c>
      <c r="X105" s="2">
        <v>0</v>
      </c>
      <c r="Y105" s="2">
        <v>0</v>
      </c>
      <c r="Z105" s="2">
        <v>0</v>
      </c>
    </row>
    <row r="106" spans="1:26">
      <c r="A106" s="2">
        <v>105</v>
      </c>
      <c r="B106" s="2" t="s">
        <v>21</v>
      </c>
      <c r="C106" s="2" t="s">
        <v>21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1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</row>
    <row r="107" spans="1:26">
      <c r="A107" s="2">
        <v>106</v>
      </c>
      <c r="B107" s="2" t="s">
        <v>21</v>
      </c>
      <c r="C107" s="2" t="s">
        <v>21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</row>
    <row r="108" spans="1:26">
      <c r="A108" s="2">
        <v>107</v>
      </c>
      <c r="B108" s="2" t="s">
        <v>97</v>
      </c>
      <c r="C108" s="2" t="s">
        <v>97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0.62</v>
      </c>
      <c r="N108" s="2">
        <v>0.34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0.02</v>
      </c>
      <c r="W108" s="2">
        <v>0</v>
      </c>
      <c r="X108" s="2">
        <v>0.02</v>
      </c>
      <c r="Y108" s="2">
        <v>0</v>
      </c>
      <c r="Z108" s="2">
        <v>0</v>
      </c>
    </row>
    <row r="109" spans="1:26">
      <c r="A109" s="2">
        <v>108</v>
      </c>
      <c r="B109" s="2" t="s">
        <v>21</v>
      </c>
      <c r="C109" s="2" t="s">
        <v>21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0.06</v>
      </c>
      <c r="J109" s="2">
        <v>0</v>
      </c>
      <c r="K109" s="2">
        <v>0</v>
      </c>
      <c r="L109" s="2">
        <v>0.63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0.31</v>
      </c>
    </row>
    <row r="110" spans="1:26">
      <c r="A110" s="2">
        <v>109</v>
      </c>
      <c r="B110" s="2" t="s">
        <v>53</v>
      </c>
      <c r="C110" s="2" t="s">
        <v>53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1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</row>
    <row r="111" spans="1:26">
      <c r="A111" s="2">
        <v>110</v>
      </c>
      <c r="B111" s="2" t="s">
        <v>36</v>
      </c>
      <c r="C111" s="2" t="s">
        <v>36</v>
      </c>
      <c r="D111" s="2">
        <v>0</v>
      </c>
      <c r="E111" s="2">
        <v>0</v>
      </c>
      <c r="F111" s="2">
        <v>0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</row>
    <row r="112" spans="1:26">
      <c r="A112" s="2">
        <v>111</v>
      </c>
      <c r="B112" s="2" t="s">
        <v>50</v>
      </c>
      <c r="C112" s="2" t="s">
        <v>50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1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</row>
    <row r="113" spans="1:26">
      <c r="A113" s="2">
        <v>112</v>
      </c>
      <c r="B113" s="2" t="s">
        <v>63</v>
      </c>
      <c r="C113" s="2" t="s">
        <v>63</v>
      </c>
      <c r="D113" s="2">
        <v>0</v>
      </c>
      <c r="E113" s="2">
        <v>0</v>
      </c>
      <c r="F113" s="2">
        <v>0</v>
      </c>
      <c r="G113" s="2">
        <v>0</v>
      </c>
      <c r="H113" s="2">
        <v>0.11</v>
      </c>
      <c r="I113" s="2">
        <v>0</v>
      </c>
      <c r="J113" s="2">
        <v>0</v>
      </c>
      <c r="K113" s="2">
        <v>0</v>
      </c>
      <c r="L113" s="2">
        <v>0.01</v>
      </c>
      <c r="M113" s="2">
        <v>0</v>
      </c>
      <c r="N113" s="2">
        <v>0</v>
      </c>
      <c r="O113" s="2">
        <v>0.87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0.01</v>
      </c>
    </row>
    <row r="114" spans="1:26">
      <c r="A114" s="2">
        <v>113</v>
      </c>
      <c r="B114" s="2" t="s">
        <v>21</v>
      </c>
      <c r="C114" s="2" t="s">
        <v>21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</row>
    <row r="115" spans="1:26">
      <c r="A115" s="2">
        <v>114</v>
      </c>
      <c r="B115" s="2" t="s">
        <v>53</v>
      </c>
      <c r="C115" s="2" t="s">
        <v>53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0.97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0.03</v>
      </c>
    </row>
    <row r="116" spans="1:26">
      <c r="A116" s="2">
        <v>115</v>
      </c>
      <c r="B116" s="2" t="s">
        <v>194</v>
      </c>
      <c r="C116" s="2" t="s">
        <v>194</v>
      </c>
      <c r="D116" s="2">
        <v>0</v>
      </c>
      <c r="E116" s="2">
        <v>0</v>
      </c>
      <c r="F116" s="2">
        <v>0.08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0.92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</row>
    <row r="117" spans="1:26">
      <c r="A117" s="2">
        <v>116</v>
      </c>
      <c r="B117" s="2" t="s">
        <v>21</v>
      </c>
      <c r="C117" s="2" t="s">
        <v>21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1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</row>
    <row r="118" spans="1:26">
      <c r="A118" s="2">
        <v>117</v>
      </c>
      <c r="B118" s="2" t="s">
        <v>44</v>
      </c>
      <c r="C118" s="2" t="s">
        <v>44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0.01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0.99</v>
      </c>
      <c r="W118" s="2">
        <v>0</v>
      </c>
      <c r="X118" s="2">
        <v>0</v>
      </c>
      <c r="Y118" s="2">
        <v>0</v>
      </c>
      <c r="Z118" s="2">
        <v>0</v>
      </c>
    </row>
    <row r="119" spans="1:26">
      <c r="A119" s="2">
        <v>118</v>
      </c>
      <c r="B119" s="2" t="s">
        <v>21</v>
      </c>
      <c r="C119" s="2" t="s">
        <v>21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1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</row>
    <row r="120" spans="1:26">
      <c r="A120" s="2">
        <v>119</v>
      </c>
      <c r="B120" s="2" t="s">
        <v>32</v>
      </c>
      <c r="C120" s="2" t="s">
        <v>32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1</v>
      </c>
      <c r="Z120" s="2">
        <v>0</v>
      </c>
    </row>
    <row r="121" spans="1:26">
      <c r="A121" s="2">
        <v>120</v>
      </c>
      <c r="B121" s="2" t="s">
        <v>111</v>
      </c>
      <c r="C121" s="2" t="s">
        <v>111</v>
      </c>
      <c r="D121" s="2">
        <v>0</v>
      </c>
      <c r="E121" s="2">
        <v>0</v>
      </c>
      <c r="F121" s="2">
        <v>0</v>
      </c>
      <c r="G121" s="2">
        <v>0</v>
      </c>
      <c r="H121" s="2">
        <v>0.02</v>
      </c>
      <c r="I121" s="2">
        <v>0</v>
      </c>
      <c r="J121" s="2">
        <v>0</v>
      </c>
      <c r="K121" s="2">
        <v>0</v>
      </c>
      <c r="L121" s="2">
        <v>0</v>
      </c>
      <c r="M121" s="2">
        <v>0.16</v>
      </c>
      <c r="N121" s="2">
        <v>0.77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0.05</v>
      </c>
      <c r="W121" s="2">
        <v>0</v>
      </c>
      <c r="X121" s="2">
        <v>0</v>
      </c>
      <c r="Y121" s="2">
        <v>0</v>
      </c>
      <c r="Z121" s="2">
        <v>0</v>
      </c>
    </row>
    <row r="122" spans="1:26">
      <c r="A122" s="2">
        <v>121</v>
      </c>
      <c r="B122" s="2" t="s">
        <v>50</v>
      </c>
      <c r="C122" s="2" t="s">
        <v>50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1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</row>
    <row r="123" spans="1:26">
      <c r="A123" s="2">
        <v>122</v>
      </c>
      <c r="B123" s="2" t="s">
        <v>53</v>
      </c>
      <c r="C123" s="2" t="s">
        <v>53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0.67</v>
      </c>
      <c r="J123" s="2">
        <v>0</v>
      </c>
      <c r="K123" s="2">
        <v>0</v>
      </c>
      <c r="L123" s="2">
        <v>0.05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0.01</v>
      </c>
      <c r="Z123" s="2">
        <v>0.27</v>
      </c>
    </row>
    <row r="124" spans="1:26">
      <c r="A124" s="2">
        <v>123</v>
      </c>
      <c r="B124" s="2" t="s">
        <v>21</v>
      </c>
      <c r="C124" s="2" t="s">
        <v>21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1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</row>
    <row r="125" spans="1:26">
      <c r="A125" s="2">
        <v>124</v>
      </c>
      <c r="B125" s="2" t="s">
        <v>36</v>
      </c>
      <c r="C125" s="2" t="s">
        <v>36</v>
      </c>
      <c r="D125" s="2">
        <v>0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</row>
    <row r="126" spans="1:26">
      <c r="A126" s="2">
        <v>125</v>
      </c>
      <c r="B126" s="2" t="s">
        <v>69</v>
      </c>
      <c r="C126" s="2" t="s">
        <v>69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0.04</v>
      </c>
      <c r="J126" s="2">
        <v>0</v>
      </c>
      <c r="K126" s="2">
        <v>0</v>
      </c>
      <c r="L126" s="2">
        <v>0.03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0.01</v>
      </c>
      <c r="Z126" s="2">
        <v>0.92</v>
      </c>
    </row>
    <row r="127" spans="1:26">
      <c r="A127" s="2">
        <v>126</v>
      </c>
      <c r="B127" s="2" t="s">
        <v>59</v>
      </c>
      <c r="C127" s="2" t="s">
        <v>59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0.87</v>
      </c>
      <c r="U127" s="2">
        <v>0</v>
      </c>
      <c r="V127" s="2">
        <v>0</v>
      </c>
      <c r="W127" s="2">
        <v>0.13</v>
      </c>
      <c r="X127" s="2">
        <v>0</v>
      </c>
      <c r="Y127" s="2">
        <v>0</v>
      </c>
      <c r="Z127" s="2">
        <v>0</v>
      </c>
    </row>
    <row r="128" spans="1:26">
      <c r="A128" s="2">
        <v>127</v>
      </c>
      <c r="B128" s="2" t="s">
        <v>148</v>
      </c>
      <c r="C128" s="2" t="s">
        <v>148</v>
      </c>
      <c r="D128" s="2">
        <v>0</v>
      </c>
      <c r="E128" s="2">
        <v>0</v>
      </c>
      <c r="F128" s="2">
        <v>0</v>
      </c>
      <c r="G128" s="2">
        <v>0.06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0.94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</row>
    <row r="129" spans="1:26">
      <c r="A129" s="2">
        <v>128</v>
      </c>
      <c r="B129" s="2" t="s">
        <v>26</v>
      </c>
      <c r="C129" s="2" t="s">
        <v>26</v>
      </c>
      <c r="D129" s="2">
        <v>0</v>
      </c>
      <c r="E129" s="2">
        <v>0</v>
      </c>
      <c r="F129" s="2">
        <v>1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</row>
    <row r="130" spans="1:26">
      <c r="A130" s="2">
        <v>129</v>
      </c>
      <c r="B130" s="2" t="s">
        <v>21</v>
      </c>
      <c r="C130" s="2" t="s">
        <v>21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0.77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0.23</v>
      </c>
      <c r="Z130" s="2">
        <v>0</v>
      </c>
    </row>
    <row r="131" spans="1:26">
      <c r="A131" s="2">
        <v>130</v>
      </c>
      <c r="B131" s="2" t="s">
        <v>36</v>
      </c>
      <c r="C131" s="2" t="s">
        <v>36</v>
      </c>
      <c r="D131" s="2">
        <v>0</v>
      </c>
      <c r="E131" s="2">
        <v>0</v>
      </c>
      <c r="F131" s="2">
        <v>0.01</v>
      </c>
      <c r="G131" s="2">
        <v>0.85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0.14000000000000001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</row>
    <row r="132" spans="1:26">
      <c r="A132" s="2">
        <v>131</v>
      </c>
      <c r="B132" s="2" t="s">
        <v>178</v>
      </c>
      <c r="C132" s="2" t="s">
        <v>178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0.04</v>
      </c>
      <c r="N132" s="2">
        <v>0.01</v>
      </c>
      <c r="O132" s="2">
        <v>0</v>
      </c>
      <c r="P132" s="2">
        <v>0.95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</row>
    <row r="133" spans="1:26">
      <c r="A133" s="2">
        <v>132</v>
      </c>
      <c r="B133" s="2" t="s">
        <v>97</v>
      </c>
      <c r="C133" s="2" t="s">
        <v>97</v>
      </c>
      <c r="D133" s="2">
        <v>0</v>
      </c>
      <c r="E133" s="2">
        <v>0.02</v>
      </c>
      <c r="F133" s="2">
        <v>0</v>
      </c>
      <c r="G133" s="2">
        <v>0</v>
      </c>
      <c r="H133" s="2">
        <v>0.04</v>
      </c>
      <c r="I133" s="2">
        <v>0</v>
      </c>
      <c r="J133" s="2">
        <v>0</v>
      </c>
      <c r="K133" s="2">
        <v>0</v>
      </c>
      <c r="L133" s="2">
        <v>0</v>
      </c>
      <c r="M133" s="2">
        <v>0.78</v>
      </c>
      <c r="N133" s="2">
        <v>0.09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0.04</v>
      </c>
      <c r="W133" s="2">
        <v>0</v>
      </c>
      <c r="X133" s="2">
        <v>0.03</v>
      </c>
      <c r="Y133" s="2">
        <v>0</v>
      </c>
      <c r="Z133" s="2">
        <v>0</v>
      </c>
    </row>
    <row r="134" spans="1:26">
      <c r="A134" s="2">
        <v>133</v>
      </c>
      <c r="B134" s="2" t="s">
        <v>53</v>
      </c>
      <c r="C134" s="2" t="s">
        <v>53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0.99</v>
      </c>
      <c r="J134" s="2">
        <v>0</v>
      </c>
      <c r="K134" s="2">
        <v>0</v>
      </c>
      <c r="L134" s="2">
        <v>0.01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</row>
    <row r="135" spans="1:26">
      <c r="A135" s="2">
        <v>134</v>
      </c>
      <c r="B135" s="2" t="s">
        <v>148</v>
      </c>
      <c r="C135" s="2" t="s">
        <v>148</v>
      </c>
      <c r="D135" s="2">
        <v>0</v>
      </c>
      <c r="E135" s="2">
        <v>0</v>
      </c>
      <c r="F135" s="2">
        <v>0</v>
      </c>
      <c r="G135" s="2">
        <v>0.24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0.76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</row>
    <row r="136" spans="1:26">
      <c r="A136" s="2">
        <v>135</v>
      </c>
      <c r="B136" s="2" t="s">
        <v>59</v>
      </c>
      <c r="C136" s="2" t="s">
        <v>59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</row>
    <row r="137" spans="1:26">
      <c r="A137" s="2">
        <v>136</v>
      </c>
      <c r="B137" s="2" t="s">
        <v>36</v>
      </c>
      <c r="C137" s="2" t="s">
        <v>36</v>
      </c>
      <c r="D137" s="2">
        <v>0</v>
      </c>
      <c r="E137" s="2">
        <v>0</v>
      </c>
      <c r="F137" s="2">
        <v>0</v>
      </c>
      <c r="G137" s="2">
        <v>1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</row>
    <row r="138" spans="1:26">
      <c r="A138" s="2">
        <v>137</v>
      </c>
      <c r="B138" s="2" t="s">
        <v>21</v>
      </c>
      <c r="C138" s="2" t="s">
        <v>21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1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</row>
    <row r="139" spans="1:26">
      <c r="A139" s="2">
        <v>138</v>
      </c>
      <c r="B139" s="2" t="s">
        <v>50</v>
      </c>
      <c r="C139" s="2" t="s">
        <v>50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</row>
    <row r="140" spans="1:26">
      <c r="A140" s="2">
        <v>139</v>
      </c>
      <c r="B140" s="2" t="s">
        <v>32</v>
      </c>
      <c r="C140" s="2" t="s">
        <v>32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0.01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0.99</v>
      </c>
      <c r="Z140" s="2">
        <v>0</v>
      </c>
    </row>
    <row r="141" spans="1:26">
      <c r="A141" s="2">
        <v>140</v>
      </c>
      <c r="B141" s="2" t="s">
        <v>21</v>
      </c>
      <c r="C141" s="2" t="s">
        <v>21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0.97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0.03</v>
      </c>
      <c r="Z141" s="2">
        <v>0</v>
      </c>
    </row>
    <row r="142" spans="1:26">
      <c r="A142" s="2">
        <v>141</v>
      </c>
      <c r="B142" s="2" t="s">
        <v>53</v>
      </c>
      <c r="C142" s="2" t="s">
        <v>53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1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</row>
    <row r="143" spans="1:26">
      <c r="A143" s="2">
        <v>142</v>
      </c>
      <c r="B143" s="2" t="s">
        <v>97</v>
      </c>
      <c r="C143" s="2" t="s">
        <v>97</v>
      </c>
      <c r="D143" s="2">
        <v>0</v>
      </c>
      <c r="E143" s="2">
        <v>0.05</v>
      </c>
      <c r="F143" s="2">
        <v>0</v>
      </c>
      <c r="G143" s="2">
        <v>0</v>
      </c>
      <c r="H143" s="2">
        <v>0.03</v>
      </c>
      <c r="I143" s="2">
        <v>0</v>
      </c>
      <c r="J143" s="2">
        <v>0</v>
      </c>
      <c r="K143" s="2">
        <v>0</v>
      </c>
      <c r="L143" s="2">
        <v>0</v>
      </c>
      <c r="M143" s="2">
        <v>0.86</v>
      </c>
      <c r="N143" s="2">
        <v>0.03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0.01</v>
      </c>
      <c r="W143" s="2">
        <v>0</v>
      </c>
      <c r="X143" s="2">
        <v>0.02</v>
      </c>
      <c r="Y143" s="2">
        <v>0</v>
      </c>
      <c r="Z143" s="2">
        <v>0</v>
      </c>
    </row>
    <row r="144" spans="1:26">
      <c r="A144" s="2">
        <v>143</v>
      </c>
      <c r="B144" s="2" t="s">
        <v>21</v>
      </c>
      <c r="C144" s="2" t="s">
        <v>21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1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</row>
    <row r="145" spans="1:26">
      <c r="A145" s="2">
        <v>144</v>
      </c>
      <c r="B145" s="2" t="s">
        <v>21</v>
      </c>
      <c r="C145" s="2" t="s">
        <v>21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1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</row>
    <row r="146" spans="1:26">
      <c r="A146" s="2">
        <v>145</v>
      </c>
      <c r="B146" s="2" t="s">
        <v>21</v>
      </c>
      <c r="C146" s="2" t="s">
        <v>21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1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</row>
    <row r="147" spans="1:26">
      <c r="A147" s="2">
        <v>146</v>
      </c>
      <c r="B147" s="2" t="s">
        <v>21</v>
      </c>
      <c r="C147" s="2" t="s">
        <v>21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0.73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0.27</v>
      </c>
      <c r="Z147" s="2">
        <v>0</v>
      </c>
    </row>
    <row r="148" spans="1:26">
      <c r="A148" s="2">
        <v>147</v>
      </c>
      <c r="B148" s="2" t="s">
        <v>36</v>
      </c>
      <c r="C148" s="2" t="s">
        <v>36</v>
      </c>
      <c r="D148" s="2">
        <v>0</v>
      </c>
      <c r="E148" s="2">
        <v>0</v>
      </c>
      <c r="F148" s="2">
        <v>0</v>
      </c>
      <c r="G148" s="2">
        <v>1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</row>
    <row r="149" spans="1:26">
      <c r="A149" s="2">
        <v>148</v>
      </c>
      <c r="B149" s="2" t="s">
        <v>36</v>
      </c>
      <c r="C149" s="2" t="s">
        <v>36</v>
      </c>
      <c r="D149" s="2">
        <v>0</v>
      </c>
      <c r="E149" s="2">
        <v>0</v>
      </c>
      <c r="F149" s="2">
        <v>0</v>
      </c>
      <c r="G149" s="2">
        <v>0.96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0.04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</row>
    <row r="150" spans="1:26">
      <c r="A150" s="2">
        <v>149</v>
      </c>
      <c r="B150" s="2" t="s">
        <v>36</v>
      </c>
      <c r="C150" s="2" t="s">
        <v>36</v>
      </c>
      <c r="D150" s="2">
        <v>0</v>
      </c>
      <c r="E150" s="2">
        <v>0</v>
      </c>
      <c r="F150" s="2">
        <v>0</v>
      </c>
      <c r="G150" s="2">
        <v>0.73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0.27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</row>
    <row r="151" spans="1:26">
      <c r="A151" s="2">
        <v>150</v>
      </c>
      <c r="B151" s="2" t="s">
        <v>53</v>
      </c>
      <c r="C151" s="2" t="s">
        <v>53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1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</row>
    <row r="152" spans="1:26">
      <c r="A152" s="2">
        <v>151</v>
      </c>
      <c r="B152" s="2" t="s">
        <v>53</v>
      </c>
      <c r="C152" s="2" t="s">
        <v>53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0.96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0.04</v>
      </c>
    </row>
    <row r="153" spans="1:26">
      <c r="A153" s="2">
        <v>152</v>
      </c>
      <c r="B153" s="2" t="s">
        <v>88</v>
      </c>
      <c r="C153" s="2" t="s">
        <v>88</v>
      </c>
      <c r="D153" s="2">
        <v>1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</row>
    <row r="154" spans="1:26">
      <c r="A154" s="2">
        <v>153</v>
      </c>
      <c r="B154" s="2" t="s">
        <v>235</v>
      </c>
      <c r="C154" s="2" t="s">
        <v>235</v>
      </c>
      <c r="D154" s="2">
        <v>0.01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0.02</v>
      </c>
      <c r="N154" s="2">
        <v>0.2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0.11</v>
      </c>
      <c r="W154" s="2">
        <v>0</v>
      </c>
      <c r="X154" s="2">
        <v>0.66</v>
      </c>
      <c r="Y154" s="2">
        <v>0</v>
      </c>
      <c r="Z154" s="2">
        <v>0</v>
      </c>
    </row>
    <row r="155" spans="1:26">
      <c r="A155" s="2">
        <v>154</v>
      </c>
      <c r="B155" s="2" t="s">
        <v>32</v>
      </c>
      <c r="C155" s="2" t="s">
        <v>32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0.08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0.92</v>
      </c>
      <c r="Z155" s="2">
        <v>0</v>
      </c>
    </row>
    <row r="156" spans="1:26">
      <c r="A156" s="2">
        <v>155</v>
      </c>
      <c r="B156" s="2" t="s">
        <v>97</v>
      </c>
      <c r="C156" s="2" t="s">
        <v>97</v>
      </c>
      <c r="D156" s="2">
        <v>0</v>
      </c>
      <c r="E156" s="2">
        <v>0.01</v>
      </c>
      <c r="F156" s="2">
        <v>0</v>
      </c>
      <c r="G156" s="2">
        <v>0</v>
      </c>
      <c r="H156" s="2">
        <v>0.01</v>
      </c>
      <c r="I156" s="2">
        <v>0</v>
      </c>
      <c r="J156" s="2">
        <v>0</v>
      </c>
      <c r="K156" s="2">
        <v>0</v>
      </c>
      <c r="L156" s="2">
        <v>0</v>
      </c>
      <c r="M156" s="2">
        <v>0.89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0.09</v>
      </c>
      <c r="W156" s="2">
        <v>0</v>
      </c>
      <c r="X156" s="2">
        <v>0</v>
      </c>
      <c r="Y156" s="2">
        <v>0</v>
      </c>
      <c r="Z156" s="2">
        <v>0</v>
      </c>
    </row>
    <row r="157" spans="1:26">
      <c r="A157" s="2">
        <v>156</v>
      </c>
      <c r="B157" s="2" t="s">
        <v>26</v>
      </c>
      <c r="C157" s="2" t="s">
        <v>26</v>
      </c>
      <c r="D157" s="2">
        <v>0</v>
      </c>
      <c r="E157" s="2">
        <v>0</v>
      </c>
      <c r="F157" s="2">
        <v>0.75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0.25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</row>
    <row r="158" spans="1:26">
      <c r="A158" s="2">
        <v>157</v>
      </c>
      <c r="B158" s="2" t="s">
        <v>21</v>
      </c>
      <c r="C158" s="2" t="s">
        <v>21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1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</row>
    <row r="159" spans="1:26">
      <c r="A159" s="2">
        <v>158</v>
      </c>
      <c r="B159" s="2" t="s">
        <v>50</v>
      </c>
      <c r="C159" s="2" t="s">
        <v>50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0.01</v>
      </c>
      <c r="Q159" s="2">
        <v>0.98</v>
      </c>
      <c r="R159" s="2">
        <v>0</v>
      </c>
      <c r="S159" s="2">
        <v>0</v>
      </c>
      <c r="T159" s="2">
        <v>0.01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</row>
    <row r="160" spans="1:26">
      <c r="A160" s="2">
        <v>159</v>
      </c>
      <c r="B160" s="2" t="s">
        <v>133</v>
      </c>
      <c r="C160" s="2" t="s">
        <v>133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0.01</v>
      </c>
      <c r="U160" s="2">
        <v>0</v>
      </c>
      <c r="V160" s="2">
        <v>0</v>
      </c>
      <c r="W160" s="2">
        <v>0.99</v>
      </c>
      <c r="X160" s="2">
        <v>0</v>
      </c>
      <c r="Y160" s="2">
        <v>0</v>
      </c>
      <c r="Z160" s="2">
        <v>0</v>
      </c>
    </row>
    <row r="161" spans="1:26">
      <c r="A161" s="2">
        <v>160</v>
      </c>
      <c r="B161" s="2" t="s">
        <v>36</v>
      </c>
      <c r="C161" s="2" t="s">
        <v>36</v>
      </c>
      <c r="D161" s="2">
        <v>0</v>
      </c>
      <c r="E161" s="2">
        <v>0</v>
      </c>
      <c r="F161" s="2">
        <v>0</v>
      </c>
      <c r="G161" s="2">
        <v>1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</row>
    <row r="162" spans="1:26">
      <c r="A162" s="2">
        <v>161</v>
      </c>
      <c r="B162" s="2" t="s">
        <v>36</v>
      </c>
      <c r="C162" s="2" t="s">
        <v>36</v>
      </c>
      <c r="D162" s="2">
        <v>0</v>
      </c>
      <c r="E162" s="2">
        <v>0</v>
      </c>
      <c r="F162" s="2">
        <v>0</v>
      </c>
      <c r="G162" s="2">
        <v>0.85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0.15</v>
      </c>
      <c r="S162" s="2">
        <v>0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</row>
    <row r="163" spans="1:26">
      <c r="A163" s="2">
        <v>162</v>
      </c>
      <c r="B163" s="2" t="s">
        <v>36</v>
      </c>
      <c r="C163" s="2" t="s">
        <v>36</v>
      </c>
      <c r="D163" s="2">
        <v>0</v>
      </c>
      <c r="E163" s="2">
        <v>0</v>
      </c>
      <c r="F163" s="2">
        <v>0</v>
      </c>
      <c r="G163" s="2">
        <v>1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</row>
    <row r="164" spans="1:26">
      <c r="A164" s="2">
        <v>163</v>
      </c>
      <c r="B164" s="2" t="s">
        <v>26</v>
      </c>
      <c r="C164" s="2" t="s">
        <v>26</v>
      </c>
      <c r="D164" s="2">
        <v>0</v>
      </c>
      <c r="E164" s="2">
        <v>0</v>
      </c>
      <c r="F164" s="2">
        <v>1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</row>
    <row r="165" spans="1:26">
      <c r="A165" s="2">
        <v>164</v>
      </c>
      <c r="B165" s="2" t="s">
        <v>36</v>
      </c>
      <c r="C165" s="2" t="s">
        <v>36</v>
      </c>
      <c r="D165" s="2">
        <v>0</v>
      </c>
      <c r="E165" s="2">
        <v>0</v>
      </c>
      <c r="F165" s="2">
        <v>0</v>
      </c>
      <c r="G165" s="2">
        <v>0.99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0.01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</row>
    <row r="166" spans="1:26">
      <c r="A166" s="2">
        <v>165</v>
      </c>
      <c r="B166" s="2" t="s">
        <v>36</v>
      </c>
      <c r="C166" s="2" t="s">
        <v>36</v>
      </c>
      <c r="D166" s="2">
        <v>0</v>
      </c>
      <c r="E166" s="2">
        <v>0</v>
      </c>
      <c r="F166" s="2">
        <v>0</v>
      </c>
      <c r="G166" s="2">
        <v>0.57999999999999996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0.42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</row>
    <row r="167" spans="1:26">
      <c r="A167" s="2">
        <v>166</v>
      </c>
      <c r="B167" s="2" t="s">
        <v>32</v>
      </c>
      <c r="C167" s="2" t="s">
        <v>32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0.01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0.99</v>
      </c>
      <c r="Z167" s="2">
        <v>0</v>
      </c>
    </row>
    <row r="168" spans="1:26">
      <c r="A168" s="2">
        <v>167</v>
      </c>
      <c r="B168" s="2" t="s">
        <v>50</v>
      </c>
      <c r="C168" s="2" t="s">
        <v>50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1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</row>
    <row r="169" spans="1:26">
      <c r="A169" s="2">
        <v>168</v>
      </c>
      <c r="B169" s="2" t="s">
        <v>26</v>
      </c>
      <c r="C169" s="2" t="s">
        <v>26</v>
      </c>
      <c r="D169" s="2">
        <v>0</v>
      </c>
      <c r="E169" s="2">
        <v>0</v>
      </c>
      <c r="F169" s="2">
        <v>1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</row>
    <row r="170" spans="1:26">
      <c r="A170" s="2">
        <v>169</v>
      </c>
      <c r="B170" s="2" t="s">
        <v>21</v>
      </c>
      <c r="C170" s="2" t="s">
        <v>21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0.99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0.01</v>
      </c>
      <c r="Z170" s="2">
        <v>0</v>
      </c>
    </row>
    <row r="171" spans="1:26">
      <c r="A171" s="2">
        <v>170</v>
      </c>
      <c r="B171" s="2" t="s">
        <v>36</v>
      </c>
      <c r="C171" s="2" t="s">
        <v>36</v>
      </c>
      <c r="D171" s="2">
        <v>0</v>
      </c>
      <c r="E171" s="2">
        <v>0</v>
      </c>
      <c r="F171" s="2">
        <v>0</v>
      </c>
      <c r="G171" s="2">
        <v>1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</row>
    <row r="172" spans="1:26">
      <c r="A172" s="2">
        <v>171</v>
      </c>
      <c r="B172" s="2" t="s">
        <v>32</v>
      </c>
      <c r="C172" s="2" t="s">
        <v>32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0.05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0.95</v>
      </c>
      <c r="Z172" s="2">
        <v>0</v>
      </c>
    </row>
    <row r="173" spans="1:26">
      <c r="A173" s="2">
        <v>172</v>
      </c>
      <c r="B173" s="2" t="s">
        <v>97</v>
      </c>
      <c r="C173" s="2" t="s">
        <v>97</v>
      </c>
      <c r="D173" s="2">
        <v>0</v>
      </c>
      <c r="E173" s="2">
        <v>0.14000000000000001</v>
      </c>
      <c r="F173" s="2">
        <v>0</v>
      </c>
      <c r="G173" s="2">
        <v>0</v>
      </c>
      <c r="H173" s="2">
        <v>0.26</v>
      </c>
      <c r="I173" s="2">
        <v>0</v>
      </c>
      <c r="J173" s="2">
        <v>0</v>
      </c>
      <c r="K173" s="2">
        <v>0</v>
      </c>
      <c r="L173" s="2">
        <v>0</v>
      </c>
      <c r="M173" s="2">
        <v>0.57999999999999996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0.02</v>
      </c>
      <c r="W173" s="2">
        <v>0</v>
      </c>
      <c r="X173" s="2">
        <v>0</v>
      </c>
      <c r="Y173" s="2">
        <v>0</v>
      </c>
      <c r="Z173" s="2">
        <v>0</v>
      </c>
    </row>
    <row r="174" spans="1:26">
      <c r="A174" s="2">
        <v>173</v>
      </c>
      <c r="B174" s="2" t="s">
        <v>32</v>
      </c>
      <c r="C174" s="2" t="s">
        <v>32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0.28000000000000003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0.72</v>
      </c>
      <c r="Z174" s="2">
        <v>0</v>
      </c>
    </row>
    <row r="175" spans="1:26">
      <c r="A175" s="2">
        <v>174</v>
      </c>
      <c r="B175" s="2" t="s">
        <v>26</v>
      </c>
      <c r="C175" s="2" t="s">
        <v>26</v>
      </c>
      <c r="D175" s="2">
        <v>0</v>
      </c>
      <c r="E175" s="2">
        <v>0</v>
      </c>
      <c r="F175" s="2">
        <v>0.85</v>
      </c>
      <c r="G175" s="2">
        <v>0.02</v>
      </c>
      <c r="H175" s="2">
        <v>0</v>
      </c>
      <c r="I175" s="2">
        <v>0</v>
      </c>
      <c r="J175" s="2">
        <v>0</v>
      </c>
      <c r="K175" s="2">
        <v>0</v>
      </c>
      <c r="L175" s="2">
        <v>0.05</v>
      </c>
      <c r="M175" s="2">
        <v>0</v>
      </c>
      <c r="N175" s="2">
        <v>0</v>
      </c>
      <c r="O175" s="2">
        <v>0.02</v>
      </c>
      <c r="P175" s="2">
        <v>0</v>
      </c>
      <c r="Q175" s="2">
        <v>0</v>
      </c>
      <c r="R175" s="2">
        <v>0</v>
      </c>
      <c r="S175" s="2">
        <v>0</v>
      </c>
      <c r="T175" s="2">
        <v>0.06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</row>
    <row r="176" spans="1:26">
      <c r="A176" s="2">
        <v>175</v>
      </c>
      <c r="B176" s="2" t="s">
        <v>32</v>
      </c>
      <c r="C176" s="2" t="s">
        <v>32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1</v>
      </c>
      <c r="Z176" s="2">
        <v>0</v>
      </c>
    </row>
    <row r="177" spans="1:26">
      <c r="A177" s="2">
        <v>176</v>
      </c>
      <c r="B177" s="2" t="s">
        <v>50</v>
      </c>
      <c r="C177" s="2" t="s">
        <v>50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1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</row>
    <row r="178" spans="1:26">
      <c r="A178" s="2">
        <v>177</v>
      </c>
      <c r="B178" s="2" t="s">
        <v>21</v>
      </c>
      <c r="C178" s="2" t="s">
        <v>21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0.96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0.04</v>
      </c>
      <c r="Z178" s="2">
        <v>0</v>
      </c>
    </row>
    <row r="179" spans="1:26">
      <c r="A179" s="2">
        <v>178</v>
      </c>
      <c r="B179" s="2" t="s">
        <v>21</v>
      </c>
      <c r="C179" s="2" t="s">
        <v>21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1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</row>
    <row r="180" spans="1:26">
      <c r="A180" s="2">
        <v>179</v>
      </c>
      <c r="B180" s="2" t="s">
        <v>63</v>
      </c>
      <c r="C180" s="2" t="s">
        <v>63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1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</row>
    <row r="181" spans="1:26">
      <c r="A181" s="2">
        <v>180</v>
      </c>
      <c r="B181" s="2" t="s">
        <v>36</v>
      </c>
      <c r="C181" s="2" t="s">
        <v>36</v>
      </c>
      <c r="D181" s="2">
        <v>0</v>
      </c>
      <c r="E181" s="2">
        <v>0</v>
      </c>
      <c r="F181" s="2">
        <v>0</v>
      </c>
      <c r="G181" s="2">
        <v>1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</row>
    <row r="182" spans="1:26">
      <c r="A182" s="2">
        <v>181</v>
      </c>
      <c r="B182" s="2" t="s">
        <v>36</v>
      </c>
      <c r="C182" s="2" t="s">
        <v>36</v>
      </c>
      <c r="D182" s="2">
        <v>0</v>
      </c>
      <c r="E182" s="2">
        <v>0</v>
      </c>
      <c r="F182" s="2">
        <v>0</v>
      </c>
      <c r="G182" s="2">
        <v>1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</row>
    <row r="183" spans="1:26">
      <c r="A183" s="2">
        <v>182</v>
      </c>
      <c r="B183" s="2" t="s">
        <v>26</v>
      </c>
      <c r="C183" s="2" t="s">
        <v>26</v>
      </c>
      <c r="D183" s="2">
        <v>0</v>
      </c>
      <c r="E183" s="2">
        <v>0</v>
      </c>
      <c r="F183" s="2">
        <v>0.98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0.02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</row>
    <row r="184" spans="1:26">
      <c r="A184" s="2">
        <v>183</v>
      </c>
      <c r="B184" s="2" t="s">
        <v>32</v>
      </c>
      <c r="C184" s="2" t="s">
        <v>32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1</v>
      </c>
      <c r="Z184" s="2">
        <v>0</v>
      </c>
    </row>
    <row r="185" spans="1:26">
      <c r="A185" s="2">
        <v>184</v>
      </c>
      <c r="B185" s="2" t="s">
        <v>21</v>
      </c>
      <c r="C185" s="2" t="s">
        <v>21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1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</row>
    <row r="186" spans="1:26">
      <c r="A186" s="2">
        <v>185</v>
      </c>
      <c r="B186" s="2" t="s">
        <v>36</v>
      </c>
      <c r="C186" s="2" t="s">
        <v>36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</row>
    <row r="187" spans="1:26">
      <c r="A187" s="2">
        <v>186</v>
      </c>
      <c r="B187" s="2" t="s">
        <v>21</v>
      </c>
      <c r="C187" s="2" t="s">
        <v>21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0.97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0.03</v>
      </c>
      <c r="Z187" s="2">
        <v>0</v>
      </c>
    </row>
    <row r="188" spans="1:26">
      <c r="A188" s="2">
        <v>187</v>
      </c>
      <c r="B188" s="2" t="s">
        <v>21</v>
      </c>
      <c r="C188" s="2" t="s">
        <v>21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1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</row>
    <row r="189" spans="1:26">
      <c r="A189" s="2">
        <v>188</v>
      </c>
      <c r="B189" s="2" t="s">
        <v>36</v>
      </c>
      <c r="C189" s="2" t="s">
        <v>36</v>
      </c>
      <c r="D189" s="2">
        <v>0</v>
      </c>
      <c r="E189" s="2">
        <v>0</v>
      </c>
      <c r="F189" s="2">
        <v>0</v>
      </c>
      <c r="G189" s="2">
        <v>1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</row>
    <row r="190" spans="1:26">
      <c r="A190" s="2">
        <v>189</v>
      </c>
      <c r="B190" s="2" t="s">
        <v>21</v>
      </c>
      <c r="C190" s="2" t="s">
        <v>21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1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</row>
    <row r="191" spans="1:26">
      <c r="A191" s="2">
        <v>190</v>
      </c>
      <c r="B191" s="2" t="s">
        <v>32</v>
      </c>
      <c r="C191" s="2" t="s">
        <v>32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0.06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0.94</v>
      </c>
      <c r="Z191" s="2">
        <v>0</v>
      </c>
    </row>
    <row r="192" spans="1:26">
      <c r="A192" s="2">
        <v>191</v>
      </c>
      <c r="B192" s="2" t="s">
        <v>36</v>
      </c>
      <c r="C192" s="2" t="s">
        <v>36</v>
      </c>
      <c r="D192" s="2">
        <v>0</v>
      </c>
      <c r="E192" s="2">
        <v>0</v>
      </c>
      <c r="F192" s="2">
        <v>0</v>
      </c>
      <c r="G192" s="2">
        <v>1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</row>
    <row r="193" spans="1:26">
      <c r="A193" s="2">
        <v>192</v>
      </c>
      <c r="B193" s="2" t="s">
        <v>50</v>
      </c>
      <c r="C193" s="2" t="s">
        <v>50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1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</row>
    <row r="194" spans="1:26">
      <c r="A194" s="2">
        <v>193</v>
      </c>
      <c r="B194" s="2" t="s">
        <v>21</v>
      </c>
      <c r="C194" s="2" t="s">
        <v>21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1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</row>
    <row r="195" spans="1:26">
      <c r="A195" s="2">
        <v>194</v>
      </c>
      <c r="B195" s="2" t="s">
        <v>88</v>
      </c>
      <c r="C195" s="2" t="s">
        <v>88</v>
      </c>
      <c r="D195" s="2">
        <v>0.96</v>
      </c>
      <c r="E195" s="2">
        <v>0.01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0.02</v>
      </c>
      <c r="M195" s="2">
        <v>0</v>
      </c>
      <c r="N195" s="2">
        <v>0.01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</row>
    <row r="196" spans="1:26">
      <c r="A196" s="2">
        <v>195</v>
      </c>
      <c r="B196" s="2" t="s">
        <v>50</v>
      </c>
      <c r="C196" s="2" t="s">
        <v>50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1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</row>
    <row r="197" spans="1:26">
      <c r="A197" s="2">
        <v>196</v>
      </c>
      <c r="B197" s="2" t="s">
        <v>133</v>
      </c>
      <c r="C197" s="2" t="s">
        <v>133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0.01</v>
      </c>
      <c r="U197" s="2">
        <v>0</v>
      </c>
      <c r="V197" s="2">
        <v>0</v>
      </c>
      <c r="W197" s="2">
        <v>0.99</v>
      </c>
      <c r="X197" s="2">
        <v>0</v>
      </c>
      <c r="Y197" s="2">
        <v>0</v>
      </c>
      <c r="Z197" s="2">
        <v>0</v>
      </c>
    </row>
    <row r="198" spans="1:26">
      <c r="A198" s="2">
        <v>197</v>
      </c>
      <c r="B198" s="2" t="s">
        <v>36</v>
      </c>
      <c r="C198" s="2" t="s">
        <v>36</v>
      </c>
      <c r="D198" s="2">
        <v>0</v>
      </c>
      <c r="E198" s="2">
        <v>0</v>
      </c>
      <c r="F198" s="2">
        <v>0</v>
      </c>
      <c r="G198" s="2">
        <v>0.97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0.03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</row>
    <row r="199" spans="1:26">
      <c r="A199" s="2">
        <v>198</v>
      </c>
      <c r="B199" s="2" t="s">
        <v>36</v>
      </c>
      <c r="C199" s="2" t="s">
        <v>36</v>
      </c>
      <c r="D199" s="2">
        <v>0</v>
      </c>
      <c r="E199" s="2">
        <v>0</v>
      </c>
      <c r="F199" s="2">
        <v>0</v>
      </c>
      <c r="G199" s="2">
        <v>1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</row>
    <row r="200" spans="1:26">
      <c r="A200" s="2">
        <v>199</v>
      </c>
      <c r="B200" s="2" t="s">
        <v>148</v>
      </c>
      <c r="C200" s="2" t="s">
        <v>148</v>
      </c>
      <c r="D200" s="2">
        <v>0</v>
      </c>
      <c r="E200" s="2">
        <v>0</v>
      </c>
      <c r="F200" s="2">
        <v>0</v>
      </c>
      <c r="G200" s="2">
        <v>0.25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0.75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</row>
    <row r="201" spans="1:26">
      <c r="A201" s="2">
        <v>200</v>
      </c>
      <c r="B201" s="2" t="s">
        <v>32</v>
      </c>
      <c r="C201" s="2" t="s">
        <v>32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0.42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0.57999999999999996</v>
      </c>
      <c r="Z201" s="2">
        <v>0</v>
      </c>
    </row>
    <row r="202" spans="1:26">
      <c r="A202" s="2">
        <v>201</v>
      </c>
      <c r="B202" s="2" t="s">
        <v>36</v>
      </c>
      <c r="C202" s="2" t="s">
        <v>36</v>
      </c>
      <c r="D202" s="2">
        <v>0</v>
      </c>
      <c r="E202" s="2">
        <v>0</v>
      </c>
      <c r="F202" s="2">
        <v>0</v>
      </c>
      <c r="G202" s="2">
        <v>1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</row>
    <row r="203" spans="1:26">
      <c r="A203" s="2">
        <v>202</v>
      </c>
      <c r="B203" s="2" t="s">
        <v>53</v>
      </c>
      <c r="C203" s="2" t="s">
        <v>53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0.99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0.01</v>
      </c>
    </row>
    <row r="204" spans="1:26">
      <c r="A204" s="2">
        <v>203</v>
      </c>
      <c r="B204" s="2" t="s">
        <v>50</v>
      </c>
      <c r="C204" s="2" t="s">
        <v>50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1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</row>
    <row r="205" spans="1:26">
      <c r="A205" s="2">
        <v>204</v>
      </c>
      <c r="B205" s="2" t="s">
        <v>32</v>
      </c>
      <c r="C205" s="2" t="s">
        <v>32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0.03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0.97</v>
      </c>
      <c r="Z205" s="2">
        <v>0</v>
      </c>
    </row>
    <row r="206" spans="1:26">
      <c r="A206" s="2">
        <v>205</v>
      </c>
      <c r="B206" s="2" t="s">
        <v>36</v>
      </c>
      <c r="C206" s="2" t="s">
        <v>36</v>
      </c>
      <c r="D206" s="2">
        <v>0</v>
      </c>
      <c r="E206" s="2">
        <v>0</v>
      </c>
      <c r="F206" s="2">
        <v>0</v>
      </c>
      <c r="G206" s="2">
        <v>1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</row>
    <row r="207" spans="1:26">
      <c r="A207" s="2">
        <v>206</v>
      </c>
      <c r="B207" s="2" t="s">
        <v>50</v>
      </c>
      <c r="C207" s="2" t="s">
        <v>50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1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</row>
    <row r="208" spans="1:26">
      <c r="A208" s="2">
        <v>207</v>
      </c>
      <c r="B208" s="2" t="s">
        <v>97</v>
      </c>
      <c r="C208" s="2" t="s">
        <v>97</v>
      </c>
      <c r="D208" s="2">
        <v>0</v>
      </c>
      <c r="E208" s="2">
        <v>0.01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0.74</v>
      </c>
      <c r="N208" s="2">
        <v>0.02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0.15</v>
      </c>
      <c r="W208" s="2">
        <v>0</v>
      </c>
      <c r="X208" s="2">
        <v>0.08</v>
      </c>
      <c r="Y208" s="2">
        <v>0</v>
      </c>
      <c r="Z208" s="2">
        <v>0</v>
      </c>
    </row>
    <row r="209" spans="1:26">
      <c r="A209" s="2">
        <v>208</v>
      </c>
      <c r="B209" s="2" t="s">
        <v>36</v>
      </c>
      <c r="C209" s="2" t="s">
        <v>36</v>
      </c>
      <c r="D209" s="2">
        <v>0</v>
      </c>
      <c r="E209" s="2">
        <v>0</v>
      </c>
      <c r="F209" s="2">
        <v>0</v>
      </c>
      <c r="G209" s="2">
        <v>1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</row>
    <row r="210" spans="1:26">
      <c r="A210" s="2">
        <v>209</v>
      </c>
      <c r="B210" s="2" t="s">
        <v>26</v>
      </c>
      <c r="C210" s="2" t="s">
        <v>26</v>
      </c>
      <c r="D210" s="2">
        <v>0</v>
      </c>
      <c r="E210" s="2">
        <v>0</v>
      </c>
      <c r="F210" s="2">
        <v>0.98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0.02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</row>
    <row r="211" spans="1:26">
      <c r="A211" s="2">
        <v>210</v>
      </c>
      <c r="B211" s="2" t="s">
        <v>26</v>
      </c>
      <c r="C211" s="2" t="s">
        <v>26</v>
      </c>
      <c r="D211" s="2">
        <v>0</v>
      </c>
      <c r="E211" s="2">
        <v>0</v>
      </c>
      <c r="F211" s="2">
        <v>0.96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0.04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</row>
    <row r="212" spans="1:26">
      <c r="A212" s="2">
        <v>211</v>
      </c>
      <c r="B212" s="2" t="s">
        <v>88</v>
      </c>
      <c r="C212" s="2" t="s">
        <v>88</v>
      </c>
      <c r="D212" s="2">
        <v>1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</row>
    <row r="213" spans="1:26">
      <c r="A213" s="2">
        <v>212</v>
      </c>
      <c r="B213" s="2" t="s">
        <v>69</v>
      </c>
      <c r="C213" s="2" t="s">
        <v>69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7.0000000000000007E-2</v>
      </c>
      <c r="J213" s="2">
        <v>0</v>
      </c>
      <c r="K213" s="2">
        <v>0</v>
      </c>
      <c r="L213" s="2">
        <v>0.01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0.92</v>
      </c>
    </row>
    <row r="214" spans="1:26">
      <c r="A214" s="2">
        <v>213</v>
      </c>
      <c r="B214" s="2" t="s">
        <v>21</v>
      </c>
      <c r="C214" s="2" t="s">
        <v>21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1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</row>
    <row r="215" spans="1:26">
      <c r="A215" s="2">
        <v>214</v>
      </c>
      <c r="B215" s="2" t="s">
        <v>36</v>
      </c>
      <c r="C215" s="2" t="s">
        <v>36</v>
      </c>
      <c r="D215" s="2">
        <v>0</v>
      </c>
      <c r="E215" s="2">
        <v>0</v>
      </c>
      <c r="F215" s="2">
        <v>0</v>
      </c>
      <c r="G215" s="2">
        <v>1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</row>
    <row r="216" spans="1:26">
      <c r="A216" s="2">
        <v>215</v>
      </c>
      <c r="B216" s="2" t="s">
        <v>36</v>
      </c>
      <c r="C216" s="2" t="s">
        <v>36</v>
      </c>
      <c r="D216" s="2">
        <v>0</v>
      </c>
      <c r="E216" s="2">
        <v>0</v>
      </c>
      <c r="F216" s="2">
        <v>0</v>
      </c>
      <c r="G216" s="2">
        <v>1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</row>
    <row r="217" spans="1:26">
      <c r="A217" s="2">
        <v>216</v>
      </c>
      <c r="B217" s="2" t="s">
        <v>63</v>
      </c>
      <c r="C217" s="2" t="s">
        <v>63</v>
      </c>
      <c r="D217" s="2">
        <v>0</v>
      </c>
      <c r="E217" s="2">
        <v>0</v>
      </c>
      <c r="F217" s="2">
        <v>0.01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0.02</v>
      </c>
      <c r="M217" s="2">
        <v>0</v>
      </c>
      <c r="N217" s="2">
        <v>0</v>
      </c>
      <c r="O217" s="2">
        <v>0.97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</row>
    <row r="218" spans="1:26">
      <c r="A218" s="2">
        <v>217</v>
      </c>
      <c r="B218" s="2" t="s">
        <v>88</v>
      </c>
      <c r="C218" s="2" t="s">
        <v>88</v>
      </c>
      <c r="D218" s="2">
        <v>1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</row>
    <row r="219" spans="1:26">
      <c r="A219" s="2">
        <v>218</v>
      </c>
      <c r="B219" s="2" t="s">
        <v>21</v>
      </c>
      <c r="C219" s="2" t="s">
        <v>21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0.06</v>
      </c>
      <c r="J219" s="2">
        <v>0</v>
      </c>
      <c r="K219" s="2">
        <v>0</v>
      </c>
      <c r="L219" s="2">
        <v>0.8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0.12</v>
      </c>
      <c r="Z219" s="2">
        <v>0.02</v>
      </c>
    </row>
    <row r="220" spans="1:26">
      <c r="A220" s="2">
        <v>219</v>
      </c>
      <c r="B220" s="2" t="s">
        <v>36</v>
      </c>
      <c r="C220" s="2" t="s">
        <v>36</v>
      </c>
      <c r="D220" s="2">
        <v>0</v>
      </c>
      <c r="E220" s="2">
        <v>0</v>
      </c>
      <c r="F220" s="2">
        <v>0</v>
      </c>
      <c r="G220" s="2">
        <v>1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</row>
    <row r="221" spans="1:26">
      <c r="A221" s="2">
        <v>220</v>
      </c>
      <c r="B221" s="2" t="s">
        <v>36</v>
      </c>
      <c r="C221" s="2" t="s">
        <v>36</v>
      </c>
      <c r="D221" s="2">
        <v>0</v>
      </c>
      <c r="E221" s="2">
        <v>0</v>
      </c>
      <c r="F221" s="2">
        <v>0</v>
      </c>
      <c r="G221" s="2">
        <v>1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</row>
    <row r="222" spans="1:26">
      <c r="A222" s="2">
        <v>221</v>
      </c>
      <c r="B222" s="2" t="s">
        <v>53</v>
      </c>
      <c r="C222" s="2" t="s">
        <v>53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0.99</v>
      </c>
      <c r="J222" s="2">
        <v>0</v>
      </c>
      <c r="K222" s="2">
        <v>0</v>
      </c>
      <c r="L222" s="2">
        <v>0.01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</row>
    <row r="223" spans="1:26">
      <c r="A223" s="2">
        <v>222</v>
      </c>
      <c r="B223" s="2" t="s">
        <v>36</v>
      </c>
      <c r="C223" s="2" t="s">
        <v>36</v>
      </c>
      <c r="D223" s="2">
        <v>0</v>
      </c>
      <c r="E223" s="2">
        <v>0</v>
      </c>
      <c r="F223" s="2">
        <v>0</v>
      </c>
      <c r="G223" s="2">
        <v>1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</row>
    <row r="224" spans="1:26">
      <c r="A224" s="2">
        <v>223</v>
      </c>
      <c r="B224" s="2" t="s">
        <v>133</v>
      </c>
      <c r="C224" s="2" t="s">
        <v>133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0.21</v>
      </c>
      <c r="U224" s="2">
        <v>0</v>
      </c>
      <c r="V224" s="2">
        <v>0</v>
      </c>
      <c r="W224" s="2">
        <v>0.79</v>
      </c>
      <c r="X224" s="2">
        <v>0</v>
      </c>
      <c r="Y224" s="2">
        <v>0</v>
      </c>
      <c r="Z224" s="2">
        <v>0</v>
      </c>
    </row>
    <row r="225" spans="1:26">
      <c r="A225" s="2">
        <v>224</v>
      </c>
      <c r="B225" s="2" t="s">
        <v>21</v>
      </c>
      <c r="C225" s="2" t="s">
        <v>21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0.1</v>
      </c>
      <c r="J225" s="2">
        <v>0</v>
      </c>
      <c r="K225" s="2">
        <v>0</v>
      </c>
      <c r="L225" s="2">
        <v>0.65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0.25</v>
      </c>
    </row>
    <row r="226" spans="1:26">
      <c r="A226" s="2">
        <v>225</v>
      </c>
      <c r="B226" s="2" t="s">
        <v>50</v>
      </c>
      <c r="C226" s="2" t="s">
        <v>50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1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</row>
    <row r="227" spans="1:26">
      <c r="A227" s="2">
        <v>226</v>
      </c>
      <c r="B227" s="2" t="s">
        <v>133</v>
      </c>
      <c r="C227" s="2" t="s">
        <v>133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0.06</v>
      </c>
      <c r="U227" s="2">
        <v>0</v>
      </c>
      <c r="V227" s="2">
        <v>0</v>
      </c>
      <c r="W227" s="2">
        <v>0.94</v>
      </c>
      <c r="X227" s="2">
        <v>0</v>
      </c>
      <c r="Y227" s="2">
        <v>0</v>
      </c>
      <c r="Z227" s="2">
        <v>0</v>
      </c>
    </row>
    <row r="228" spans="1:26">
      <c r="A228" s="2">
        <v>227</v>
      </c>
      <c r="B228" s="2" t="s">
        <v>36</v>
      </c>
      <c r="C228" s="2" t="s">
        <v>36</v>
      </c>
      <c r="D228" s="2">
        <v>0</v>
      </c>
      <c r="E228" s="2">
        <v>0</v>
      </c>
      <c r="F228" s="2">
        <v>0</v>
      </c>
      <c r="G228" s="2">
        <v>0.87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0.13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</row>
    <row r="229" spans="1:26">
      <c r="A229" s="2">
        <v>228</v>
      </c>
      <c r="B229" s="2" t="s">
        <v>50</v>
      </c>
      <c r="C229" s="2" t="s">
        <v>50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1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</row>
    <row r="230" spans="1:26">
      <c r="A230" s="2">
        <v>229</v>
      </c>
      <c r="B230" s="2" t="s">
        <v>36</v>
      </c>
      <c r="C230" s="2" t="s">
        <v>36</v>
      </c>
      <c r="D230" s="2">
        <v>0</v>
      </c>
      <c r="E230" s="2">
        <v>0</v>
      </c>
      <c r="F230" s="2">
        <v>0</v>
      </c>
      <c r="G230" s="2">
        <v>1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</row>
    <row r="231" spans="1:26">
      <c r="A231" s="2">
        <v>230</v>
      </c>
      <c r="B231" s="2" t="s">
        <v>50</v>
      </c>
      <c r="C231" s="2" t="s">
        <v>50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1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</row>
    <row r="232" spans="1:26">
      <c r="A232" s="2">
        <v>231</v>
      </c>
      <c r="B232" s="2" t="s">
        <v>21</v>
      </c>
      <c r="C232" s="2" t="s">
        <v>21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1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</row>
    <row r="233" spans="1:26">
      <c r="A233" s="2">
        <v>232</v>
      </c>
      <c r="B233" s="2" t="s">
        <v>36</v>
      </c>
      <c r="C233" s="2" t="s">
        <v>36</v>
      </c>
      <c r="D233" s="2">
        <v>0</v>
      </c>
      <c r="E233" s="2">
        <v>0</v>
      </c>
      <c r="F233" s="2">
        <v>0</v>
      </c>
      <c r="G233" s="2">
        <v>0.97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0.03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</row>
    <row r="234" spans="1:26">
      <c r="A234" s="2">
        <v>233</v>
      </c>
      <c r="B234" s="2" t="s">
        <v>21</v>
      </c>
      <c r="C234" s="2" t="s">
        <v>21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0.94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0.03</v>
      </c>
      <c r="Z234" s="2">
        <v>0.03</v>
      </c>
    </row>
    <row r="235" spans="1:26">
      <c r="A235" s="2">
        <v>234</v>
      </c>
      <c r="B235" s="2" t="s">
        <v>36</v>
      </c>
      <c r="C235" s="2" t="s">
        <v>36</v>
      </c>
      <c r="D235" s="2">
        <v>0</v>
      </c>
      <c r="E235" s="2">
        <v>0</v>
      </c>
      <c r="F235" s="2">
        <v>0</v>
      </c>
      <c r="G235" s="2">
        <v>1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</row>
    <row r="236" spans="1:26">
      <c r="A236" s="2">
        <v>235</v>
      </c>
      <c r="B236" s="2" t="s">
        <v>88</v>
      </c>
      <c r="C236" s="2" t="s">
        <v>88</v>
      </c>
      <c r="D236" s="2">
        <v>1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</row>
    <row r="237" spans="1:26">
      <c r="A237" s="2">
        <v>236</v>
      </c>
      <c r="B237" s="2" t="s">
        <v>63</v>
      </c>
      <c r="C237" s="2" t="s">
        <v>63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1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</row>
    <row r="238" spans="1:26">
      <c r="A238" s="2">
        <v>237</v>
      </c>
      <c r="B238" s="2" t="s">
        <v>50</v>
      </c>
      <c r="C238" s="2" t="s">
        <v>50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1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</row>
    <row r="239" spans="1:26">
      <c r="A239" s="2">
        <v>238</v>
      </c>
      <c r="B239" s="2" t="s">
        <v>161</v>
      </c>
      <c r="C239" s="2" t="s">
        <v>161</v>
      </c>
      <c r="D239" s="2">
        <v>0</v>
      </c>
      <c r="E239" s="2">
        <v>0</v>
      </c>
      <c r="F239" s="2">
        <v>0</v>
      </c>
      <c r="G239" s="2">
        <v>0</v>
      </c>
      <c r="H239" s="2">
        <v>0.95</v>
      </c>
      <c r="I239" s="2">
        <v>0</v>
      </c>
      <c r="J239" s="2">
        <v>0</v>
      </c>
      <c r="K239" s="2">
        <v>0.01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0.04</v>
      </c>
      <c r="Y239" s="2">
        <v>0</v>
      </c>
      <c r="Z239" s="2">
        <v>0</v>
      </c>
    </row>
    <row r="240" spans="1:26">
      <c r="A240" s="2">
        <v>239</v>
      </c>
      <c r="B240" s="2" t="s">
        <v>133</v>
      </c>
      <c r="C240" s="2" t="s">
        <v>133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0.01</v>
      </c>
      <c r="U240" s="2">
        <v>0</v>
      </c>
      <c r="V240" s="2">
        <v>0</v>
      </c>
      <c r="W240" s="2">
        <v>0.99</v>
      </c>
      <c r="X240" s="2">
        <v>0</v>
      </c>
      <c r="Y240" s="2">
        <v>0</v>
      </c>
      <c r="Z240" s="2">
        <v>0</v>
      </c>
    </row>
    <row r="241" spans="1:26">
      <c r="A241" s="2">
        <v>240</v>
      </c>
      <c r="B241" s="2" t="s">
        <v>63</v>
      </c>
      <c r="C241" s="2" t="s">
        <v>63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1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</row>
    <row r="242" spans="1:26">
      <c r="A242" s="2">
        <v>241</v>
      </c>
      <c r="B242" s="2" t="s">
        <v>32</v>
      </c>
      <c r="C242" s="2" t="s">
        <v>32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1</v>
      </c>
      <c r="Z242" s="2">
        <v>0</v>
      </c>
    </row>
    <row r="243" spans="1:26">
      <c r="A243" s="2">
        <v>242</v>
      </c>
      <c r="B243" s="2" t="s">
        <v>32</v>
      </c>
      <c r="C243" s="2" t="s">
        <v>32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0.1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0.9</v>
      </c>
      <c r="Z243" s="2">
        <v>0</v>
      </c>
    </row>
    <row r="244" spans="1:26">
      <c r="A244" s="2">
        <v>243</v>
      </c>
      <c r="B244" s="2" t="s">
        <v>26</v>
      </c>
      <c r="C244" s="2" t="s">
        <v>26</v>
      </c>
      <c r="D244" s="2">
        <v>0</v>
      </c>
      <c r="E244" s="2">
        <v>0</v>
      </c>
      <c r="F244" s="2">
        <v>1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</row>
    <row r="245" spans="1:26">
      <c r="A245" s="2">
        <v>244</v>
      </c>
      <c r="B245" s="2" t="s">
        <v>409</v>
      </c>
      <c r="C245" s="2" t="s">
        <v>53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0.5</v>
      </c>
      <c r="J245" s="2">
        <v>0.5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</row>
    <row r="246" spans="1:26">
      <c r="A246" s="2">
        <v>245</v>
      </c>
      <c r="B246" s="2" t="s">
        <v>21</v>
      </c>
      <c r="C246" s="2" t="s">
        <v>21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1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</row>
    <row r="247" spans="1:26">
      <c r="A247" s="2">
        <v>246</v>
      </c>
      <c r="B247" s="2" t="s">
        <v>21</v>
      </c>
      <c r="C247" s="2" t="s">
        <v>21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1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</row>
    <row r="248" spans="1:26">
      <c r="A248" s="2">
        <v>247</v>
      </c>
      <c r="B248" s="2" t="s">
        <v>36</v>
      </c>
      <c r="C248" s="2" t="s">
        <v>36</v>
      </c>
      <c r="D248" s="2">
        <v>0</v>
      </c>
      <c r="E248" s="2">
        <v>0</v>
      </c>
      <c r="F248" s="2">
        <v>0</v>
      </c>
      <c r="G248" s="2">
        <v>1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</row>
    <row r="249" spans="1:26">
      <c r="A249" s="2">
        <v>248</v>
      </c>
      <c r="B249" s="2" t="s">
        <v>36</v>
      </c>
      <c r="C249" s="2" t="s">
        <v>36</v>
      </c>
      <c r="D249" s="2">
        <v>0</v>
      </c>
      <c r="E249" s="2">
        <v>0</v>
      </c>
      <c r="F249" s="2">
        <v>0</v>
      </c>
      <c r="G249" s="2">
        <v>1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</row>
    <row r="250" spans="1:26">
      <c r="A250" s="2">
        <v>249</v>
      </c>
      <c r="B250" s="2" t="s">
        <v>21</v>
      </c>
      <c r="C250" s="2" t="s">
        <v>21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0.98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0.02</v>
      </c>
      <c r="Z250" s="2">
        <v>0</v>
      </c>
    </row>
    <row r="251" spans="1:26">
      <c r="A251" s="2">
        <v>250</v>
      </c>
      <c r="B251" s="2" t="s">
        <v>111</v>
      </c>
      <c r="C251" s="2" t="s">
        <v>111</v>
      </c>
      <c r="D251" s="2">
        <v>0</v>
      </c>
      <c r="E251" s="2">
        <v>0.03</v>
      </c>
      <c r="F251" s="2">
        <v>0</v>
      </c>
      <c r="G251" s="2">
        <v>0</v>
      </c>
      <c r="H251" s="2">
        <v>0.03</v>
      </c>
      <c r="I251" s="2">
        <v>0</v>
      </c>
      <c r="J251" s="2">
        <v>0</v>
      </c>
      <c r="K251" s="2">
        <v>0.01</v>
      </c>
      <c r="L251" s="2">
        <v>0</v>
      </c>
      <c r="M251" s="2">
        <v>0.25</v>
      </c>
      <c r="N251" s="2">
        <v>0.57999999999999996</v>
      </c>
      <c r="O251" s="2">
        <v>0</v>
      </c>
      <c r="P251" s="2">
        <v>0.01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0.09</v>
      </c>
      <c r="W251" s="2">
        <v>0</v>
      </c>
      <c r="X251" s="2">
        <v>0</v>
      </c>
      <c r="Y251" s="2">
        <v>0</v>
      </c>
      <c r="Z251" s="2">
        <v>0</v>
      </c>
    </row>
    <row r="252" spans="1:26">
      <c r="A252" s="2">
        <v>251</v>
      </c>
      <c r="B252" s="2" t="s">
        <v>32</v>
      </c>
      <c r="C252" s="2" t="s">
        <v>32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0.01</v>
      </c>
      <c r="J252" s="2">
        <v>0</v>
      </c>
      <c r="K252" s="2">
        <v>0</v>
      </c>
      <c r="L252" s="2">
        <v>0.15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0.84</v>
      </c>
      <c r="Z252" s="2">
        <v>0</v>
      </c>
    </row>
    <row r="253" spans="1:26">
      <c r="A253" s="2">
        <v>252</v>
      </c>
      <c r="B253" s="2" t="s">
        <v>50</v>
      </c>
      <c r="C253" s="2" t="s">
        <v>50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</row>
    <row r="254" spans="1:26">
      <c r="A254" s="2">
        <v>253</v>
      </c>
      <c r="B254" s="2" t="s">
        <v>21</v>
      </c>
      <c r="C254" s="2" t="s">
        <v>21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0.85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0.15</v>
      </c>
      <c r="Z254" s="2">
        <v>0</v>
      </c>
    </row>
    <row r="255" spans="1:26">
      <c r="A255" s="2">
        <v>254</v>
      </c>
      <c r="B255" s="2" t="s">
        <v>21</v>
      </c>
      <c r="C255" s="2" t="s">
        <v>21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0.06</v>
      </c>
      <c r="J255" s="2">
        <v>0</v>
      </c>
      <c r="K255" s="2">
        <v>0</v>
      </c>
      <c r="L255" s="2">
        <v>0.94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</row>
    <row r="256" spans="1:26">
      <c r="A256" s="2">
        <v>255</v>
      </c>
      <c r="B256" s="2" t="s">
        <v>21</v>
      </c>
      <c r="C256" s="2" t="s">
        <v>21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1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</row>
    <row r="257" spans="1:26">
      <c r="A257" s="2">
        <v>256</v>
      </c>
      <c r="B257" s="2" t="s">
        <v>36</v>
      </c>
      <c r="C257" s="2" t="s">
        <v>36</v>
      </c>
      <c r="D257" s="2">
        <v>0</v>
      </c>
      <c r="E257" s="2">
        <v>0</v>
      </c>
      <c r="F257" s="2">
        <v>0</v>
      </c>
      <c r="G257" s="2">
        <v>1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</row>
    <row r="258" spans="1:26">
      <c r="A258" s="2">
        <v>257</v>
      </c>
      <c r="B258" s="2" t="s">
        <v>50</v>
      </c>
      <c r="C258" s="2" t="s">
        <v>50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1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</row>
    <row r="259" spans="1:26">
      <c r="A259" s="2">
        <v>258</v>
      </c>
      <c r="B259" s="2" t="s">
        <v>21</v>
      </c>
      <c r="C259" s="2" t="s">
        <v>21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1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</row>
    <row r="260" spans="1:26">
      <c r="A260" s="2">
        <v>259</v>
      </c>
      <c r="B260" s="2" t="s">
        <v>36</v>
      </c>
      <c r="C260" s="2" t="s">
        <v>36</v>
      </c>
      <c r="D260" s="2">
        <v>0</v>
      </c>
      <c r="E260" s="2">
        <v>0</v>
      </c>
      <c r="F260" s="2">
        <v>0</v>
      </c>
      <c r="G260" s="2">
        <v>0.87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0.13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</row>
    <row r="261" spans="1:26">
      <c r="A261" s="2">
        <v>260</v>
      </c>
      <c r="B261" s="2" t="s">
        <v>21</v>
      </c>
      <c r="C261" s="2" t="s">
        <v>21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1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</row>
    <row r="262" spans="1:26">
      <c r="A262" s="2">
        <v>261</v>
      </c>
      <c r="B262" s="2" t="s">
        <v>21</v>
      </c>
      <c r="C262" s="2" t="s">
        <v>21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1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</row>
    <row r="263" spans="1:26">
      <c r="A263" s="2">
        <v>262</v>
      </c>
      <c r="B263" s="2" t="s">
        <v>21</v>
      </c>
      <c r="C263" s="2" t="s">
        <v>21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1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</row>
    <row r="264" spans="1:26">
      <c r="A264" s="2">
        <v>263</v>
      </c>
      <c r="B264" s="2" t="s">
        <v>59</v>
      </c>
      <c r="C264" s="2" t="s">
        <v>59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0.97</v>
      </c>
      <c r="U264" s="2">
        <v>0</v>
      </c>
      <c r="V264" s="2">
        <v>0</v>
      </c>
      <c r="W264" s="2">
        <v>0.03</v>
      </c>
      <c r="X264" s="2">
        <v>0</v>
      </c>
      <c r="Y264" s="2">
        <v>0</v>
      </c>
      <c r="Z264" s="2">
        <v>0</v>
      </c>
    </row>
    <row r="265" spans="1:26">
      <c r="A265" s="2">
        <v>264</v>
      </c>
      <c r="B265" s="2" t="s">
        <v>21</v>
      </c>
      <c r="C265" s="2" t="s">
        <v>21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1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</row>
    <row r="266" spans="1:26">
      <c r="A266" s="2">
        <v>265</v>
      </c>
      <c r="B266" s="2" t="s">
        <v>26</v>
      </c>
      <c r="C266" s="2" t="s">
        <v>26</v>
      </c>
      <c r="D266" s="2">
        <v>0</v>
      </c>
      <c r="E266" s="2">
        <v>0</v>
      </c>
      <c r="F266" s="2">
        <v>1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</row>
    <row r="267" spans="1:26">
      <c r="A267" s="2">
        <v>266</v>
      </c>
      <c r="B267" s="2" t="s">
        <v>36</v>
      </c>
      <c r="C267" s="2" t="s">
        <v>36</v>
      </c>
      <c r="D267" s="2">
        <v>0</v>
      </c>
      <c r="E267" s="2">
        <v>0</v>
      </c>
      <c r="F267" s="2">
        <v>0</v>
      </c>
      <c r="G267" s="2">
        <v>0.99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0.01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</row>
    <row r="268" spans="1:26">
      <c r="A268" s="2">
        <v>267</v>
      </c>
      <c r="B268" s="2" t="s">
        <v>59</v>
      </c>
      <c r="C268" s="2" t="s">
        <v>59</v>
      </c>
      <c r="D268" s="2">
        <v>0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0.99</v>
      </c>
      <c r="U268" s="2">
        <v>0</v>
      </c>
      <c r="V268" s="2">
        <v>0</v>
      </c>
      <c r="W268" s="2">
        <v>0.01</v>
      </c>
      <c r="X268" s="2">
        <v>0</v>
      </c>
      <c r="Y268" s="2">
        <v>0</v>
      </c>
      <c r="Z268" s="2">
        <v>0</v>
      </c>
    </row>
    <row r="269" spans="1:26">
      <c r="A269" s="2">
        <v>268</v>
      </c>
      <c r="B269" s="2" t="s">
        <v>32</v>
      </c>
      <c r="C269" s="2" t="s">
        <v>32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0.02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0.98</v>
      </c>
      <c r="Z269" s="2">
        <v>0</v>
      </c>
    </row>
    <row r="270" spans="1:26">
      <c r="A270" s="2">
        <v>269</v>
      </c>
      <c r="B270" s="2" t="s">
        <v>21</v>
      </c>
      <c r="C270" s="2" t="s">
        <v>21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1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</row>
    <row r="271" spans="1:26">
      <c r="A271" s="2">
        <v>270</v>
      </c>
      <c r="B271" s="2" t="s">
        <v>148</v>
      </c>
      <c r="C271" s="2" t="s">
        <v>148</v>
      </c>
      <c r="D271" s="2">
        <v>0</v>
      </c>
      <c r="E271" s="2">
        <v>0</v>
      </c>
      <c r="F271" s="2">
        <v>0</v>
      </c>
      <c r="G271" s="2">
        <v>0.02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0.98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</row>
    <row r="272" spans="1:26">
      <c r="A272" s="2">
        <v>271</v>
      </c>
      <c r="B272" s="2" t="s">
        <v>59</v>
      </c>
      <c r="C272" s="2" t="s">
        <v>59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0.97</v>
      </c>
      <c r="U272" s="2">
        <v>0</v>
      </c>
      <c r="V272" s="2">
        <v>0</v>
      </c>
      <c r="W272" s="2">
        <v>0.03</v>
      </c>
      <c r="X272" s="2">
        <v>0</v>
      </c>
      <c r="Y272" s="2">
        <v>0</v>
      </c>
      <c r="Z272" s="2">
        <v>0</v>
      </c>
    </row>
    <row r="273" spans="1:26">
      <c r="A273" s="2">
        <v>272</v>
      </c>
      <c r="B273" s="2" t="s">
        <v>50</v>
      </c>
      <c r="C273" s="2" t="s">
        <v>50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1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</row>
    <row r="274" spans="1:26">
      <c r="A274" s="2">
        <v>273</v>
      </c>
      <c r="B274" s="2" t="s">
        <v>148</v>
      </c>
      <c r="C274" s="2" t="s">
        <v>148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1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</row>
    <row r="275" spans="1:26">
      <c r="A275" s="2">
        <v>274</v>
      </c>
      <c r="B275" s="2" t="s">
        <v>21</v>
      </c>
      <c r="C275" s="2" t="s">
        <v>21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1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</row>
    <row r="276" spans="1:26">
      <c r="A276" s="2">
        <v>275</v>
      </c>
      <c r="B276" s="2" t="s">
        <v>50</v>
      </c>
      <c r="C276" s="2" t="s">
        <v>50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1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</row>
    <row r="277" spans="1:26">
      <c r="A277" s="2">
        <v>276</v>
      </c>
      <c r="B277" s="2" t="s">
        <v>36</v>
      </c>
      <c r="C277" s="2" t="s">
        <v>36</v>
      </c>
      <c r="D277" s="2">
        <v>0</v>
      </c>
      <c r="E277" s="2">
        <v>0</v>
      </c>
      <c r="F277" s="2">
        <v>0</v>
      </c>
      <c r="G277" s="2">
        <v>1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</row>
    <row r="278" spans="1:26">
      <c r="A278" s="2">
        <v>277</v>
      </c>
      <c r="B278" s="2" t="s">
        <v>36</v>
      </c>
      <c r="C278" s="2" t="s">
        <v>36</v>
      </c>
      <c r="D278" s="2">
        <v>0</v>
      </c>
      <c r="E278" s="2">
        <v>0</v>
      </c>
      <c r="F278" s="2">
        <v>0</v>
      </c>
      <c r="G278" s="2">
        <v>1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</row>
    <row r="279" spans="1:26">
      <c r="A279" s="2">
        <v>278</v>
      </c>
      <c r="B279" s="2" t="s">
        <v>29</v>
      </c>
      <c r="C279" s="2" t="s">
        <v>29</v>
      </c>
      <c r="D279" s="2">
        <v>0</v>
      </c>
      <c r="E279" s="2">
        <v>0</v>
      </c>
      <c r="F279" s="2">
        <v>0.3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0.7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</row>
    <row r="280" spans="1:26">
      <c r="A280" s="2">
        <v>279</v>
      </c>
      <c r="B280" s="2" t="s">
        <v>235</v>
      </c>
      <c r="C280" s="2" t="s">
        <v>235</v>
      </c>
      <c r="D280" s="2">
        <v>0</v>
      </c>
      <c r="E280" s="2">
        <v>0.04</v>
      </c>
      <c r="F280" s="2">
        <v>0</v>
      </c>
      <c r="G280" s="2">
        <v>0</v>
      </c>
      <c r="H280" s="2">
        <v>0.06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0.9</v>
      </c>
      <c r="Y280" s="2">
        <v>0</v>
      </c>
      <c r="Z280" s="2">
        <v>0</v>
      </c>
    </row>
    <row r="281" spans="1:26">
      <c r="A281" s="2">
        <v>280</v>
      </c>
      <c r="B281" s="2" t="s">
        <v>32</v>
      </c>
      <c r="C281" s="2" t="s">
        <v>32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0.01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0.99</v>
      </c>
      <c r="Z281" s="2">
        <v>0</v>
      </c>
    </row>
    <row r="282" spans="1:26">
      <c r="A282" s="2">
        <v>281</v>
      </c>
      <c r="B282" s="2" t="s">
        <v>50</v>
      </c>
      <c r="C282" s="2" t="s">
        <v>50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1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</row>
    <row r="283" spans="1:26">
      <c r="A283" s="2">
        <v>282</v>
      </c>
      <c r="B283" s="2" t="s">
        <v>178</v>
      </c>
      <c r="C283" s="2" t="s">
        <v>178</v>
      </c>
      <c r="D283" s="2">
        <v>0</v>
      </c>
      <c r="E283" s="2">
        <v>0.02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0.98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</row>
    <row r="284" spans="1:26">
      <c r="A284" s="2">
        <v>283</v>
      </c>
      <c r="B284" s="2" t="s">
        <v>21</v>
      </c>
      <c r="C284" s="2" t="s">
        <v>21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1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</row>
    <row r="285" spans="1:26">
      <c r="A285" s="2">
        <v>284</v>
      </c>
      <c r="B285" s="2" t="s">
        <v>26</v>
      </c>
      <c r="C285" s="2" t="s">
        <v>26</v>
      </c>
      <c r="D285" s="2">
        <v>0</v>
      </c>
      <c r="E285" s="2">
        <v>0</v>
      </c>
      <c r="F285" s="2">
        <v>0.85</v>
      </c>
      <c r="G285" s="2">
        <v>0.01</v>
      </c>
      <c r="H285" s="2">
        <v>0</v>
      </c>
      <c r="I285" s="2">
        <v>0.05</v>
      </c>
      <c r="J285" s="2">
        <v>0</v>
      </c>
      <c r="K285" s="2">
        <v>0</v>
      </c>
      <c r="L285" s="2">
        <v>0.02</v>
      </c>
      <c r="M285" s="2">
        <v>0</v>
      </c>
      <c r="N285" s="2">
        <v>0</v>
      </c>
      <c r="O285" s="2">
        <v>0.01</v>
      </c>
      <c r="P285" s="2">
        <v>0.01</v>
      </c>
      <c r="Q285" s="2">
        <v>0</v>
      </c>
      <c r="R285" s="2">
        <v>0</v>
      </c>
      <c r="S285" s="2">
        <v>0</v>
      </c>
      <c r="T285" s="2">
        <v>0.05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</row>
    <row r="286" spans="1:26">
      <c r="A286" s="2">
        <v>285</v>
      </c>
      <c r="B286" s="2" t="s">
        <v>53</v>
      </c>
      <c r="C286" s="2" t="s">
        <v>53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0.99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0.01</v>
      </c>
    </row>
    <row r="287" spans="1:26">
      <c r="A287" s="2">
        <v>286</v>
      </c>
      <c r="B287" s="2" t="s">
        <v>21</v>
      </c>
      <c r="C287" s="2" t="s">
        <v>21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1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</row>
    <row r="288" spans="1:26">
      <c r="A288" s="2">
        <v>287</v>
      </c>
      <c r="B288" s="2" t="s">
        <v>21</v>
      </c>
      <c r="C288" s="2" t="s">
        <v>21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0.83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2">
        <v>0.17</v>
      </c>
      <c r="Z288" s="2">
        <v>0</v>
      </c>
    </row>
    <row r="289" spans="1:26">
      <c r="A289" s="2">
        <v>288</v>
      </c>
      <c r="B289" s="2" t="s">
        <v>21</v>
      </c>
      <c r="C289" s="2" t="s">
        <v>21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1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</row>
    <row r="290" spans="1:26">
      <c r="A290" s="2">
        <v>289</v>
      </c>
      <c r="B290" s="2" t="s">
        <v>53</v>
      </c>
      <c r="C290" s="2" t="s">
        <v>53</v>
      </c>
      <c r="D290" s="2">
        <v>0</v>
      </c>
      <c r="E290" s="2">
        <v>0</v>
      </c>
      <c r="F290" s="2">
        <v>0</v>
      </c>
      <c r="G290" s="2">
        <v>0</v>
      </c>
      <c r="H290" s="2">
        <v>0</v>
      </c>
      <c r="I290" s="2">
        <v>0.8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0.2</v>
      </c>
    </row>
    <row r="291" spans="1:26">
      <c r="A291" s="2">
        <v>290</v>
      </c>
      <c r="B291" s="2" t="s">
        <v>21</v>
      </c>
      <c r="C291" s="2" t="s">
        <v>21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1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</row>
    <row r="292" spans="1:26">
      <c r="A292" s="2">
        <v>291</v>
      </c>
      <c r="B292" s="2" t="s">
        <v>36</v>
      </c>
      <c r="C292" s="2" t="s">
        <v>36</v>
      </c>
      <c r="D292" s="2">
        <v>0</v>
      </c>
      <c r="E292" s="2">
        <v>0</v>
      </c>
      <c r="F292" s="2">
        <v>0</v>
      </c>
      <c r="G292" s="2">
        <v>1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</row>
    <row r="293" spans="1:26">
      <c r="A293" s="2">
        <v>292</v>
      </c>
      <c r="B293" s="2" t="s">
        <v>21</v>
      </c>
      <c r="C293" s="2" t="s">
        <v>21</v>
      </c>
      <c r="D293" s="2">
        <v>0</v>
      </c>
      <c r="E293" s="2">
        <v>0</v>
      </c>
      <c r="F293" s="2">
        <v>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1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</row>
    <row r="294" spans="1:26">
      <c r="A294" s="2">
        <v>293</v>
      </c>
      <c r="B294" s="2" t="s">
        <v>97</v>
      </c>
      <c r="C294" s="2" t="s">
        <v>97</v>
      </c>
      <c r="D294" s="2">
        <v>0</v>
      </c>
      <c r="E294" s="2">
        <v>0</v>
      </c>
      <c r="F294" s="2">
        <v>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0.91</v>
      </c>
      <c r="N294" s="2">
        <v>7.0000000000000007E-2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0.02</v>
      </c>
      <c r="Y294" s="2">
        <v>0</v>
      </c>
      <c r="Z294" s="2">
        <v>0</v>
      </c>
    </row>
    <row r="295" spans="1:26">
      <c r="A295" s="2">
        <v>294</v>
      </c>
      <c r="B295" s="2" t="s">
        <v>97</v>
      </c>
      <c r="C295" s="2" t="s">
        <v>97</v>
      </c>
      <c r="D295" s="2">
        <v>0</v>
      </c>
      <c r="E295" s="2">
        <v>0.01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0.76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0.18</v>
      </c>
      <c r="W295" s="2">
        <v>0</v>
      </c>
      <c r="X295" s="2">
        <v>0.05</v>
      </c>
      <c r="Y295" s="2">
        <v>0</v>
      </c>
      <c r="Z295" s="2">
        <v>0</v>
      </c>
    </row>
    <row r="296" spans="1:26">
      <c r="A296" s="2">
        <v>295</v>
      </c>
      <c r="B296" s="2" t="s">
        <v>21</v>
      </c>
      <c r="C296" s="2" t="s">
        <v>21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1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</row>
    <row r="297" spans="1:26">
      <c r="A297" s="2">
        <v>296</v>
      </c>
      <c r="B297" s="2" t="s">
        <v>194</v>
      </c>
      <c r="C297" s="2" t="s">
        <v>194</v>
      </c>
      <c r="D297" s="2">
        <v>0</v>
      </c>
      <c r="E297" s="2">
        <v>0</v>
      </c>
      <c r="F297" s="2">
        <v>0.45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0.55000000000000004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</row>
    <row r="298" spans="1:26">
      <c r="A298" s="2">
        <v>297</v>
      </c>
      <c r="B298" s="2" t="s">
        <v>59</v>
      </c>
      <c r="C298" s="2" t="s">
        <v>59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0.87</v>
      </c>
      <c r="U298" s="2">
        <v>0</v>
      </c>
      <c r="V298" s="2">
        <v>0</v>
      </c>
      <c r="W298" s="2">
        <v>0.13</v>
      </c>
      <c r="X298" s="2">
        <v>0</v>
      </c>
      <c r="Y298" s="2">
        <v>0</v>
      </c>
      <c r="Z298" s="2">
        <v>0</v>
      </c>
    </row>
    <row r="299" spans="1:26">
      <c r="A299" s="2">
        <v>298</v>
      </c>
      <c r="B299" s="2" t="s">
        <v>53</v>
      </c>
      <c r="C299" s="2" t="s">
        <v>53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1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</row>
    <row r="300" spans="1:26">
      <c r="A300" s="2">
        <v>299</v>
      </c>
      <c r="B300" s="2" t="s">
        <v>133</v>
      </c>
      <c r="C300" s="2" t="s">
        <v>133</v>
      </c>
      <c r="D300" s="2">
        <v>0</v>
      </c>
      <c r="E300" s="2">
        <v>0</v>
      </c>
      <c r="F300" s="2">
        <v>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0.09</v>
      </c>
      <c r="U300" s="2">
        <v>0</v>
      </c>
      <c r="V300" s="2">
        <v>0</v>
      </c>
      <c r="W300" s="2">
        <v>0.91</v>
      </c>
      <c r="X300" s="2">
        <v>0</v>
      </c>
      <c r="Y300" s="2">
        <v>0</v>
      </c>
      <c r="Z300" s="2">
        <v>0</v>
      </c>
    </row>
    <row r="301" spans="1:26">
      <c r="A301" s="2">
        <v>300</v>
      </c>
      <c r="B301" s="2" t="s">
        <v>97</v>
      </c>
      <c r="C301" s="2" t="s">
        <v>97</v>
      </c>
      <c r="D301" s="2">
        <v>0</v>
      </c>
      <c r="E301" s="2">
        <v>0.32</v>
      </c>
      <c r="F301" s="2">
        <v>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0.49</v>
      </c>
      <c r="N301" s="2">
        <v>0.19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</row>
    <row r="302" spans="1:26">
      <c r="A302" s="2">
        <v>301</v>
      </c>
      <c r="B302" s="2" t="s">
        <v>36</v>
      </c>
      <c r="C302" s="2" t="s">
        <v>36</v>
      </c>
      <c r="D302" s="2">
        <v>0</v>
      </c>
      <c r="E302" s="2">
        <v>0</v>
      </c>
      <c r="F302" s="2">
        <v>0</v>
      </c>
      <c r="G302" s="2">
        <v>1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</row>
    <row r="303" spans="1:26">
      <c r="A303" s="2">
        <v>302</v>
      </c>
      <c r="B303" s="2" t="s">
        <v>53</v>
      </c>
      <c r="C303" s="2" t="s">
        <v>53</v>
      </c>
      <c r="D303" s="2">
        <v>0</v>
      </c>
      <c r="E303" s="2">
        <v>0</v>
      </c>
      <c r="F303" s="2">
        <v>0</v>
      </c>
      <c r="G303" s="2">
        <v>0</v>
      </c>
      <c r="H303" s="2">
        <v>0</v>
      </c>
      <c r="I303" s="2">
        <v>0.98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0.02</v>
      </c>
    </row>
    <row r="304" spans="1:26">
      <c r="A304" s="2">
        <v>303</v>
      </c>
      <c r="B304" s="2" t="s">
        <v>63</v>
      </c>
      <c r="C304" s="2" t="s">
        <v>63</v>
      </c>
      <c r="D304" s="2">
        <v>0</v>
      </c>
      <c r="E304" s="2">
        <v>0</v>
      </c>
      <c r="F304" s="2">
        <v>7.0000000000000007E-2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0.04</v>
      </c>
      <c r="M304" s="2">
        <v>0</v>
      </c>
      <c r="N304" s="2">
        <v>0</v>
      </c>
      <c r="O304" s="2">
        <v>0.89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</row>
    <row r="305" spans="1:26">
      <c r="A305" s="2">
        <v>304</v>
      </c>
      <c r="B305" s="2" t="s">
        <v>36</v>
      </c>
      <c r="C305" s="2" t="s">
        <v>36</v>
      </c>
      <c r="D305" s="2">
        <v>0</v>
      </c>
      <c r="E305" s="2">
        <v>0</v>
      </c>
      <c r="F305" s="2">
        <v>0</v>
      </c>
      <c r="G305" s="2">
        <v>1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</row>
    <row r="306" spans="1:26">
      <c r="A306" s="2">
        <v>305</v>
      </c>
      <c r="B306" s="2" t="s">
        <v>32</v>
      </c>
      <c r="C306" s="2" t="s">
        <v>32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1</v>
      </c>
      <c r="Z306" s="2">
        <v>0</v>
      </c>
    </row>
    <row r="307" spans="1:26">
      <c r="A307" s="2">
        <v>306</v>
      </c>
      <c r="B307" s="2" t="s">
        <v>148</v>
      </c>
      <c r="C307" s="2" t="s">
        <v>148</v>
      </c>
      <c r="D307" s="2">
        <v>0</v>
      </c>
      <c r="E307" s="2">
        <v>0</v>
      </c>
      <c r="F307" s="2">
        <v>0</v>
      </c>
      <c r="G307" s="2">
        <v>0.24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0.76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</row>
    <row r="308" spans="1:26">
      <c r="A308" s="2">
        <v>307</v>
      </c>
      <c r="B308" s="2" t="s">
        <v>21</v>
      </c>
      <c r="C308" s="2" t="s">
        <v>21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1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</row>
    <row r="309" spans="1:26">
      <c r="A309" s="2">
        <v>308</v>
      </c>
      <c r="B309" s="2" t="s">
        <v>21</v>
      </c>
      <c r="C309" s="2" t="s">
        <v>21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0.03</v>
      </c>
      <c r="J309" s="2">
        <v>0</v>
      </c>
      <c r="K309" s="2">
        <v>0</v>
      </c>
      <c r="L309" s="2">
        <v>0.96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0.01</v>
      </c>
    </row>
    <row r="310" spans="1:26">
      <c r="A310" s="2">
        <v>309</v>
      </c>
      <c r="B310" s="2" t="s">
        <v>26</v>
      </c>
      <c r="C310" s="2" t="s">
        <v>26</v>
      </c>
      <c r="D310" s="2">
        <v>0</v>
      </c>
      <c r="E310" s="2">
        <v>0</v>
      </c>
      <c r="F310" s="2">
        <v>0.98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0.02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</row>
    <row r="311" spans="1:26">
      <c r="A311" s="2">
        <v>310</v>
      </c>
      <c r="B311" s="2" t="s">
        <v>32</v>
      </c>
      <c r="C311" s="2" t="s">
        <v>32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0.01</v>
      </c>
      <c r="J311" s="2">
        <v>0</v>
      </c>
      <c r="K311" s="2">
        <v>0</v>
      </c>
      <c r="L311" s="2">
        <v>0.03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0.96</v>
      </c>
      <c r="Z311" s="2">
        <v>0</v>
      </c>
    </row>
    <row r="312" spans="1:26">
      <c r="A312" s="2">
        <v>311</v>
      </c>
      <c r="B312" s="2" t="s">
        <v>59</v>
      </c>
      <c r="C312" s="2" t="s">
        <v>59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0.98</v>
      </c>
      <c r="U312" s="2">
        <v>0</v>
      </c>
      <c r="V312" s="2">
        <v>0</v>
      </c>
      <c r="W312" s="2">
        <v>0.02</v>
      </c>
      <c r="X312" s="2">
        <v>0</v>
      </c>
      <c r="Y312" s="2">
        <v>0</v>
      </c>
      <c r="Z312" s="2">
        <v>0</v>
      </c>
    </row>
    <row r="313" spans="1:26">
      <c r="A313" s="2">
        <v>312</v>
      </c>
      <c r="B313" s="2" t="s">
        <v>36</v>
      </c>
      <c r="C313" s="2" t="s">
        <v>36</v>
      </c>
      <c r="D313" s="2">
        <v>0</v>
      </c>
      <c r="E313" s="2">
        <v>0</v>
      </c>
      <c r="F313" s="2">
        <v>0</v>
      </c>
      <c r="G313" s="2">
        <v>1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</row>
    <row r="314" spans="1:26">
      <c r="A314" s="2">
        <v>313</v>
      </c>
      <c r="B314" s="2" t="s">
        <v>63</v>
      </c>
      <c r="C314" s="2" t="s">
        <v>63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1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</row>
    <row r="315" spans="1:26">
      <c r="A315" s="2">
        <v>314</v>
      </c>
      <c r="B315" s="2" t="s">
        <v>21</v>
      </c>
      <c r="C315" s="2" t="s">
        <v>21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1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</row>
    <row r="316" spans="1:26">
      <c r="A316" s="2">
        <v>315</v>
      </c>
      <c r="B316" s="2" t="s">
        <v>148</v>
      </c>
      <c r="C316" s="2" t="s">
        <v>148</v>
      </c>
      <c r="D316" s="2">
        <v>0</v>
      </c>
      <c r="E316" s="2">
        <v>0</v>
      </c>
      <c r="F316" s="2">
        <v>0</v>
      </c>
      <c r="G316" s="2">
        <v>0.25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0.75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</row>
    <row r="317" spans="1:26">
      <c r="A317" s="2">
        <v>316</v>
      </c>
      <c r="B317" s="2" t="s">
        <v>32</v>
      </c>
      <c r="C317" s="2" t="s">
        <v>32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0.27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0.73</v>
      </c>
      <c r="Z317" s="2">
        <v>0</v>
      </c>
    </row>
    <row r="318" spans="1:26">
      <c r="A318" s="2">
        <v>317</v>
      </c>
      <c r="B318" s="2" t="s">
        <v>59</v>
      </c>
      <c r="C318" s="2" t="s">
        <v>59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1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</row>
    <row r="319" spans="1:26">
      <c r="A319" s="2">
        <v>318</v>
      </c>
      <c r="B319" s="2" t="s">
        <v>50</v>
      </c>
      <c r="C319" s="2" t="s">
        <v>50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1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</row>
    <row r="320" spans="1:26">
      <c r="A320" s="2">
        <v>319</v>
      </c>
      <c r="B320" s="2" t="s">
        <v>50</v>
      </c>
      <c r="C320" s="2" t="s">
        <v>50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1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</row>
    <row r="321" spans="1:26">
      <c r="A321" s="2">
        <v>320</v>
      </c>
      <c r="B321" s="2" t="s">
        <v>21</v>
      </c>
      <c r="C321" s="2" t="s">
        <v>21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1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</row>
    <row r="322" spans="1:26">
      <c r="A322" s="2">
        <v>321</v>
      </c>
      <c r="B322" s="2" t="s">
        <v>50</v>
      </c>
      <c r="C322" s="2" t="s">
        <v>50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1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</row>
    <row r="323" spans="1:26">
      <c r="A323" s="2">
        <v>322</v>
      </c>
      <c r="B323" s="2" t="s">
        <v>21</v>
      </c>
      <c r="C323" s="2" t="s">
        <v>21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1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</row>
    <row r="324" spans="1:26">
      <c r="A324" s="2">
        <v>323</v>
      </c>
      <c r="B324" s="2" t="s">
        <v>21</v>
      </c>
      <c r="C324" s="2" t="s">
        <v>21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1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</row>
    <row r="325" spans="1:26">
      <c r="A325" s="2">
        <v>324</v>
      </c>
      <c r="B325" s="2" t="s">
        <v>36</v>
      </c>
      <c r="C325" s="2" t="s">
        <v>36</v>
      </c>
      <c r="D325" s="2">
        <v>0</v>
      </c>
      <c r="E325" s="2">
        <v>0</v>
      </c>
      <c r="F325" s="2">
        <v>0</v>
      </c>
      <c r="G325" s="2">
        <v>1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</row>
    <row r="326" spans="1:26">
      <c r="A326" s="2">
        <v>325</v>
      </c>
      <c r="B326" s="2" t="s">
        <v>148</v>
      </c>
      <c r="C326" s="2" t="s">
        <v>148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1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</row>
    <row r="327" spans="1:26">
      <c r="A327" s="2">
        <v>326</v>
      </c>
      <c r="B327" s="2" t="s">
        <v>21</v>
      </c>
      <c r="C327" s="2" t="s">
        <v>21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1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</row>
    <row r="328" spans="1:26">
      <c r="A328" s="2">
        <v>327</v>
      </c>
      <c r="B328" s="2" t="s">
        <v>26</v>
      </c>
      <c r="C328" s="2" t="s">
        <v>26</v>
      </c>
      <c r="D328" s="2">
        <v>0</v>
      </c>
      <c r="E328" s="2">
        <v>0</v>
      </c>
      <c r="F328" s="2">
        <v>0.97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0.03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</row>
    <row r="329" spans="1:26">
      <c r="A329" s="2">
        <v>328</v>
      </c>
      <c r="B329" s="2" t="s">
        <v>32</v>
      </c>
      <c r="C329" s="2" t="s">
        <v>32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1</v>
      </c>
      <c r="Z329" s="2">
        <v>0</v>
      </c>
    </row>
    <row r="330" spans="1:26">
      <c r="A330" s="2">
        <v>329</v>
      </c>
      <c r="B330" s="2" t="s">
        <v>44</v>
      </c>
      <c r="C330" s="2" t="s">
        <v>44</v>
      </c>
      <c r="D330" s="2">
        <v>0</v>
      </c>
      <c r="E330" s="2">
        <v>0.09</v>
      </c>
      <c r="F330" s="2">
        <v>0</v>
      </c>
      <c r="G330" s="2">
        <v>0</v>
      </c>
      <c r="H330" s="2">
        <v>0.14000000000000001</v>
      </c>
      <c r="I330" s="2">
        <v>0</v>
      </c>
      <c r="J330" s="2">
        <v>0</v>
      </c>
      <c r="K330" s="2">
        <v>0</v>
      </c>
      <c r="L330" s="2">
        <v>0</v>
      </c>
      <c r="M330" s="2">
        <v>0.17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0.6</v>
      </c>
      <c r="W330" s="2">
        <v>0</v>
      </c>
      <c r="X330" s="2">
        <v>0</v>
      </c>
      <c r="Y330" s="2">
        <v>0</v>
      </c>
      <c r="Z330" s="2">
        <v>0</v>
      </c>
    </row>
    <row r="331" spans="1:26">
      <c r="A331" s="2">
        <v>330</v>
      </c>
      <c r="B331" s="2" t="s">
        <v>50</v>
      </c>
      <c r="C331" s="2" t="s">
        <v>50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1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</row>
    <row r="332" spans="1:26">
      <c r="A332" s="2">
        <v>331</v>
      </c>
      <c r="B332" s="2" t="s">
        <v>50</v>
      </c>
      <c r="C332" s="2" t="s">
        <v>50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1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</row>
    <row r="333" spans="1:26">
      <c r="A333" s="2">
        <v>332</v>
      </c>
      <c r="B333" s="2" t="s">
        <v>32</v>
      </c>
      <c r="C333" s="2" t="s">
        <v>32</v>
      </c>
      <c r="D333" s="2">
        <v>0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1</v>
      </c>
      <c r="Z333" s="2">
        <v>0</v>
      </c>
    </row>
    <row r="334" spans="1:26">
      <c r="A334" s="2">
        <v>333</v>
      </c>
      <c r="B334" s="2" t="s">
        <v>32</v>
      </c>
      <c r="C334" s="2" t="s">
        <v>32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1</v>
      </c>
      <c r="Z334" s="2">
        <v>0</v>
      </c>
    </row>
    <row r="335" spans="1:26">
      <c r="A335" s="2">
        <v>334</v>
      </c>
      <c r="B335" s="2" t="s">
        <v>50</v>
      </c>
      <c r="C335" s="2" t="s">
        <v>50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1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</row>
    <row r="336" spans="1:26">
      <c r="A336" s="2">
        <v>335</v>
      </c>
      <c r="B336" s="2" t="s">
        <v>50</v>
      </c>
      <c r="C336" s="2" t="s">
        <v>50</v>
      </c>
      <c r="D336" s="2">
        <v>0</v>
      </c>
      <c r="E336" s="2">
        <v>0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1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</row>
    <row r="337" spans="1:26">
      <c r="A337" s="2">
        <v>336</v>
      </c>
      <c r="B337" s="2" t="s">
        <v>21</v>
      </c>
      <c r="C337" s="2" t="s">
        <v>21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1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</row>
    <row r="338" spans="1:26">
      <c r="A338" s="2">
        <v>337</v>
      </c>
      <c r="B338" s="2" t="s">
        <v>63</v>
      </c>
      <c r="C338" s="2" t="s">
        <v>63</v>
      </c>
      <c r="D338" s="2">
        <v>0</v>
      </c>
      <c r="E338" s="2">
        <v>0</v>
      </c>
      <c r="F338" s="2">
        <v>0.01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0.99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</row>
    <row r="339" spans="1:26">
      <c r="A339" s="2">
        <v>338</v>
      </c>
      <c r="B339" s="2" t="s">
        <v>44</v>
      </c>
      <c r="C339" s="2" t="s">
        <v>44</v>
      </c>
      <c r="D339" s="2">
        <v>0</v>
      </c>
      <c r="E339" s="2">
        <v>0.11</v>
      </c>
      <c r="F339" s="2">
        <v>0</v>
      </c>
      <c r="G339" s="2">
        <v>0</v>
      </c>
      <c r="H339" s="2">
        <v>0.05</v>
      </c>
      <c r="I339" s="2">
        <v>0</v>
      </c>
      <c r="J339" s="2">
        <v>0</v>
      </c>
      <c r="K339" s="2">
        <v>0.01</v>
      </c>
      <c r="L339" s="2">
        <v>0</v>
      </c>
      <c r="M339" s="2">
        <v>0.17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0.66</v>
      </c>
      <c r="W339" s="2">
        <v>0</v>
      </c>
      <c r="X339" s="2">
        <v>0</v>
      </c>
      <c r="Y339" s="2">
        <v>0</v>
      </c>
      <c r="Z339" s="2">
        <v>0</v>
      </c>
    </row>
    <row r="340" spans="1:26">
      <c r="A340" s="2">
        <v>339</v>
      </c>
      <c r="B340" s="2" t="s">
        <v>50</v>
      </c>
      <c r="C340" s="2" t="s">
        <v>50</v>
      </c>
      <c r="D340" s="2">
        <v>0</v>
      </c>
      <c r="E340" s="2">
        <v>0</v>
      </c>
      <c r="F340" s="2">
        <v>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1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</row>
    <row r="341" spans="1:26">
      <c r="A341" s="2">
        <v>340</v>
      </c>
      <c r="B341" s="2" t="s">
        <v>36</v>
      </c>
      <c r="C341" s="2" t="s">
        <v>36</v>
      </c>
      <c r="D341" s="2">
        <v>0</v>
      </c>
      <c r="E341" s="2">
        <v>0</v>
      </c>
      <c r="F341" s="2">
        <v>0</v>
      </c>
      <c r="G341" s="2">
        <v>1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</row>
    <row r="342" spans="1:26">
      <c r="A342" s="2">
        <v>341</v>
      </c>
      <c r="B342" s="2" t="s">
        <v>32</v>
      </c>
      <c r="C342" s="2" t="s">
        <v>32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0.26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0.74</v>
      </c>
      <c r="Z342" s="2">
        <v>0</v>
      </c>
    </row>
    <row r="343" spans="1:26">
      <c r="A343" s="2">
        <v>342</v>
      </c>
      <c r="B343" s="2" t="s">
        <v>21</v>
      </c>
      <c r="C343" s="2" t="s">
        <v>21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1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</row>
    <row r="344" spans="1:26">
      <c r="A344" s="2">
        <v>343</v>
      </c>
      <c r="B344" s="2" t="s">
        <v>32</v>
      </c>
      <c r="C344" s="2" t="s">
        <v>32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0.01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0.99</v>
      </c>
      <c r="Z344" s="2">
        <v>0</v>
      </c>
    </row>
    <row r="345" spans="1:26">
      <c r="A345" s="2">
        <v>344</v>
      </c>
      <c r="B345" s="2" t="s">
        <v>148</v>
      </c>
      <c r="C345" s="2" t="s">
        <v>148</v>
      </c>
      <c r="D345" s="2">
        <v>0</v>
      </c>
      <c r="E345" s="2">
        <v>0</v>
      </c>
      <c r="F345" s="2">
        <v>0</v>
      </c>
      <c r="G345" s="2">
        <v>0.01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0.99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</row>
    <row r="346" spans="1:26">
      <c r="A346" s="2">
        <v>345</v>
      </c>
      <c r="B346" s="2" t="s">
        <v>21</v>
      </c>
      <c r="C346" s="2" t="s">
        <v>21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1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</row>
    <row r="347" spans="1:26">
      <c r="A347" s="2">
        <v>346</v>
      </c>
      <c r="B347" s="2" t="s">
        <v>36</v>
      </c>
      <c r="C347" s="2" t="s">
        <v>36</v>
      </c>
      <c r="D347" s="2">
        <v>0</v>
      </c>
      <c r="E347" s="2">
        <v>0</v>
      </c>
      <c r="F347" s="2">
        <v>0</v>
      </c>
      <c r="G347" s="2">
        <v>0.99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0.01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</row>
    <row r="348" spans="1:26">
      <c r="A348" s="2">
        <v>347</v>
      </c>
      <c r="B348" s="2" t="s">
        <v>133</v>
      </c>
      <c r="C348" s="2" t="s">
        <v>133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0.12</v>
      </c>
      <c r="U348" s="2">
        <v>0</v>
      </c>
      <c r="V348" s="2">
        <v>0</v>
      </c>
      <c r="W348" s="2">
        <v>0.88</v>
      </c>
      <c r="X348" s="2">
        <v>0</v>
      </c>
      <c r="Y348" s="2">
        <v>0</v>
      </c>
      <c r="Z348" s="2">
        <v>0</v>
      </c>
    </row>
    <row r="349" spans="1:26">
      <c r="A349" s="2">
        <v>348</v>
      </c>
      <c r="B349" s="2" t="s">
        <v>36</v>
      </c>
      <c r="C349" s="2" t="s">
        <v>36</v>
      </c>
      <c r="D349" s="2">
        <v>0</v>
      </c>
      <c r="E349" s="2">
        <v>0</v>
      </c>
      <c r="F349" s="2">
        <v>0</v>
      </c>
      <c r="G349" s="2">
        <v>1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</row>
    <row r="350" spans="1:26">
      <c r="A350" s="2">
        <v>349</v>
      </c>
      <c r="B350" s="2" t="s">
        <v>53</v>
      </c>
      <c r="C350" s="2" t="s">
        <v>53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0.96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0.04</v>
      </c>
    </row>
    <row r="351" spans="1:26">
      <c r="A351" s="2">
        <v>350</v>
      </c>
      <c r="B351" s="2" t="s">
        <v>36</v>
      </c>
      <c r="C351" s="2" t="s">
        <v>36</v>
      </c>
      <c r="D351" s="2">
        <v>0</v>
      </c>
      <c r="E351" s="2">
        <v>0</v>
      </c>
      <c r="F351" s="2">
        <v>0</v>
      </c>
      <c r="G351" s="2">
        <v>0.96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0.01</v>
      </c>
      <c r="Q351" s="2">
        <v>0</v>
      </c>
      <c r="R351" s="2">
        <v>0.03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</row>
    <row r="352" spans="1:26">
      <c r="A352" s="2">
        <v>351</v>
      </c>
      <c r="B352" s="2" t="s">
        <v>36</v>
      </c>
      <c r="C352" s="2" t="s">
        <v>36</v>
      </c>
      <c r="D352" s="2">
        <v>0</v>
      </c>
      <c r="E352" s="2">
        <v>0</v>
      </c>
      <c r="F352" s="2">
        <v>0</v>
      </c>
      <c r="G352" s="2">
        <v>1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</row>
    <row r="353" spans="1:26">
      <c r="A353" s="2">
        <v>352</v>
      </c>
      <c r="B353" s="2" t="s">
        <v>21</v>
      </c>
      <c r="C353" s="2" t="s">
        <v>21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1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</row>
    <row r="354" spans="1:26">
      <c r="A354" s="2">
        <v>353</v>
      </c>
      <c r="B354" s="2" t="s">
        <v>97</v>
      </c>
      <c r="C354" s="2" t="s">
        <v>97</v>
      </c>
      <c r="D354" s="2">
        <v>0</v>
      </c>
      <c r="E354" s="2">
        <v>0.03</v>
      </c>
      <c r="F354" s="2">
        <v>0</v>
      </c>
      <c r="G354" s="2">
        <v>0</v>
      </c>
      <c r="H354" s="2">
        <v>7.0000000000000007E-2</v>
      </c>
      <c r="I354" s="2">
        <v>0</v>
      </c>
      <c r="J354" s="2">
        <v>0</v>
      </c>
      <c r="K354" s="2">
        <v>0</v>
      </c>
      <c r="L354" s="2">
        <v>0</v>
      </c>
      <c r="M354" s="2">
        <v>0.83</v>
      </c>
      <c r="N354" s="2">
        <v>0.03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0.03</v>
      </c>
      <c r="W354" s="2">
        <v>0</v>
      </c>
      <c r="X354" s="2">
        <v>0.01</v>
      </c>
      <c r="Y354" s="2">
        <v>0</v>
      </c>
      <c r="Z354" s="2">
        <v>0</v>
      </c>
    </row>
    <row r="355" spans="1:26">
      <c r="A355" s="2">
        <v>354</v>
      </c>
      <c r="B355" s="2" t="s">
        <v>53</v>
      </c>
      <c r="C355" s="2" t="s">
        <v>53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1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M9" sqref="M9"/>
    </sheetView>
  </sheetViews>
  <sheetFormatPr baseColWidth="10" defaultRowHeight="16"/>
  <sheetData>
    <row r="1" spans="1:52">
      <c r="A1" t="s">
        <v>413</v>
      </c>
      <c r="B1" t="s">
        <v>13</v>
      </c>
      <c r="C1" t="s">
        <v>417</v>
      </c>
      <c r="D1" t="s">
        <v>109</v>
      </c>
      <c r="E1" t="s">
        <v>89</v>
      </c>
      <c r="F1" t="s">
        <v>179</v>
      </c>
      <c r="G1" t="s">
        <v>37</v>
      </c>
      <c r="H1" t="s">
        <v>27</v>
      </c>
      <c r="I1" t="s">
        <v>195</v>
      </c>
      <c r="J1" t="s">
        <v>265</v>
      </c>
      <c r="K1" t="s">
        <v>129</v>
      </c>
      <c r="L1" t="s">
        <v>30</v>
      </c>
      <c r="M1" t="s">
        <v>107</v>
      </c>
      <c r="N1" t="s">
        <v>119</v>
      </c>
      <c r="O1" t="s">
        <v>51</v>
      </c>
      <c r="P1" t="s">
        <v>144</v>
      </c>
      <c r="Q1" t="s">
        <v>114</v>
      </c>
      <c r="R1" t="s">
        <v>60</v>
      </c>
      <c r="S1" t="s">
        <v>149</v>
      </c>
      <c r="T1" t="s">
        <v>246</v>
      </c>
      <c r="U1" t="s">
        <v>192</v>
      </c>
      <c r="V1" t="s">
        <v>77</v>
      </c>
      <c r="W1" t="s">
        <v>54</v>
      </c>
      <c r="X1" t="s">
        <v>93</v>
      </c>
      <c r="Y1" t="s">
        <v>22</v>
      </c>
      <c r="Z1" t="s">
        <v>40</v>
      </c>
      <c r="AA1" t="s">
        <v>153</v>
      </c>
      <c r="AB1" t="s">
        <v>100</v>
      </c>
      <c r="AC1" t="s">
        <v>280</v>
      </c>
      <c r="AD1" t="s">
        <v>411</v>
      </c>
      <c r="AE1" t="s">
        <v>122</v>
      </c>
      <c r="AF1" t="s">
        <v>321</v>
      </c>
      <c r="AG1" t="s">
        <v>200</v>
      </c>
      <c r="AH1" t="s">
        <v>405</v>
      </c>
      <c r="AI1" t="s">
        <v>412</v>
      </c>
      <c r="AJ1" t="s">
        <v>64</v>
      </c>
      <c r="AK1" t="s">
        <v>33</v>
      </c>
      <c r="AL1" t="s">
        <v>70</v>
      </c>
      <c r="AM1" t="s">
        <v>124</v>
      </c>
      <c r="AN1" t="s">
        <v>102</v>
      </c>
      <c r="AO1" t="s">
        <v>67</v>
      </c>
      <c r="AP1" t="s">
        <v>98</v>
      </c>
      <c r="AQ1" t="s">
        <v>45</v>
      </c>
      <c r="AR1" t="s">
        <v>388</v>
      </c>
      <c r="AS1" t="s">
        <v>140</v>
      </c>
      <c r="AT1" t="s">
        <v>151</v>
      </c>
      <c r="AU1" t="s">
        <v>134</v>
      </c>
      <c r="AV1" t="s">
        <v>162</v>
      </c>
      <c r="AW1" t="s">
        <v>212</v>
      </c>
      <c r="AX1" t="s">
        <v>236</v>
      </c>
      <c r="AY1" t="s">
        <v>228</v>
      </c>
      <c r="AZ1" t="s">
        <v>112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1E-3</v>
      </c>
      <c r="Y2">
        <v>0.93</v>
      </c>
      <c r="Z2">
        <v>6.9000000000000006E-2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0.67700000000000005</v>
      </c>
      <c r="I3">
        <v>0</v>
      </c>
      <c r="J3">
        <v>0.29499999999999998</v>
      </c>
      <c r="K3">
        <v>2.3E-2</v>
      </c>
      <c r="L3">
        <v>0</v>
      </c>
      <c r="M3">
        <v>0</v>
      </c>
      <c r="N3">
        <v>1E-3</v>
      </c>
      <c r="O3">
        <v>0</v>
      </c>
      <c r="P3">
        <v>0</v>
      </c>
      <c r="Q3">
        <v>0</v>
      </c>
      <c r="R3">
        <v>0</v>
      </c>
      <c r="S3">
        <v>0</v>
      </c>
      <c r="T3">
        <v>3.0000000000000001E-3</v>
      </c>
      <c r="U3">
        <v>0</v>
      </c>
      <c r="V3">
        <v>0</v>
      </c>
      <c r="W3">
        <v>1E-3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1E-3</v>
      </c>
      <c r="H4">
        <v>2E-3</v>
      </c>
      <c r="I4">
        <v>0</v>
      </c>
      <c r="J4">
        <v>0</v>
      </c>
      <c r="K4">
        <v>0</v>
      </c>
      <c r="L4">
        <v>0.997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33</v>
      </c>
      <c r="C5" t="s">
        <v>33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0.22800000000000001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0.77200000000000002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37</v>
      </c>
      <c r="C7" t="s">
        <v>37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40</v>
      </c>
      <c r="C8" t="s">
        <v>40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6.0000000000000001E-3</v>
      </c>
      <c r="Z8">
        <v>0.76400000000000001</v>
      </c>
      <c r="AA8">
        <v>0.23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37</v>
      </c>
      <c r="C9" t="s">
        <v>37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45</v>
      </c>
      <c r="C10" t="s">
        <v>45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1E-3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1E-3</v>
      </c>
      <c r="W10">
        <v>2E-3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1E-3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0.95699999999999996</v>
      </c>
      <c r="AR10">
        <v>3.7999999999999999E-2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37</v>
      </c>
      <c r="C11" t="s">
        <v>37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40</v>
      </c>
      <c r="C12" t="s">
        <v>40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0.26500000000000001</v>
      </c>
      <c r="Z12">
        <v>0.73499999999999999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51</v>
      </c>
      <c r="C13" t="s">
        <v>51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54</v>
      </c>
      <c r="C14" t="s">
        <v>54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6.7000000000000004E-2</v>
      </c>
      <c r="V14">
        <v>2E-3</v>
      </c>
      <c r="W14">
        <v>0.877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5.3999999999999999E-2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37</v>
      </c>
      <c r="C15" t="s">
        <v>37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54</v>
      </c>
      <c r="C16" t="s">
        <v>54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0.96899999999999997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3.1E-2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60</v>
      </c>
      <c r="C17" t="s">
        <v>60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0.92800000000000005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0.02</v>
      </c>
      <c r="AN17">
        <v>5.0000000000000001E-3</v>
      </c>
      <c r="AO17">
        <v>4.7E-2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64</v>
      </c>
      <c r="C18" t="s">
        <v>64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1E-3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1E-3</v>
      </c>
      <c r="X18">
        <v>0</v>
      </c>
      <c r="Y18">
        <v>0</v>
      </c>
      <c r="Z18">
        <v>1E-3</v>
      </c>
      <c r="AA18">
        <v>0</v>
      </c>
      <c r="AB18">
        <v>0</v>
      </c>
      <c r="AC18">
        <v>0</v>
      </c>
      <c r="AD18">
        <v>0</v>
      </c>
      <c r="AE18">
        <v>1E-3</v>
      </c>
      <c r="AF18">
        <v>1E-3</v>
      </c>
      <c r="AG18">
        <v>0</v>
      </c>
      <c r="AH18">
        <v>0</v>
      </c>
      <c r="AI18">
        <v>0</v>
      </c>
      <c r="AJ18">
        <v>0.99199999999999999</v>
      </c>
      <c r="AK18">
        <v>0</v>
      </c>
      <c r="AL18">
        <v>0</v>
      </c>
      <c r="AM18">
        <v>0</v>
      </c>
      <c r="AN18">
        <v>2E-3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1E-3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40</v>
      </c>
      <c r="C19" t="s">
        <v>40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3.1E-2</v>
      </c>
      <c r="Y19">
        <v>3.0000000000000001E-3</v>
      </c>
      <c r="Z19">
        <v>0.96599999999999997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67</v>
      </c>
      <c r="C20" t="s">
        <v>67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1.7000000000000001E-2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0.05</v>
      </c>
      <c r="AN20">
        <v>0</v>
      </c>
      <c r="AO20">
        <v>0.93300000000000005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70</v>
      </c>
      <c r="C21" t="s">
        <v>70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1.7999999999999999E-2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2E-3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0.30499999999999999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0.67500000000000004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37</v>
      </c>
      <c r="C22" t="s">
        <v>37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33</v>
      </c>
      <c r="C23" t="s">
        <v>33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0.224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0.77600000000000002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37</v>
      </c>
      <c r="C24" t="s">
        <v>37</v>
      </c>
      <c r="D24">
        <v>0</v>
      </c>
      <c r="E24">
        <v>0</v>
      </c>
      <c r="F24">
        <v>0</v>
      </c>
      <c r="G24">
        <v>0.998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2E-3</v>
      </c>
      <c r="AZ24">
        <v>0</v>
      </c>
    </row>
    <row r="25" spans="1:52">
      <c r="A25">
        <v>24</v>
      </c>
      <c r="B25" t="s">
        <v>40</v>
      </c>
      <c r="C25" t="s">
        <v>40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0.36699999999999999</v>
      </c>
      <c r="Z25">
        <v>0.63300000000000001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67</v>
      </c>
      <c r="C26" t="s">
        <v>67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7.3999999999999996E-2</v>
      </c>
      <c r="AN26">
        <v>0</v>
      </c>
      <c r="AO26">
        <v>0.92600000000000005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77</v>
      </c>
      <c r="C27" t="s">
        <v>77</v>
      </c>
      <c r="D27">
        <v>0</v>
      </c>
      <c r="E27">
        <v>0</v>
      </c>
      <c r="F27">
        <v>0</v>
      </c>
      <c r="G27">
        <v>0</v>
      </c>
      <c r="H27">
        <v>0</v>
      </c>
      <c r="I27">
        <v>4.0000000000000001E-3</v>
      </c>
      <c r="J27">
        <v>0</v>
      </c>
      <c r="K27">
        <v>0</v>
      </c>
      <c r="L27">
        <v>3.0000000000000001E-3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8.0000000000000002E-3</v>
      </c>
      <c r="V27">
        <v>0.86899999999999999</v>
      </c>
      <c r="W27">
        <v>6.0999999999999999E-2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1E-3</v>
      </c>
      <c r="AF27">
        <v>0</v>
      </c>
      <c r="AG27">
        <v>0</v>
      </c>
      <c r="AH27">
        <v>5.3999999999999999E-2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51</v>
      </c>
      <c r="C28" t="s">
        <v>51</v>
      </c>
      <c r="D28">
        <v>1E-3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0.55400000000000005</v>
      </c>
      <c r="P28">
        <v>0.44500000000000001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37</v>
      </c>
      <c r="C29" t="s">
        <v>37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67</v>
      </c>
      <c r="C30" t="s">
        <v>67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0.104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9.7000000000000003E-2</v>
      </c>
      <c r="AN30">
        <v>0</v>
      </c>
      <c r="AO30">
        <v>0.79900000000000004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64</v>
      </c>
      <c r="C31" t="s">
        <v>64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2E-3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0.998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51</v>
      </c>
      <c r="C32" t="s">
        <v>51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51</v>
      </c>
      <c r="C33" t="s">
        <v>51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37</v>
      </c>
      <c r="C34" t="s">
        <v>37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89</v>
      </c>
      <c r="C35" t="s">
        <v>89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37</v>
      </c>
      <c r="C36" t="s">
        <v>37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40</v>
      </c>
      <c r="C37" t="s">
        <v>40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6.4000000000000001E-2</v>
      </c>
      <c r="Y37">
        <v>0.05</v>
      </c>
      <c r="Z37">
        <v>0.88500000000000001</v>
      </c>
      <c r="AA37">
        <v>1E-3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37</v>
      </c>
      <c r="C38" t="s">
        <v>37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93</v>
      </c>
      <c r="C39" t="s">
        <v>93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0.55800000000000005</v>
      </c>
      <c r="Y39">
        <v>9.1999999999999998E-2</v>
      </c>
      <c r="Z39">
        <v>0.27700000000000002</v>
      </c>
      <c r="AA39">
        <v>7.2999999999999995E-2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54</v>
      </c>
      <c r="C40" t="s">
        <v>54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7.0000000000000001E-3</v>
      </c>
      <c r="V40">
        <v>0.13200000000000001</v>
      </c>
      <c r="W40">
        <v>0.78900000000000003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7.1999999999999995E-2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37</v>
      </c>
      <c r="C41" t="s">
        <v>37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98</v>
      </c>
      <c r="C42" t="s">
        <v>98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100</v>
      </c>
      <c r="C43" t="s">
        <v>100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0.91200000000000003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8.7999999999999995E-2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102</v>
      </c>
      <c r="C44" t="s">
        <v>102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3.0000000000000001E-3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0.98</v>
      </c>
      <c r="AO44">
        <v>1.6E-2</v>
      </c>
      <c r="AP44">
        <v>0</v>
      </c>
      <c r="AQ44">
        <v>0</v>
      </c>
      <c r="AR44">
        <v>0</v>
      </c>
      <c r="AS44">
        <v>0</v>
      </c>
      <c r="AT44">
        <v>1E-3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100</v>
      </c>
      <c r="C45" t="s">
        <v>100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0.95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0.05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37</v>
      </c>
      <c r="C46" t="s">
        <v>37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89</v>
      </c>
      <c r="C47" t="s">
        <v>89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107</v>
      </c>
      <c r="C48" t="s">
        <v>107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0.995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1E-3</v>
      </c>
      <c r="AC48">
        <v>0</v>
      </c>
      <c r="AD48">
        <v>1E-3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3.0000000000000001E-3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109</v>
      </c>
      <c r="C49" t="s">
        <v>109</v>
      </c>
      <c r="D49">
        <v>0.60399999999999998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0.39500000000000002</v>
      </c>
      <c r="P49">
        <v>1E-3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112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1E-3</v>
      </c>
      <c r="AC50">
        <v>0</v>
      </c>
      <c r="AD50">
        <v>0</v>
      </c>
      <c r="AE50">
        <v>0</v>
      </c>
      <c r="AF50">
        <v>0.15</v>
      </c>
      <c r="AG50">
        <v>0.14599999999999999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0.70299999999999996</v>
      </c>
    </row>
    <row r="51" spans="1:52">
      <c r="A51">
        <v>50</v>
      </c>
      <c r="B51" t="s">
        <v>114</v>
      </c>
      <c r="C51" t="s">
        <v>114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37</v>
      </c>
      <c r="C52" t="s">
        <v>37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37</v>
      </c>
      <c r="C53" t="s">
        <v>37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37</v>
      </c>
      <c r="C54" t="s">
        <v>37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119</v>
      </c>
      <c r="C55" t="s">
        <v>119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122</v>
      </c>
      <c r="C56" t="s">
        <v>122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1E-3</v>
      </c>
      <c r="X56">
        <v>0</v>
      </c>
      <c r="Y56">
        <v>0</v>
      </c>
      <c r="Z56">
        <v>0</v>
      </c>
      <c r="AA56">
        <v>0</v>
      </c>
      <c r="AB56">
        <v>0</v>
      </c>
      <c r="AC56">
        <v>1E-3</v>
      </c>
      <c r="AD56">
        <v>0</v>
      </c>
      <c r="AE56">
        <v>0.995</v>
      </c>
      <c r="AF56">
        <v>1E-3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1E-3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1E-3</v>
      </c>
      <c r="AY56">
        <v>0</v>
      </c>
      <c r="AZ56">
        <v>0</v>
      </c>
    </row>
    <row r="57" spans="1:52">
      <c r="A57">
        <v>56</v>
      </c>
      <c r="B57" t="s">
        <v>124</v>
      </c>
      <c r="C57" t="s">
        <v>124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0.33300000000000002</v>
      </c>
      <c r="S57">
        <v>0</v>
      </c>
      <c r="T57">
        <v>0</v>
      </c>
      <c r="U57">
        <v>0</v>
      </c>
      <c r="V57">
        <v>0</v>
      </c>
      <c r="W57">
        <v>1E-3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0.65800000000000003</v>
      </c>
      <c r="AN57">
        <v>1E-3</v>
      </c>
      <c r="AO57">
        <v>7.0000000000000001E-3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37</v>
      </c>
      <c r="C58" t="s">
        <v>37</v>
      </c>
      <c r="D58">
        <v>0</v>
      </c>
      <c r="E58">
        <v>0</v>
      </c>
      <c r="F58">
        <v>0</v>
      </c>
      <c r="G58">
        <v>0.99399999999999999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6.0000000000000001E-3</v>
      </c>
      <c r="AZ58">
        <v>0</v>
      </c>
    </row>
    <row r="59" spans="1:52">
      <c r="A59">
        <v>58</v>
      </c>
      <c r="B59" t="s">
        <v>54</v>
      </c>
      <c r="C59" t="s">
        <v>54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37</v>
      </c>
      <c r="C60" t="s">
        <v>37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129</v>
      </c>
      <c r="C61" t="s">
        <v>129</v>
      </c>
      <c r="D61">
        <v>0</v>
      </c>
      <c r="E61">
        <v>0</v>
      </c>
      <c r="F61">
        <v>0</v>
      </c>
      <c r="G61">
        <v>0</v>
      </c>
      <c r="H61">
        <v>1.7999999999999999E-2</v>
      </c>
      <c r="I61">
        <v>0</v>
      </c>
      <c r="J61">
        <v>0.253</v>
      </c>
      <c r="K61">
        <v>0.69</v>
      </c>
      <c r="L61">
        <v>0</v>
      </c>
      <c r="M61">
        <v>0</v>
      </c>
      <c r="N61">
        <v>3.9E-2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37</v>
      </c>
      <c r="C62" t="s">
        <v>37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51</v>
      </c>
      <c r="C63" t="s">
        <v>51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0.99399999999999999</v>
      </c>
      <c r="P63">
        <v>6.0000000000000001E-3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134</v>
      </c>
      <c r="C64" t="s">
        <v>134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1E-3</v>
      </c>
      <c r="AT64">
        <v>0</v>
      </c>
      <c r="AU64">
        <v>0.999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114</v>
      </c>
      <c r="C65" t="s">
        <v>114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0.96899999999999997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7.0000000000000001E-3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2.4E-2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67</v>
      </c>
      <c r="C66" t="s">
        <v>67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1E-3</v>
      </c>
      <c r="L66">
        <v>1E-3</v>
      </c>
      <c r="M66">
        <v>0</v>
      </c>
      <c r="N66">
        <v>0</v>
      </c>
      <c r="O66">
        <v>0</v>
      </c>
      <c r="P66">
        <v>0</v>
      </c>
      <c r="Q66">
        <v>1E-3</v>
      </c>
      <c r="R66">
        <v>0</v>
      </c>
      <c r="S66">
        <v>0</v>
      </c>
      <c r="T66">
        <v>0</v>
      </c>
      <c r="U66">
        <v>0</v>
      </c>
      <c r="V66">
        <v>0</v>
      </c>
      <c r="W66">
        <v>2E-3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1E-3</v>
      </c>
      <c r="AL66">
        <v>0</v>
      </c>
      <c r="AM66">
        <v>0</v>
      </c>
      <c r="AN66">
        <v>1.2E-2</v>
      </c>
      <c r="AO66">
        <v>0.98099999999999998</v>
      </c>
      <c r="AP66">
        <v>0</v>
      </c>
      <c r="AQ66">
        <v>0</v>
      </c>
      <c r="AR66">
        <v>0</v>
      </c>
      <c r="AS66">
        <v>0</v>
      </c>
      <c r="AT66">
        <v>1E-3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51</v>
      </c>
      <c r="C67" t="s">
        <v>51</v>
      </c>
      <c r="D67">
        <v>5.0000000000000001E-3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0.98499999999999999</v>
      </c>
      <c r="P67">
        <v>0.01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129</v>
      </c>
      <c r="C68" t="s">
        <v>129</v>
      </c>
      <c r="D68">
        <v>0</v>
      </c>
      <c r="E68">
        <v>0</v>
      </c>
      <c r="F68">
        <v>0</v>
      </c>
      <c r="G68">
        <v>0</v>
      </c>
      <c r="H68">
        <v>0.14399999999999999</v>
      </c>
      <c r="I68">
        <v>0</v>
      </c>
      <c r="J68">
        <v>0.02</v>
      </c>
      <c r="K68">
        <v>0.82799999999999996</v>
      </c>
      <c r="L68">
        <v>0</v>
      </c>
      <c r="M68">
        <v>0</v>
      </c>
      <c r="N68">
        <v>3.0000000000000001E-3</v>
      </c>
      <c r="O68">
        <v>0</v>
      </c>
      <c r="P68">
        <v>0</v>
      </c>
      <c r="Q68">
        <v>0</v>
      </c>
      <c r="R68">
        <v>0</v>
      </c>
      <c r="S68">
        <v>0</v>
      </c>
      <c r="T68">
        <v>5.0000000000000001E-3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37</v>
      </c>
      <c r="C69" t="s">
        <v>37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140</v>
      </c>
      <c r="C70" t="s">
        <v>140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0.70199999999999996</v>
      </c>
      <c r="AT70">
        <v>0</v>
      </c>
      <c r="AU70">
        <v>0.29799999999999999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37</v>
      </c>
      <c r="C71" t="s">
        <v>37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122</v>
      </c>
      <c r="C72" t="s">
        <v>122</v>
      </c>
      <c r="D72">
        <v>0</v>
      </c>
      <c r="E72">
        <v>0</v>
      </c>
      <c r="F72">
        <v>0</v>
      </c>
      <c r="G72">
        <v>0</v>
      </c>
      <c r="H72">
        <v>0</v>
      </c>
      <c r="I72">
        <v>3.0000000000000001E-3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1E-3</v>
      </c>
      <c r="X72">
        <v>2E-3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0.98199999999999998</v>
      </c>
      <c r="AF72">
        <v>6.0000000000000001E-3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1E-3</v>
      </c>
      <c r="AQ72">
        <v>0</v>
      </c>
      <c r="AR72">
        <v>3.0000000000000001E-3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2E-3</v>
      </c>
      <c r="AY72">
        <v>0</v>
      </c>
      <c r="AZ72">
        <v>0</v>
      </c>
    </row>
    <row r="73" spans="1:52">
      <c r="A73">
        <v>72</v>
      </c>
      <c r="B73" t="s">
        <v>144</v>
      </c>
      <c r="C73" t="s">
        <v>144</v>
      </c>
      <c r="D73">
        <v>0.108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0.35099999999999998</v>
      </c>
      <c r="P73">
        <v>0.54100000000000004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114</v>
      </c>
      <c r="C74" t="s">
        <v>114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0.99199999999999999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8.0000000000000002E-3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54</v>
      </c>
      <c r="C75" t="s">
        <v>54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7.5999999999999998E-2</v>
      </c>
      <c r="W75">
        <v>0.92400000000000004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149</v>
      </c>
      <c r="C76" t="s">
        <v>149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151</v>
      </c>
      <c r="C77" t="s">
        <v>151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0.998</v>
      </c>
      <c r="AU77">
        <v>2E-3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153</v>
      </c>
      <c r="C78" t="s">
        <v>153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0.02</v>
      </c>
      <c r="Z78">
        <v>0.19800000000000001</v>
      </c>
      <c r="AA78">
        <v>0.78200000000000003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37</v>
      </c>
      <c r="C79" t="s">
        <v>37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54</v>
      </c>
      <c r="C80" t="s">
        <v>54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5.0000000000000001E-3</v>
      </c>
      <c r="W80">
        <v>0.99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5.0000000000000001E-3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89</v>
      </c>
      <c r="C81" t="s">
        <v>89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37</v>
      </c>
      <c r="C82" t="s">
        <v>37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22</v>
      </c>
      <c r="C83" t="s">
        <v>22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0.89300000000000002</v>
      </c>
      <c r="Z83">
        <v>1.0999999999999999E-2</v>
      </c>
      <c r="AA83">
        <v>9.6000000000000002E-2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51</v>
      </c>
      <c r="C84" t="s">
        <v>51</v>
      </c>
      <c r="D84">
        <v>5.0000000000000001E-3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0.995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162</v>
      </c>
      <c r="C85" t="s">
        <v>162</v>
      </c>
      <c r="D85">
        <v>0</v>
      </c>
      <c r="E85">
        <v>0</v>
      </c>
      <c r="F85">
        <v>0</v>
      </c>
      <c r="G85">
        <v>1E-3</v>
      </c>
      <c r="H85">
        <v>0</v>
      </c>
      <c r="I85">
        <v>0</v>
      </c>
      <c r="J85">
        <v>0</v>
      </c>
      <c r="K85">
        <v>0</v>
      </c>
      <c r="L85">
        <v>2E-3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1E-3</v>
      </c>
      <c r="X85">
        <v>4.0000000000000001E-3</v>
      </c>
      <c r="Y85">
        <v>0</v>
      </c>
      <c r="Z85">
        <v>3.0000000000000001E-3</v>
      </c>
      <c r="AA85">
        <v>4.0000000000000001E-3</v>
      </c>
      <c r="AB85">
        <v>4.0000000000000001E-3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0.98099999999999998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144</v>
      </c>
      <c r="C86" t="s">
        <v>144</v>
      </c>
      <c r="D86">
        <v>6.7000000000000004E-2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0.218</v>
      </c>
      <c r="P86">
        <v>0.71499999999999997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64</v>
      </c>
      <c r="C87" t="s">
        <v>64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1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37</v>
      </c>
      <c r="C88" t="s">
        <v>37</v>
      </c>
      <c r="D88">
        <v>0</v>
      </c>
      <c r="E88">
        <v>0</v>
      </c>
      <c r="F88">
        <v>0</v>
      </c>
      <c r="G88">
        <v>0.999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1E-3</v>
      </c>
      <c r="AZ88">
        <v>0</v>
      </c>
    </row>
    <row r="89" spans="1:52">
      <c r="A89">
        <v>88</v>
      </c>
      <c r="B89" t="s">
        <v>37</v>
      </c>
      <c r="C89" t="s">
        <v>37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37</v>
      </c>
      <c r="C90" t="s">
        <v>37</v>
      </c>
      <c r="D90">
        <v>0</v>
      </c>
      <c r="E90">
        <v>0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89</v>
      </c>
      <c r="C91" t="s">
        <v>89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124</v>
      </c>
      <c r="C92" t="s">
        <v>124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0.11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0.59199999999999997</v>
      </c>
      <c r="AN92">
        <v>0</v>
      </c>
      <c r="AO92">
        <v>0.29799999999999999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151</v>
      </c>
      <c r="C93" t="s">
        <v>151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1E-3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0.999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100</v>
      </c>
      <c r="C94" t="s">
        <v>100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0.84799999999999998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0.152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54</v>
      </c>
      <c r="C95" t="s">
        <v>54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0.02</v>
      </c>
      <c r="W95">
        <v>0.98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37</v>
      </c>
      <c r="C96" t="s">
        <v>37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107</v>
      </c>
      <c r="C97" t="s">
        <v>107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0.90900000000000003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1.2999999999999999E-2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7.8E-2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40</v>
      </c>
      <c r="C98" t="s">
        <v>40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5.5E-2</v>
      </c>
      <c r="Y98">
        <v>1.6E-2</v>
      </c>
      <c r="Z98">
        <v>0.92900000000000005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179</v>
      </c>
      <c r="C99" t="s">
        <v>179</v>
      </c>
      <c r="D99">
        <v>0</v>
      </c>
      <c r="E99">
        <v>0</v>
      </c>
      <c r="F99">
        <v>0.86199999999999999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0.13800000000000001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40</v>
      </c>
      <c r="C100" t="s">
        <v>40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2E-3</v>
      </c>
      <c r="Y100">
        <v>0.13</v>
      </c>
      <c r="Z100">
        <v>0.86799999999999999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114</v>
      </c>
      <c r="C101" t="s">
        <v>114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0.98299999999999998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3.0000000000000001E-3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1.4E-2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100</v>
      </c>
      <c r="C102" t="s">
        <v>100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0.82799999999999996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0.17199999999999999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37</v>
      </c>
      <c r="C103" t="s">
        <v>37</v>
      </c>
      <c r="D103">
        <v>0</v>
      </c>
      <c r="E103">
        <v>0</v>
      </c>
      <c r="F103">
        <v>0</v>
      </c>
      <c r="G103">
        <v>0.93300000000000005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6.7000000000000004E-2</v>
      </c>
      <c r="AZ103">
        <v>0</v>
      </c>
    </row>
    <row r="104" spans="1:52">
      <c r="A104">
        <v>103</v>
      </c>
      <c r="B104" t="s">
        <v>51</v>
      </c>
      <c r="C104" t="s">
        <v>51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0.997</v>
      </c>
      <c r="P104">
        <v>3.0000000000000001E-3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102</v>
      </c>
      <c r="C105" t="s">
        <v>102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3.0000000000000001E-3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0.91500000000000004</v>
      </c>
      <c r="AO105">
        <v>8.2000000000000003E-2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40</v>
      </c>
      <c r="C106" t="s">
        <v>40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3.6999999999999998E-2</v>
      </c>
      <c r="Z106">
        <v>0.66400000000000003</v>
      </c>
      <c r="AA106">
        <v>0.29899999999999999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153</v>
      </c>
      <c r="C107" t="s">
        <v>153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98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40</v>
      </c>
      <c r="C109" t="s">
        <v>40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2E-3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1E-3</v>
      </c>
      <c r="X109">
        <v>3.0000000000000001E-3</v>
      </c>
      <c r="Y109">
        <v>0.13600000000000001</v>
      </c>
      <c r="Z109">
        <v>0.85799999999999998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54</v>
      </c>
      <c r="C110" t="s">
        <v>54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3.0000000000000001E-3</v>
      </c>
      <c r="V110">
        <v>1E-3</v>
      </c>
      <c r="W110">
        <v>0.98599999999999999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0.01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37</v>
      </c>
      <c r="C111" t="s">
        <v>37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51</v>
      </c>
      <c r="C112" t="s">
        <v>51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64</v>
      </c>
      <c r="C113" t="s">
        <v>64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2E-3</v>
      </c>
      <c r="M113">
        <v>1E-3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2E-3</v>
      </c>
      <c r="U113">
        <v>0</v>
      </c>
      <c r="V113">
        <v>1E-3</v>
      </c>
      <c r="W113">
        <v>3.0000000000000001E-3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2E-3</v>
      </c>
      <c r="AF113">
        <v>1E-3</v>
      </c>
      <c r="AG113">
        <v>0</v>
      </c>
      <c r="AH113">
        <v>0</v>
      </c>
      <c r="AI113">
        <v>0</v>
      </c>
      <c r="AJ113">
        <v>0.98199999999999998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1E-3</v>
      </c>
      <c r="AQ113">
        <v>0</v>
      </c>
      <c r="AR113">
        <v>3.0000000000000001E-3</v>
      </c>
      <c r="AS113">
        <v>0</v>
      </c>
      <c r="AT113">
        <v>0</v>
      </c>
      <c r="AU113">
        <v>0</v>
      </c>
      <c r="AV113">
        <v>2E-3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153</v>
      </c>
      <c r="C114" t="s">
        <v>153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5.0999999999999997E-2</v>
      </c>
      <c r="Z114">
        <v>0.224</v>
      </c>
      <c r="AA114">
        <v>0.72499999999999998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192</v>
      </c>
      <c r="C115" t="s">
        <v>192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0.96199999999999997</v>
      </c>
      <c r="V115">
        <v>2E-3</v>
      </c>
      <c r="W115">
        <v>3.5999999999999997E-2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195</v>
      </c>
      <c r="C116" t="s">
        <v>195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0.999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1E-3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22</v>
      </c>
      <c r="C117" t="s">
        <v>22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0.92500000000000004</v>
      </c>
      <c r="Z117">
        <v>7.0000000000000001E-3</v>
      </c>
      <c r="AA117">
        <v>6.8000000000000005E-2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45</v>
      </c>
      <c r="C118" t="s">
        <v>45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0.95099999999999996</v>
      </c>
      <c r="AR118">
        <v>4.8000000000000001E-2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1E-3</v>
      </c>
      <c r="AY118">
        <v>0</v>
      </c>
      <c r="AZ118">
        <v>0</v>
      </c>
    </row>
    <row r="119" spans="1:52">
      <c r="A119">
        <v>118</v>
      </c>
      <c r="B119" t="s">
        <v>22</v>
      </c>
      <c r="C119" t="s">
        <v>22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0.997</v>
      </c>
      <c r="Z119">
        <v>3.0000000000000001E-3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100</v>
      </c>
      <c r="C120" t="s">
        <v>100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0.78300000000000003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0.217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200</v>
      </c>
      <c r="C121" t="s">
        <v>200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7.5999999999999998E-2</v>
      </c>
      <c r="AG121">
        <v>0.91900000000000004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5.0000000000000001E-3</v>
      </c>
    </row>
    <row r="122" spans="1:52">
      <c r="A122">
        <v>121</v>
      </c>
      <c r="B122" t="s">
        <v>51</v>
      </c>
      <c r="C122" t="s">
        <v>51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192</v>
      </c>
      <c r="C123" t="s">
        <v>192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0.96099999999999997</v>
      </c>
      <c r="V123">
        <v>1.2999999999999999E-2</v>
      </c>
      <c r="W123">
        <v>2.5999999999999999E-2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153</v>
      </c>
      <c r="C124" t="s">
        <v>153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37</v>
      </c>
      <c r="C125" t="s">
        <v>37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107</v>
      </c>
      <c r="C126" t="s">
        <v>107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2E-3</v>
      </c>
      <c r="L126">
        <v>2E-3</v>
      </c>
      <c r="M126">
        <v>0.91600000000000004</v>
      </c>
      <c r="N126">
        <v>0</v>
      </c>
      <c r="O126">
        <v>0</v>
      </c>
      <c r="P126">
        <v>0</v>
      </c>
      <c r="Q126">
        <v>1E-3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1E-3</v>
      </c>
      <c r="Z126">
        <v>2E-3</v>
      </c>
      <c r="AA126">
        <v>0</v>
      </c>
      <c r="AB126">
        <v>0</v>
      </c>
      <c r="AC126">
        <v>0</v>
      </c>
      <c r="AD126">
        <v>1E-3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7.2999999999999995E-2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2E-3</v>
      </c>
      <c r="AY126">
        <v>0</v>
      </c>
      <c r="AZ126">
        <v>0</v>
      </c>
    </row>
    <row r="127" spans="1:52">
      <c r="A127">
        <v>126</v>
      </c>
      <c r="B127" t="s">
        <v>102</v>
      </c>
      <c r="C127" t="s">
        <v>102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2E-3</v>
      </c>
      <c r="AN127">
        <v>0.85099999999999998</v>
      </c>
      <c r="AO127">
        <v>0.14699999999999999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149</v>
      </c>
      <c r="C128" t="s">
        <v>149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119</v>
      </c>
      <c r="C129" t="s">
        <v>119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2E-3</v>
      </c>
      <c r="K129">
        <v>0</v>
      </c>
      <c r="L129">
        <v>0</v>
      </c>
      <c r="M129">
        <v>0</v>
      </c>
      <c r="N129">
        <v>0.99399999999999999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4.0000000000000001E-3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40</v>
      </c>
      <c r="C130" t="s">
        <v>40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1.2E-2</v>
      </c>
      <c r="Y130">
        <v>0.21</v>
      </c>
      <c r="Z130">
        <v>0.77800000000000002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37</v>
      </c>
      <c r="C131" t="s">
        <v>37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212</v>
      </c>
      <c r="C132" t="s">
        <v>212</v>
      </c>
      <c r="D132">
        <v>0</v>
      </c>
      <c r="E132">
        <v>0</v>
      </c>
      <c r="F132">
        <v>0.31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0.69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98</v>
      </c>
      <c r="C133" t="s">
        <v>98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1E-3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0.999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54</v>
      </c>
      <c r="C134" t="s">
        <v>54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2E-3</v>
      </c>
      <c r="W134">
        <v>0.998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149</v>
      </c>
      <c r="C135" t="s">
        <v>149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0.91300000000000003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8.6999999999999994E-2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67</v>
      </c>
      <c r="C136" t="s">
        <v>67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1.0999999999999999E-2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2.3E-2</v>
      </c>
      <c r="AN136">
        <v>0</v>
      </c>
      <c r="AO136">
        <v>0.96599999999999997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37</v>
      </c>
      <c r="C137" t="s">
        <v>37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153</v>
      </c>
      <c r="C138" t="s">
        <v>153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109</v>
      </c>
      <c r="C139" t="s">
        <v>109</v>
      </c>
      <c r="D139">
        <v>0.57799999999999996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0.36499999999999999</v>
      </c>
      <c r="P139">
        <v>5.7000000000000002E-2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33</v>
      </c>
      <c r="C140" t="s">
        <v>33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0.17399999999999999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0.82599999999999996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40</v>
      </c>
      <c r="C141" t="s">
        <v>40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5.0000000000000001E-3</v>
      </c>
      <c r="Y141">
        <v>0.17199999999999999</v>
      </c>
      <c r="Z141">
        <v>0.82299999999999995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54</v>
      </c>
      <c r="C142" t="s">
        <v>54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3.1E-2</v>
      </c>
      <c r="V142">
        <v>1.0999999999999999E-2</v>
      </c>
      <c r="W142">
        <v>0.89100000000000001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6.7000000000000004E-2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98</v>
      </c>
      <c r="C143" t="s">
        <v>98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40</v>
      </c>
      <c r="C144" t="s">
        <v>40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5.0000000000000001E-3</v>
      </c>
      <c r="Z144">
        <v>0.995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22</v>
      </c>
      <c r="C145" t="s">
        <v>22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0.91</v>
      </c>
      <c r="Z145">
        <v>0.09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40</v>
      </c>
      <c r="C146" t="s">
        <v>40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4.0000000000000001E-3</v>
      </c>
      <c r="Y146">
        <v>3.0000000000000001E-3</v>
      </c>
      <c r="Z146">
        <v>0.99299999999999999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22</v>
      </c>
      <c r="C147" t="s">
        <v>22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0.99099999999999999</v>
      </c>
      <c r="Z147">
        <v>7.0000000000000001E-3</v>
      </c>
      <c r="AA147">
        <v>2E-3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228</v>
      </c>
      <c r="C148" t="s">
        <v>228</v>
      </c>
      <c r="D148">
        <v>0</v>
      </c>
      <c r="E148">
        <v>0</v>
      </c>
      <c r="F148">
        <v>0</v>
      </c>
      <c r="G148">
        <v>0.221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0.77900000000000003</v>
      </c>
      <c r="AZ148">
        <v>0</v>
      </c>
    </row>
    <row r="149" spans="1:52">
      <c r="A149">
        <v>148</v>
      </c>
      <c r="B149" t="s">
        <v>37</v>
      </c>
      <c r="C149" t="s">
        <v>37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37</v>
      </c>
      <c r="C150" t="s">
        <v>37</v>
      </c>
      <c r="D150">
        <v>0</v>
      </c>
      <c r="E150">
        <v>0</v>
      </c>
      <c r="F150">
        <v>0</v>
      </c>
      <c r="G150">
        <v>0.999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1E-3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54</v>
      </c>
      <c r="C151" t="s">
        <v>54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54</v>
      </c>
      <c r="C152" t="s">
        <v>54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7.0000000000000001E-3</v>
      </c>
      <c r="V152">
        <v>5.0000000000000001E-3</v>
      </c>
      <c r="W152">
        <v>0.95699999999999996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3.1E-2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89</v>
      </c>
      <c r="C153" t="s">
        <v>89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236</v>
      </c>
      <c r="C154" t="s">
        <v>236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1E-3</v>
      </c>
      <c r="J154">
        <v>0</v>
      </c>
      <c r="K154">
        <v>1E-3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1E-3</v>
      </c>
      <c r="AC154">
        <v>0</v>
      </c>
      <c r="AD154">
        <v>0</v>
      </c>
      <c r="AE154">
        <v>1E-3</v>
      </c>
      <c r="AF154">
        <v>1E-3</v>
      </c>
      <c r="AG154">
        <v>3.0000000000000001E-3</v>
      </c>
      <c r="AH154">
        <v>0</v>
      </c>
      <c r="AI154">
        <v>0</v>
      </c>
      <c r="AJ154">
        <v>0</v>
      </c>
      <c r="AK154">
        <v>1E-3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2E-3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0.98799999999999999</v>
      </c>
      <c r="AY154">
        <v>0</v>
      </c>
      <c r="AZ154">
        <v>1E-3</v>
      </c>
    </row>
    <row r="155" spans="1:52">
      <c r="A155">
        <v>154</v>
      </c>
      <c r="B155" t="s">
        <v>100</v>
      </c>
      <c r="C155" t="s">
        <v>100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1E-3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0.84799999999999998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0.151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98</v>
      </c>
      <c r="C156" t="s">
        <v>98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1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27</v>
      </c>
      <c r="C157" t="s">
        <v>27</v>
      </c>
      <c r="D157">
        <v>0</v>
      </c>
      <c r="E157">
        <v>0</v>
      </c>
      <c r="F157">
        <v>0</v>
      </c>
      <c r="G157">
        <v>0</v>
      </c>
      <c r="H157">
        <v>0.75900000000000001</v>
      </c>
      <c r="I157">
        <v>0</v>
      </c>
      <c r="J157">
        <v>4.4999999999999998E-2</v>
      </c>
      <c r="K157">
        <v>9.6000000000000002E-2</v>
      </c>
      <c r="L157">
        <v>0</v>
      </c>
      <c r="M157">
        <v>0</v>
      </c>
      <c r="N157">
        <v>6.0999999999999999E-2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3.9E-2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40</v>
      </c>
      <c r="C158" t="s">
        <v>40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1.4E-2</v>
      </c>
      <c r="Y158">
        <v>4.0000000000000001E-3</v>
      </c>
      <c r="Z158">
        <v>0.97799999999999998</v>
      </c>
      <c r="AA158">
        <v>4.0000000000000001E-3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51</v>
      </c>
      <c r="C159" t="s">
        <v>51</v>
      </c>
      <c r="D159">
        <v>2.3E-2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0.97699999999999998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151</v>
      </c>
      <c r="C160" t="s">
        <v>151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1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37</v>
      </c>
      <c r="C161" t="s">
        <v>37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37</v>
      </c>
      <c r="C162" t="s">
        <v>37</v>
      </c>
      <c r="D162">
        <v>0</v>
      </c>
      <c r="E162">
        <v>0</v>
      </c>
      <c r="F162">
        <v>0</v>
      </c>
      <c r="G162">
        <v>0.99099999999999999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8.9999999999999993E-3</v>
      </c>
      <c r="AZ162">
        <v>0</v>
      </c>
    </row>
    <row r="163" spans="1:52">
      <c r="A163">
        <v>162</v>
      </c>
      <c r="B163" t="s">
        <v>37</v>
      </c>
      <c r="C163" t="s">
        <v>37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246</v>
      </c>
      <c r="C164" t="s">
        <v>246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5.0000000000000001E-3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0.995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228</v>
      </c>
      <c r="C165" t="s">
        <v>228</v>
      </c>
      <c r="D165">
        <v>0</v>
      </c>
      <c r="E165">
        <v>0</v>
      </c>
      <c r="F165">
        <v>0</v>
      </c>
      <c r="G165">
        <v>0.40899999999999997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0.59099999999999997</v>
      </c>
      <c r="AZ165">
        <v>0</v>
      </c>
    </row>
    <row r="166" spans="1:52">
      <c r="A166">
        <v>165</v>
      </c>
      <c r="B166" t="s">
        <v>37</v>
      </c>
      <c r="C166" t="s">
        <v>37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100</v>
      </c>
      <c r="C167" t="s">
        <v>100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0.98499999999999999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1.4999999999999999E-2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51</v>
      </c>
      <c r="C168" t="s">
        <v>51</v>
      </c>
      <c r="D168">
        <v>8.5000000000000006E-2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0.65200000000000002</v>
      </c>
      <c r="P168">
        <v>0.26300000000000001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246</v>
      </c>
      <c r="C169" t="s">
        <v>246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2E-3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0.998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22</v>
      </c>
      <c r="C170" t="s">
        <v>22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0.98199999999999998</v>
      </c>
      <c r="Z170">
        <v>1.7000000000000001E-2</v>
      </c>
      <c r="AA170">
        <v>1E-3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37</v>
      </c>
      <c r="C171" t="s">
        <v>37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33</v>
      </c>
      <c r="C172" t="s">
        <v>33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0.22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0.78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98</v>
      </c>
      <c r="C173" t="s">
        <v>98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1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100</v>
      </c>
      <c r="C174" t="s">
        <v>100</v>
      </c>
      <c r="D174">
        <v>0</v>
      </c>
      <c r="E174">
        <v>0</v>
      </c>
      <c r="F174">
        <v>0</v>
      </c>
      <c r="G174">
        <v>0</v>
      </c>
      <c r="H174">
        <v>1E-3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1E-3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0.628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0.37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27</v>
      </c>
      <c r="C175" t="s">
        <v>27</v>
      </c>
      <c r="D175">
        <v>0</v>
      </c>
      <c r="E175">
        <v>8.0000000000000002E-3</v>
      </c>
      <c r="F175">
        <v>0</v>
      </c>
      <c r="G175">
        <v>0</v>
      </c>
      <c r="H175">
        <v>0.81699999999999995</v>
      </c>
      <c r="I175">
        <v>0</v>
      </c>
      <c r="J175">
        <v>0</v>
      </c>
      <c r="K175">
        <v>3.4000000000000002E-2</v>
      </c>
      <c r="L175">
        <v>4.0000000000000001E-3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2.1999999999999999E-2</v>
      </c>
      <c r="U175">
        <v>1E-3</v>
      </c>
      <c r="V175">
        <v>2.8000000000000001E-2</v>
      </c>
      <c r="W175">
        <v>0</v>
      </c>
      <c r="X175">
        <v>0</v>
      </c>
      <c r="Y175">
        <v>6.0000000000000001E-3</v>
      </c>
      <c r="Z175">
        <v>2E-3</v>
      </c>
      <c r="AA175">
        <v>0</v>
      </c>
      <c r="AB175">
        <v>3.4000000000000002E-2</v>
      </c>
      <c r="AC175">
        <v>1E-3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5.0000000000000001E-3</v>
      </c>
      <c r="AK175">
        <v>2.3E-2</v>
      </c>
      <c r="AL175">
        <v>0</v>
      </c>
      <c r="AM175">
        <v>0</v>
      </c>
      <c r="AN175">
        <v>0</v>
      </c>
      <c r="AO175">
        <v>5.0000000000000001E-3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0.01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33</v>
      </c>
      <c r="C176" t="s">
        <v>33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0.18099999999999999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0.81899999999999995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51</v>
      </c>
      <c r="C177" t="s">
        <v>51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22</v>
      </c>
      <c r="C178" t="s">
        <v>22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0.96099999999999997</v>
      </c>
      <c r="Z178">
        <v>3.9E-2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40</v>
      </c>
      <c r="C179" t="s">
        <v>40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2E-3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0.14899999999999999</v>
      </c>
      <c r="Y179">
        <v>8.0000000000000002E-3</v>
      </c>
      <c r="Z179">
        <v>0.73199999999999998</v>
      </c>
      <c r="AA179">
        <v>0.109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64</v>
      </c>
      <c r="C180" t="s">
        <v>64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1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37</v>
      </c>
      <c r="C181" t="s">
        <v>37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37</v>
      </c>
      <c r="C182" t="s">
        <v>37</v>
      </c>
      <c r="D182">
        <v>0</v>
      </c>
      <c r="E182">
        <v>0</v>
      </c>
      <c r="F182">
        <v>0</v>
      </c>
      <c r="G182">
        <v>0.91900000000000004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8.1000000000000003E-2</v>
      </c>
      <c r="AZ182">
        <v>0</v>
      </c>
    </row>
    <row r="183" spans="1:52">
      <c r="A183">
        <v>182</v>
      </c>
      <c r="B183" t="s">
        <v>265</v>
      </c>
      <c r="C183" t="s">
        <v>265</v>
      </c>
      <c r="D183">
        <v>0</v>
      </c>
      <c r="E183">
        <v>0</v>
      </c>
      <c r="F183">
        <v>0</v>
      </c>
      <c r="G183">
        <v>0</v>
      </c>
      <c r="H183">
        <v>0.26600000000000001</v>
      </c>
      <c r="I183">
        <v>0</v>
      </c>
      <c r="J183">
        <v>0.625</v>
      </c>
      <c r="K183">
        <v>2.3E-2</v>
      </c>
      <c r="L183">
        <v>0</v>
      </c>
      <c r="M183">
        <v>0</v>
      </c>
      <c r="N183">
        <v>5.6000000000000001E-2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0.03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114</v>
      </c>
      <c r="C184" t="s">
        <v>114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153</v>
      </c>
      <c r="C185" t="s">
        <v>153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8.3000000000000004E-2</v>
      </c>
      <c r="Z185">
        <v>0.09</v>
      </c>
      <c r="AA185">
        <v>0.82699999999999996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37</v>
      </c>
      <c r="C186" t="s">
        <v>37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22</v>
      </c>
      <c r="C187" t="s">
        <v>22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0.879</v>
      </c>
      <c r="Z187">
        <v>0</v>
      </c>
      <c r="AA187">
        <v>0.121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93</v>
      </c>
      <c r="C188" t="s">
        <v>93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0.60799999999999998</v>
      </c>
      <c r="Y188">
        <v>7.3999999999999996E-2</v>
      </c>
      <c r="Z188">
        <v>0.26900000000000002</v>
      </c>
      <c r="AA188">
        <v>4.9000000000000002E-2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37</v>
      </c>
      <c r="C189" t="s">
        <v>37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40</v>
      </c>
      <c r="C190" t="s">
        <v>40</v>
      </c>
      <c r="D190">
        <v>0</v>
      </c>
      <c r="E190">
        <v>0</v>
      </c>
      <c r="F190">
        <v>0</v>
      </c>
      <c r="G190">
        <v>0</v>
      </c>
      <c r="H190">
        <v>1E-3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1.2E-2</v>
      </c>
      <c r="Y190">
        <v>0.21299999999999999</v>
      </c>
      <c r="Z190">
        <v>0.75</v>
      </c>
      <c r="AA190">
        <v>2.4E-2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100</v>
      </c>
      <c r="C191" t="s">
        <v>100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0.97899999999999998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2.1000000000000001E-2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37</v>
      </c>
      <c r="C192" t="s">
        <v>37</v>
      </c>
      <c r="D192">
        <v>0</v>
      </c>
      <c r="E192">
        <v>0</v>
      </c>
      <c r="F192">
        <v>0</v>
      </c>
      <c r="G192">
        <v>0.997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3.0000000000000001E-3</v>
      </c>
      <c r="AZ192">
        <v>0</v>
      </c>
    </row>
    <row r="193" spans="1:52">
      <c r="A193">
        <v>192</v>
      </c>
      <c r="B193" t="s">
        <v>51</v>
      </c>
      <c r="C193" t="s">
        <v>51</v>
      </c>
      <c r="D193">
        <v>8.9999999999999993E-3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0.99099999999999999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153</v>
      </c>
      <c r="C194" t="s">
        <v>153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1E-3</v>
      </c>
      <c r="Y194">
        <v>3.6999999999999998E-2</v>
      </c>
      <c r="Z194">
        <v>0.13</v>
      </c>
      <c r="AA194">
        <v>0.83199999999999996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89</v>
      </c>
      <c r="C195" t="s">
        <v>89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51</v>
      </c>
      <c r="C196" t="s">
        <v>51</v>
      </c>
      <c r="D196">
        <v>4.0000000000000001E-3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0.995</v>
      </c>
      <c r="P196">
        <v>1E-3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151</v>
      </c>
      <c r="C197" t="s">
        <v>151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0.998</v>
      </c>
      <c r="AU197">
        <v>2E-3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37</v>
      </c>
      <c r="C198" t="s">
        <v>37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37</v>
      </c>
      <c r="C199" t="s">
        <v>37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280</v>
      </c>
      <c r="C200" t="s">
        <v>280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1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33</v>
      </c>
      <c r="C201" t="s">
        <v>33</v>
      </c>
      <c r="D201">
        <v>0</v>
      </c>
      <c r="E201">
        <v>1E-3</v>
      </c>
      <c r="F201">
        <v>0</v>
      </c>
      <c r="G201">
        <v>0</v>
      </c>
      <c r="H201">
        <v>6.0000000000000001E-3</v>
      </c>
      <c r="I201">
        <v>0</v>
      </c>
      <c r="J201">
        <v>0</v>
      </c>
      <c r="K201">
        <v>0</v>
      </c>
      <c r="L201">
        <v>1E-3</v>
      </c>
      <c r="M201">
        <v>0</v>
      </c>
      <c r="N201">
        <v>0</v>
      </c>
      <c r="O201">
        <v>0</v>
      </c>
      <c r="P201">
        <v>0</v>
      </c>
      <c r="Q201">
        <v>3.0000000000000001E-3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0.24299999999999999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0.746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37</v>
      </c>
      <c r="C202" t="s">
        <v>37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54</v>
      </c>
      <c r="C203" t="s">
        <v>54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0.161</v>
      </c>
      <c r="V203">
        <v>0</v>
      </c>
      <c r="W203">
        <v>0.83899999999999997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51</v>
      </c>
      <c r="C204" t="s">
        <v>51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33</v>
      </c>
      <c r="C205" t="s">
        <v>33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0.27200000000000002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0.72799999999999998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37</v>
      </c>
      <c r="C206" t="s">
        <v>37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51</v>
      </c>
      <c r="C207" t="s">
        <v>51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98</v>
      </c>
      <c r="C208" t="s">
        <v>98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1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37</v>
      </c>
      <c r="C209" t="s">
        <v>37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265</v>
      </c>
      <c r="C210" t="s">
        <v>265</v>
      </c>
      <c r="D210">
        <v>0</v>
      </c>
      <c r="E210">
        <v>0</v>
      </c>
      <c r="F210">
        <v>0</v>
      </c>
      <c r="G210">
        <v>0</v>
      </c>
      <c r="H210">
        <v>7.0000000000000001E-3</v>
      </c>
      <c r="I210">
        <v>0</v>
      </c>
      <c r="J210">
        <v>0.60399999999999998</v>
      </c>
      <c r="K210">
        <v>0.38800000000000001</v>
      </c>
      <c r="L210">
        <v>0</v>
      </c>
      <c r="M210">
        <v>0</v>
      </c>
      <c r="N210">
        <v>1E-3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265</v>
      </c>
      <c r="C211" t="s">
        <v>265</v>
      </c>
      <c r="D211">
        <v>0</v>
      </c>
      <c r="E211">
        <v>0</v>
      </c>
      <c r="F211">
        <v>0</v>
      </c>
      <c r="G211">
        <v>0</v>
      </c>
      <c r="H211">
        <v>2.9000000000000001E-2</v>
      </c>
      <c r="I211">
        <v>0</v>
      </c>
      <c r="J211">
        <v>0.67</v>
      </c>
      <c r="K211">
        <v>0.29899999999999999</v>
      </c>
      <c r="L211">
        <v>1E-3</v>
      </c>
      <c r="M211">
        <v>0</v>
      </c>
      <c r="N211">
        <v>1E-3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89</v>
      </c>
      <c r="C212" t="s">
        <v>89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107</v>
      </c>
      <c r="C213" t="s">
        <v>107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0.97699999999999998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1E-3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2.1999999999999999E-2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153</v>
      </c>
      <c r="C214" t="s">
        <v>153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1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37</v>
      </c>
      <c r="C215" t="s">
        <v>37</v>
      </c>
      <c r="D215">
        <v>0</v>
      </c>
      <c r="E215">
        <v>0</v>
      </c>
      <c r="F215">
        <v>0</v>
      </c>
      <c r="G215">
        <v>0.98899999999999999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1.0999999999999999E-2</v>
      </c>
      <c r="AZ215">
        <v>0</v>
      </c>
    </row>
    <row r="216" spans="1:52">
      <c r="A216">
        <v>215</v>
      </c>
      <c r="B216" t="s">
        <v>37</v>
      </c>
      <c r="C216" t="s">
        <v>37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64</v>
      </c>
      <c r="C217" t="s">
        <v>64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1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89</v>
      </c>
      <c r="C218" t="s">
        <v>89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40</v>
      </c>
      <c r="C219" t="s">
        <v>40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0.28499999999999998</v>
      </c>
      <c r="Z219">
        <v>0.71499999999999997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37</v>
      </c>
      <c r="C220" t="s">
        <v>37</v>
      </c>
      <c r="D220">
        <v>0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37</v>
      </c>
      <c r="C221" t="s">
        <v>37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54</v>
      </c>
      <c r="C222" t="s">
        <v>54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1E-3</v>
      </c>
      <c r="V222">
        <v>0</v>
      </c>
      <c r="W222">
        <v>0.999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37</v>
      </c>
      <c r="C223" t="s">
        <v>37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140</v>
      </c>
      <c r="C224" t="s">
        <v>140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0.95</v>
      </c>
      <c r="AT224">
        <v>0</v>
      </c>
      <c r="AU224">
        <v>0.05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40</v>
      </c>
      <c r="C225" t="s">
        <v>40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0.122</v>
      </c>
      <c r="Z225">
        <v>0.878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51</v>
      </c>
      <c r="C226" t="s">
        <v>51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151</v>
      </c>
      <c r="C227" t="s">
        <v>151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0.01</v>
      </c>
      <c r="AT227">
        <v>0.97299999999999998</v>
      </c>
      <c r="AU227">
        <v>1.7000000000000001E-2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37</v>
      </c>
      <c r="C228" t="s">
        <v>37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51</v>
      </c>
      <c r="C229" t="s">
        <v>51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37</v>
      </c>
      <c r="C230" t="s">
        <v>37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109</v>
      </c>
      <c r="C231" t="s">
        <v>109</v>
      </c>
      <c r="D231">
        <v>0.57999999999999996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0.20899999999999999</v>
      </c>
      <c r="P231">
        <v>0.21099999999999999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153</v>
      </c>
      <c r="C232" t="s">
        <v>153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2E-3</v>
      </c>
      <c r="Y232">
        <v>4.5999999999999999E-2</v>
      </c>
      <c r="Z232">
        <v>0.19800000000000001</v>
      </c>
      <c r="AA232">
        <v>0.754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37</v>
      </c>
      <c r="C233" t="s">
        <v>37</v>
      </c>
      <c r="D233">
        <v>0</v>
      </c>
      <c r="E233">
        <v>0</v>
      </c>
      <c r="F233">
        <v>0</v>
      </c>
      <c r="G233">
        <v>0.999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1E-3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40</v>
      </c>
      <c r="C234" t="s">
        <v>40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0.13700000000000001</v>
      </c>
      <c r="Z234">
        <v>0.86299999999999999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37</v>
      </c>
      <c r="C235" t="s">
        <v>37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89</v>
      </c>
      <c r="C236" t="s">
        <v>89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64</v>
      </c>
      <c r="C237" t="s">
        <v>64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1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51</v>
      </c>
      <c r="C238" t="s">
        <v>51</v>
      </c>
      <c r="D238">
        <v>7.0000000000000001E-3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0.99299999999999999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162</v>
      </c>
      <c r="C239" t="s">
        <v>162</v>
      </c>
      <c r="D239">
        <v>0</v>
      </c>
      <c r="E239">
        <v>0</v>
      </c>
      <c r="F239">
        <v>0</v>
      </c>
      <c r="G239">
        <v>1E-3</v>
      </c>
      <c r="H239">
        <v>0</v>
      </c>
      <c r="I239">
        <v>0</v>
      </c>
      <c r="J239">
        <v>0</v>
      </c>
      <c r="K239">
        <v>0</v>
      </c>
      <c r="L239">
        <v>2E-3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4.0000000000000001E-3</v>
      </c>
      <c r="Y239">
        <v>0</v>
      </c>
      <c r="Z239">
        <v>2E-3</v>
      </c>
      <c r="AA239">
        <v>3.0000000000000001E-3</v>
      </c>
      <c r="AB239">
        <v>1E-3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0.98699999999999999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151</v>
      </c>
      <c r="C240" t="s">
        <v>151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0.998</v>
      </c>
      <c r="AU240">
        <v>2E-3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64</v>
      </c>
      <c r="C241" t="s">
        <v>64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1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33</v>
      </c>
      <c r="C242" t="s">
        <v>33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0.30599999999999999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0.69399999999999995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33</v>
      </c>
      <c r="C243" t="s">
        <v>33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0.32400000000000001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0.67600000000000005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246</v>
      </c>
      <c r="C244" t="s">
        <v>246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5.5E-2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0.94499999999999995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54</v>
      </c>
      <c r="C245" t="s">
        <v>54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0.97699999999999998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2.3E-2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93</v>
      </c>
      <c r="C246" t="s">
        <v>93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0.56200000000000006</v>
      </c>
      <c r="Y246">
        <v>3.7999999999999999E-2</v>
      </c>
      <c r="Z246">
        <v>0.4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22</v>
      </c>
      <c r="C247" t="s">
        <v>22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0.93700000000000006</v>
      </c>
      <c r="Z247">
        <v>4.5999999999999999E-2</v>
      </c>
      <c r="AA247">
        <v>1.7000000000000001E-2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37</v>
      </c>
      <c r="C248" t="s">
        <v>37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37</v>
      </c>
      <c r="C249" t="s">
        <v>37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22</v>
      </c>
      <c r="C250" t="s">
        <v>22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0.872</v>
      </c>
      <c r="Z250">
        <v>8.9999999999999993E-3</v>
      </c>
      <c r="AA250">
        <v>0.11899999999999999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321</v>
      </c>
      <c r="C251" t="s">
        <v>321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3.0000000000000001E-3</v>
      </c>
      <c r="AF251">
        <v>0.97799999999999998</v>
      </c>
      <c r="AG251">
        <v>4.0000000000000001E-3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2E-3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1.2999999999999999E-2</v>
      </c>
    </row>
    <row r="252" spans="1:52">
      <c r="A252">
        <v>251</v>
      </c>
      <c r="B252" t="s">
        <v>100</v>
      </c>
      <c r="C252" t="s">
        <v>100</v>
      </c>
      <c r="D252">
        <v>0</v>
      </c>
      <c r="E252">
        <v>0</v>
      </c>
      <c r="F252">
        <v>0</v>
      </c>
      <c r="G252">
        <v>0</v>
      </c>
      <c r="H252">
        <v>6.0000000000000001E-3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0.71299999999999997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0.28100000000000003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51</v>
      </c>
      <c r="C253" t="s">
        <v>51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22</v>
      </c>
      <c r="C254" t="s">
        <v>22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0.88700000000000001</v>
      </c>
      <c r="Z254">
        <v>0.105</v>
      </c>
      <c r="AA254">
        <v>8.0000000000000002E-3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40</v>
      </c>
      <c r="C255" t="s">
        <v>40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3.0000000000000001E-3</v>
      </c>
      <c r="Y255">
        <v>1E-3</v>
      </c>
      <c r="Z255">
        <v>0.996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40</v>
      </c>
      <c r="C256" t="s">
        <v>40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2.1000000000000001E-2</v>
      </c>
      <c r="Y256">
        <v>6.0000000000000001E-3</v>
      </c>
      <c r="Z256">
        <v>0.97299999999999998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37</v>
      </c>
      <c r="C257" t="s">
        <v>37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51</v>
      </c>
      <c r="C258" t="s">
        <v>51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0.999</v>
      </c>
      <c r="P258">
        <v>1E-3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22</v>
      </c>
      <c r="C259" t="s">
        <v>22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0.99399999999999999</v>
      </c>
      <c r="Z259">
        <v>6.0000000000000001E-3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37</v>
      </c>
      <c r="C260" t="s">
        <v>37</v>
      </c>
      <c r="D260">
        <v>0</v>
      </c>
      <c r="E260">
        <v>0</v>
      </c>
      <c r="F260">
        <v>0</v>
      </c>
      <c r="G260">
        <v>0.97099999999999997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2.9000000000000001E-2</v>
      </c>
      <c r="AZ260">
        <v>0</v>
      </c>
    </row>
    <row r="261" spans="1:52">
      <c r="A261">
        <v>260</v>
      </c>
      <c r="B261" t="s">
        <v>40</v>
      </c>
      <c r="C261" t="s">
        <v>40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7.8E-2</v>
      </c>
      <c r="Y261">
        <v>8.0000000000000002E-3</v>
      </c>
      <c r="Z261">
        <v>0.74</v>
      </c>
      <c r="AA261">
        <v>0.17399999999999999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153</v>
      </c>
      <c r="C262" t="s">
        <v>153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153</v>
      </c>
      <c r="C263" t="s">
        <v>153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1.7000000000000001E-2</v>
      </c>
      <c r="Z263">
        <v>1E-3</v>
      </c>
      <c r="AA263">
        <v>0.98199999999999998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60</v>
      </c>
      <c r="C264" t="s">
        <v>60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0.73899999999999999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5.8999999999999997E-2</v>
      </c>
      <c r="AN264">
        <v>1.2E-2</v>
      </c>
      <c r="AO264">
        <v>0.19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22</v>
      </c>
      <c r="C265" t="s">
        <v>22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0.97799999999999998</v>
      </c>
      <c r="Z265">
        <v>2.1999999999999999E-2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246</v>
      </c>
      <c r="C266" t="s">
        <v>246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1E-3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0.999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37</v>
      </c>
      <c r="C267" t="s">
        <v>37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67</v>
      </c>
      <c r="C268" t="s">
        <v>67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0.13900000000000001</v>
      </c>
      <c r="AN268">
        <v>0</v>
      </c>
      <c r="AO268">
        <v>0.86099999999999999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33</v>
      </c>
      <c r="C269" t="s">
        <v>33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7.4999999999999997E-2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0.92500000000000004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93</v>
      </c>
      <c r="C270" t="s">
        <v>93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0.625</v>
      </c>
      <c r="Y270">
        <v>0</v>
      </c>
      <c r="Z270">
        <v>0.372</v>
      </c>
      <c r="AA270">
        <v>3.0000000000000001E-3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149</v>
      </c>
      <c r="C271" t="s">
        <v>149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0.999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1E-3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67</v>
      </c>
      <c r="C272" t="s">
        <v>67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1E-3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0.217</v>
      </c>
      <c r="AN272">
        <v>0</v>
      </c>
      <c r="AO272">
        <v>0.78200000000000003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51</v>
      </c>
      <c r="C273" t="s">
        <v>51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149</v>
      </c>
      <c r="C274" t="s">
        <v>149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0.999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1E-3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153</v>
      </c>
      <c r="C275" t="s">
        <v>153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5.0000000000000001E-3</v>
      </c>
      <c r="Z275">
        <v>1.0999999999999999E-2</v>
      </c>
      <c r="AA275">
        <v>0.98399999999999999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51</v>
      </c>
      <c r="C276" t="s">
        <v>51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37</v>
      </c>
      <c r="C277" t="s">
        <v>37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37</v>
      </c>
      <c r="C278" t="s">
        <v>37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30</v>
      </c>
      <c r="C279" t="s">
        <v>30</v>
      </c>
      <c r="D279">
        <v>0</v>
      </c>
      <c r="E279">
        <v>0</v>
      </c>
      <c r="F279">
        <v>0</v>
      </c>
      <c r="G279">
        <v>1E-3</v>
      </c>
      <c r="H279">
        <v>3.0000000000000001E-3</v>
      </c>
      <c r="I279">
        <v>0</v>
      </c>
      <c r="J279">
        <v>0</v>
      </c>
      <c r="K279">
        <v>0</v>
      </c>
      <c r="L279">
        <v>0.99299999999999999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2E-3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1E-3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236</v>
      </c>
      <c r="C280" t="s">
        <v>236</v>
      </c>
      <c r="D280">
        <v>0</v>
      </c>
      <c r="E280">
        <v>0</v>
      </c>
      <c r="F280">
        <v>0</v>
      </c>
      <c r="G280">
        <v>0</v>
      </c>
      <c r="H280">
        <v>1E-3</v>
      </c>
      <c r="I280">
        <v>0</v>
      </c>
      <c r="J280">
        <v>0</v>
      </c>
      <c r="K280">
        <v>0</v>
      </c>
      <c r="L280">
        <v>1E-3</v>
      </c>
      <c r="M280">
        <v>1E-3</v>
      </c>
      <c r="N280">
        <v>0</v>
      </c>
      <c r="O280">
        <v>0</v>
      </c>
      <c r="P280">
        <v>0</v>
      </c>
      <c r="Q280">
        <v>1E-3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1E-3</v>
      </c>
      <c r="X280">
        <v>0</v>
      </c>
      <c r="Y280">
        <v>6.0000000000000001E-3</v>
      </c>
      <c r="Z280">
        <v>4.0000000000000001E-3</v>
      </c>
      <c r="AA280">
        <v>0</v>
      </c>
      <c r="AB280">
        <v>8.0000000000000002E-3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4.0000000000000001E-3</v>
      </c>
      <c r="AM280">
        <v>0</v>
      </c>
      <c r="AN280">
        <v>1E-3</v>
      </c>
      <c r="AO280">
        <v>0</v>
      </c>
      <c r="AP280">
        <v>0</v>
      </c>
      <c r="AQ280">
        <v>1E-3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0.97099999999999997</v>
      </c>
      <c r="AY280">
        <v>0</v>
      </c>
      <c r="AZ280">
        <v>0</v>
      </c>
    </row>
    <row r="281" spans="1:52">
      <c r="A281">
        <v>280</v>
      </c>
      <c r="B281" t="s">
        <v>33</v>
      </c>
      <c r="C281" t="s">
        <v>33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0.28100000000000003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0.71899999999999997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51</v>
      </c>
      <c r="C282" t="s">
        <v>51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179</v>
      </c>
      <c r="C283" t="s">
        <v>179</v>
      </c>
      <c r="D283">
        <v>0</v>
      </c>
      <c r="E283">
        <v>0</v>
      </c>
      <c r="F283">
        <v>0.94599999999999995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1E-3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1E-3</v>
      </c>
      <c r="AD283">
        <v>0</v>
      </c>
      <c r="AE283">
        <v>1E-3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5.0999999999999997E-2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40</v>
      </c>
      <c r="C284" t="s">
        <v>40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2.7E-2</v>
      </c>
      <c r="Z284">
        <v>0.97299999999999998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129</v>
      </c>
      <c r="C285" t="s">
        <v>129</v>
      </c>
      <c r="D285">
        <v>0</v>
      </c>
      <c r="E285">
        <v>0</v>
      </c>
      <c r="F285">
        <v>0</v>
      </c>
      <c r="G285">
        <v>1E-3</v>
      </c>
      <c r="H285">
        <v>5.0000000000000001E-3</v>
      </c>
      <c r="I285">
        <v>0</v>
      </c>
      <c r="J285">
        <v>0</v>
      </c>
      <c r="K285">
        <v>0.98599999999999999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3.0000000000000001E-3</v>
      </c>
      <c r="V285">
        <v>0</v>
      </c>
      <c r="W285">
        <v>2E-3</v>
      </c>
      <c r="X285">
        <v>0</v>
      </c>
      <c r="Y285">
        <v>3.0000000000000001E-3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192</v>
      </c>
      <c r="C286" t="s">
        <v>192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0.81100000000000005</v>
      </c>
      <c r="V286">
        <v>0</v>
      </c>
      <c r="W286">
        <v>0.189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93</v>
      </c>
      <c r="C287" t="s">
        <v>93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5.0000000000000001E-3</v>
      </c>
      <c r="M287">
        <v>2E-3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0.55200000000000005</v>
      </c>
      <c r="Y287">
        <v>6.0000000000000001E-3</v>
      </c>
      <c r="Z287">
        <v>0.34200000000000003</v>
      </c>
      <c r="AA287">
        <v>8.8999999999999996E-2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4.0000000000000001E-3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153</v>
      </c>
      <c r="C288" t="s">
        <v>153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0.13100000000000001</v>
      </c>
      <c r="Z288">
        <v>1E-3</v>
      </c>
      <c r="AA288">
        <v>0.86799999999999999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93</v>
      </c>
      <c r="C289" t="s">
        <v>93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0.88900000000000001</v>
      </c>
      <c r="Y289">
        <v>0</v>
      </c>
      <c r="Z289">
        <v>0.11</v>
      </c>
      <c r="AA289">
        <v>1E-3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54</v>
      </c>
      <c r="C290" t="s">
        <v>54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0.14499999999999999</v>
      </c>
      <c r="V290">
        <v>3.0000000000000001E-3</v>
      </c>
      <c r="W290">
        <v>0.85199999999999998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153</v>
      </c>
      <c r="C291" t="s">
        <v>153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1E-3</v>
      </c>
      <c r="M291">
        <v>1E-3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0.105</v>
      </c>
      <c r="Y291">
        <v>1.2E-2</v>
      </c>
      <c r="Z291">
        <v>0.218</v>
      </c>
      <c r="AA291">
        <v>0.66200000000000003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1E-3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37</v>
      </c>
      <c r="C292" t="s">
        <v>37</v>
      </c>
      <c r="D292">
        <v>0</v>
      </c>
      <c r="E292">
        <v>0</v>
      </c>
      <c r="F292">
        <v>0</v>
      </c>
      <c r="G292">
        <v>0.97799999999999998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2.1999999999999999E-2</v>
      </c>
      <c r="AZ292">
        <v>0</v>
      </c>
    </row>
    <row r="293" spans="1:52">
      <c r="A293">
        <v>292</v>
      </c>
      <c r="B293" t="s">
        <v>22</v>
      </c>
      <c r="C293" t="s">
        <v>22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2E-3</v>
      </c>
      <c r="Y293">
        <v>0.72599999999999998</v>
      </c>
      <c r="Z293">
        <v>0.26800000000000002</v>
      </c>
      <c r="AA293">
        <v>4.0000000000000001E-3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98</v>
      </c>
      <c r="C294" t="s">
        <v>98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1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98</v>
      </c>
      <c r="C295" t="s">
        <v>98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1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153</v>
      </c>
      <c r="C296" t="s">
        <v>153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8.0000000000000002E-3</v>
      </c>
      <c r="Z296">
        <v>0.14699999999999999</v>
      </c>
      <c r="AA296">
        <v>0.84499999999999997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195</v>
      </c>
      <c r="C297" t="s">
        <v>195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0.997</v>
      </c>
      <c r="J297">
        <v>0</v>
      </c>
      <c r="K297">
        <v>1E-3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1E-3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1E-3</v>
      </c>
      <c r="AY297">
        <v>0</v>
      </c>
      <c r="AZ297">
        <v>0</v>
      </c>
    </row>
    <row r="298" spans="1:52">
      <c r="A298">
        <v>297</v>
      </c>
      <c r="B298" t="s">
        <v>67</v>
      </c>
      <c r="C298" t="s">
        <v>67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3.0000000000000001E-3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0.24299999999999999</v>
      </c>
      <c r="AN298">
        <v>0</v>
      </c>
      <c r="AO298">
        <v>0.754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54</v>
      </c>
      <c r="C299" t="s">
        <v>54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8.7999999999999995E-2</v>
      </c>
      <c r="V299">
        <v>0</v>
      </c>
      <c r="W299">
        <v>0.90500000000000003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7.0000000000000001E-3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134</v>
      </c>
      <c r="C300" t="s">
        <v>134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1E-3</v>
      </c>
      <c r="AT300">
        <v>3.0000000000000001E-3</v>
      </c>
      <c r="AU300">
        <v>0.996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98</v>
      </c>
      <c r="C301" t="s">
        <v>98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1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37</v>
      </c>
      <c r="C302" t="s">
        <v>37</v>
      </c>
      <c r="D302">
        <v>0</v>
      </c>
      <c r="E302">
        <v>0</v>
      </c>
      <c r="F302">
        <v>0</v>
      </c>
      <c r="G302">
        <v>0.995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5.0000000000000001E-3</v>
      </c>
      <c r="AZ302">
        <v>0</v>
      </c>
    </row>
    <row r="303" spans="1:52">
      <c r="A303">
        <v>302</v>
      </c>
      <c r="B303" t="s">
        <v>54</v>
      </c>
      <c r="C303" t="s">
        <v>54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0.30499999999999999</v>
      </c>
      <c r="V303">
        <v>2E-3</v>
      </c>
      <c r="W303">
        <v>0.69299999999999995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64</v>
      </c>
      <c r="C304" t="s">
        <v>64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1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37</v>
      </c>
      <c r="C305" t="s">
        <v>37</v>
      </c>
      <c r="D305">
        <v>0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100</v>
      </c>
      <c r="C306" t="s">
        <v>100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0.89300000000000002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0.107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149</v>
      </c>
      <c r="C307" t="s">
        <v>149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0.997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3.0000000000000001E-3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22</v>
      </c>
      <c r="C308" t="s">
        <v>22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0.75700000000000001</v>
      </c>
      <c r="Z308">
        <v>0.17299999999999999</v>
      </c>
      <c r="AA308">
        <v>7.0000000000000007E-2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22</v>
      </c>
      <c r="C309" t="s">
        <v>22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1E-3</v>
      </c>
      <c r="Y309">
        <v>0.96</v>
      </c>
      <c r="Z309">
        <v>3.9E-2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27</v>
      </c>
      <c r="C310" t="s">
        <v>27</v>
      </c>
      <c r="D310">
        <v>0</v>
      </c>
      <c r="E310">
        <v>0</v>
      </c>
      <c r="F310">
        <v>0</v>
      </c>
      <c r="G310">
        <v>0</v>
      </c>
      <c r="H310">
        <v>0.72299999999999998</v>
      </c>
      <c r="I310">
        <v>0</v>
      </c>
      <c r="J310">
        <v>0.17199999999999999</v>
      </c>
      <c r="K310">
        <v>3.9E-2</v>
      </c>
      <c r="L310">
        <v>0</v>
      </c>
      <c r="M310">
        <v>0</v>
      </c>
      <c r="N310">
        <v>1.7000000000000001E-2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4.9000000000000002E-2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114</v>
      </c>
      <c r="C311" t="s">
        <v>114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0.98699999999999999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1.2E-2</v>
      </c>
      <c r="AC311">
        <v>0</v>
      </c>
      <c r="AD311">
        <v>0</v>
      </c>
      <c r="AE311">
        <v>0</v>
      </c>
      <c r="AF311">
        <v>1E-3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67</v>
      </c>
      <c r="C312" t="s">
        <v>67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0.21099999999999999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0.107</v>
      </c>
      <c r="AN312">
        <v>0</v>
      </c>
      <c r="AO312">
        <v>0.68200000000000005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37</v>
      </c>
      <c r="C313" t="s">
        <v>37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64</v>
      </c>
      <c r="C314" t="s">
        <v>64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1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22</v>
      </c>
      <c r="C315" t="s">
        <v>22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6.5000000000000002E-2</v>
      </c>
      <c r="Y315">
        <v>0.622</v>
      </c>
      <c r="Z315">
        <v>0.313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149</v>
      </c>
      <c r="C316" t="s">
        <v>149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0.98299999999999998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1.7000000000000001E-2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100</v>
      </c>
      <c r="C317" t="s">
        <v>100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0.82699999999999996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0.17299999999999999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67</v>
      </c>
      <c r="C318" t="s">
        <v>67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9.7000000000000003E-2</v>
      </c>
      <c r="AN318">
        <v>1E-3</v>
      </c>
      <c r="AO318">
        <v>0.90200000000000002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51</v>
      </c>
      <c r="C319" t="s">
        <v>51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51</v>
      </c>
      <c r="C320" t="s">
        <v>51</v>
      </c>
      <c r="D320">
        <v>4.0000000000000001E-3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0.92600000000000005</v>
      </c>
      <c r="P320">
        <v>7.0000000000000007E-2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22</v>
      </c>
      <c r="C321" t="s">
        <v>22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0.97799999999999998</v>
      </c>
      <c r="Z321">
        <v>2.1999999999999999E-2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51</v>
      </c>
      <c r="C322" t="s">
        <v>51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40</v>
      </c>
      <c r="C323" t="s">
        <v>40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2.1999999999999999E-2</v>
      </c>
      <c r="Y323">
        <v>0</v>
      </c>
      <c r="Z323">
        <v>0.95599999999999996</v>
      </c>
      <c r="AA323">
        <v>2.1999999999999999E-2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40</v>
      </c>
      <c r="C324" t="s">
        <v>40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0.19</v>
      </c>
      <c r="Y324">
        <v>0</v>
      </c>
      <c r="Z324">
        <v>0.80500000000000005</v>
      </c>
      <c r="AA324">
        <v>5.0000000000000001E-3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37</v>
      </c>
      <c r="C325" t="s">
        <v>37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149</v>
      </c>
      <c r="C326" t="s">
        <v>149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22</v>
      </c>
      <c r="C327" t="s">
        <v>22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7.0999999999999994E-2</v>
      </c>
      <c r="Y327">
        <v>0.73899999999999999</v>
      </c>
      <c r="Z327">
        <v>0.186</v>
      </c>
      <c r="AA327">
        <v>4.0000000000000001E-3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246</v>
      </c>
      <c r="C328" t="s">
        <v>246</v>
      </c>
      <c r="D328">
        <v>0</v>
      </c>
      <c r="E328">
        <v>0</v>
      </c>
      <c r="F328">
        <v>0</v>
      </c>
      <c r="G328">
        <v>0</v>
      </c>
      <c r="H328">
        <v>0.04</v>
      </c>
      <c r="I328">
        <v>0</v>
      </c>
      <c r="J328">
        <v>2E-3</v>
      </c>
      <c r="K328">
        <v>2.3E-2</v>
      </c>
      <c r="L328">
        <v>0</v>
      </c>
      <c r="M328">
        <v>0</v>
      </c>
      <c r="N328">
        <v>2E-3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0.93300000000000005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33</v>
      </c>
      <c r="C329" t="s">
        <v>33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0.18099999999999999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0.81899999999999995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388</v>
      </c>
      <c r="C330" t="s">
        <v>388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1E-3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1.7000000000000001E-2</v>
      </c>
      <c r="AR330">
        <v>0.98199999999999998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51</v>
      </c>
      <c r="C331" t="s">
        <v>51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51</v>
      </c>
      <c r="C332" t="s">
        <v>51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100</v>
      </c>
      <c r="C333" t="s">
        <v>100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0.9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0.1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33</v>
      </c>
      <c r="C334" t="s">
        <v>33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0.219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0.78100000000000003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51</v>
      </c>
      <c r="C335" t="s">
        <v>51</v>
      </c>
      <c r="D335">
        <v>1.9E-2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0.93100000000000005</v>
      </c>
      <c r="P335">
        <v>0.05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51</v>
      </c>
      <c r="C336" t="s">
        <v>51</v>
      </c>
      <c r="D336">
        <v>8.9999999999999993E-3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0.98599999999999999</v>
      </c>
      <c r="P336">
        <v>5.0000000000000001E-3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22</v>
      </c>
      <c r="C337" t="s">
        <v>22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0.75900000000000001</v>
      </c>
      <c r="Z337">
        <v>0.13800000000000001</v>
      </c>
      <c r="AA337">
        <v>0.10299999999999999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64</v>
      </c>
      <c r="C338" t="s">
        <v>64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1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388</v>
      </c>
      <c r="C339" t="s">
        <v>388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0.104</v>
      </c>
      <c r="AR339">
        <v>0.89600000000000002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51</v>
      </c>
      <c r="C340" t="s">
        <v>51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37</v>
      </c>
      <c r="C341" t="s">
        <v>37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100</v>
      </c>
      <c r="C342" t="s">
        <v>100</v>
      </c>
      <c r="D342">
        <v>0</v>
      </c>
      <c r="E342">
        <v>0</v>
      </c>
      <c r="F342">
        <v>0</v>
      </c>
      <c r="G342">
        <v>0</v>
      </c>
      <c r="H342">
        <v>1E-3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0.96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3.9E-2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153</v>
      </c>
      <c r="C343" t="s">
        <v>153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4.0000000000000001E-3</v>
      </c>
      <c r="M343">
        <v>1E-3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8.9999999999999993E-3</v>
      </c>
      <c r="Y343">
        <v>0</v>
      </c>
      <c r="Z343">
        <v>0.215</v>
      </c>
      <c r="AA343">
        <v>0.77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1E-3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33</v>
      </c>
      <c r="C344" t="s">
        <v>33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0.26200000000000001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0.73799999999999999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149</v>
      </c>
      <c r="C345" t="s">
        <v>149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0.99399999999999999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6.0000000000000001E-3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40</v>
      </c>
      <c r="C346" t="s">
        <v>40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2E-3</v>
      </c>
      <c r="Y346">
        <v>0</v>
      </c>
      <c r="Z346">
        <v>0.998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37</v>
      </c>
      <c r="C347" t="s">
        <v>37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151</v>
      </c>
      <c r="C348" t="s">
        <v>151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1E-3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0.999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37</v>
      </c>
      <c r="C349" t="s">
        <v>37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54</v>
      </c>
      <c r="C350" t="s">
        <v>54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0.19700000000000001</v>
      </c>
      <c r="V350">
        <v>0</v>
      </c>
      <c r="W350">
        <v>0.80300000000000005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37</v>
      </c>
      <c r="C351" t="s">
        <v>37</v>
      </c>
      <c r="D351">
        <v>0</v>
      </c>
      <c r="E351">
        <v>0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37</v>
      </c>
      <c r="C352" t="s">
        <v>37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153</v>
      </c>
      <c r="C353" t="s">
        <v>153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1.9E-2</v>
      </c>
      <c r="Y353">
        <v>0.112</v>
      </c>
      <c r="Z353">
        <v>0.112</v>
      </c>
      <c r="AA353">
        <v>0.75700000000000001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98</v>
      </c>
      <c r="C354" t="s">
        <v>98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1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405</v>
      </c>
      <c r="C355" t="s">
        <v>405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1E-3</v>
      </c>
      <c r="V355">
        <v>0</v>
      </c>
      <c r="W355">
        <v>0.03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0.96899999999999997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2020-02-11T19:43:52Z</dcterms:created>
  <dcterms:modified xsi:type="dcterms:W3CDTF">2020-02-13T23:25:24Z</dcterms:modified>
</cp:coreProperties>
</file>