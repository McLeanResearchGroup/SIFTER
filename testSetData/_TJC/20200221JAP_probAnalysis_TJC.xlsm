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SetData/_TJC/"/>
    </mc:Choice>
  </mc:AlternateContent>
  <xr:revisionPtr revIDLastSave="0" documentId="13_ncr:1_{A8AD5169-5724-6345-97F6-5ED0AEE75FFE}" xr6:coauthVersionLast="45" xr6:coauthVersionMax="45" xr10:uidLastSave="{00000000-0000-0000-0000-000000000000}"/>
  <bookViews>
    <workbookView xWindow="-30040" yWindow="920" windowWidth="28800" windowHeight="18000" activeTab="5" xr2:uid="{00000000-000D-0000-FFFF-FFFF00000000}"/>
  </bookViews>
  <sheets>
    <sheet name="20200221JAP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'20200221JAP_probAnalysis'!$A$1:$R$1</definedName>
    <definedName name="_xlnm._FilterDatabase" localSheetId="4" hidden="1">perClass!$A$1:$AB$1</definedName>
    <definedName name="_xlnm._FilterDatabase" localSheetId="5" hidden="1">perSubclass!$A$1:$BE$1</definedName>
    <definedName name="_xlnm._FilterDatabase" localSheetId="3" hidden="1">perSuperClass!$A$1:$N$1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6" i="1" l="1"/>
  <c r="V5" i="1"/>
  <c r="V4" i="1"/>
  <c r="V3" i="1"/>
  <c r="V2" i="1"/>
  <c r="V7" i="1" l="1"/>
</calcChain>
</file>

<file path=xl/sharedStrings.xml><?xml version="1.0" encoding="utf-8"?>
<sst xmlns="http://schemas.openxmlformats.org/spreadsheetml/2006/main" count="2007" uniqueCount="127">
  <si>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</si>
  <si>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</si>
  <si>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</si>
  <si>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</si>
  <si>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</si>
  <si>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</si>
  <si>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</si>
  <si>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</si>
  <si>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</si>
  <si>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</si>
  <si>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</si>
  <si>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</si>
  <si>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</si>
  <si>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</si>
  <si>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</si>
  <si>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</si>
  <si>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Organic compounds</t>
  </si>
  <si>
    <t>yes</t>
  </si>
  <si>
    <t>Phenylpropanoids and polyketides</t>
  </si>
  <si>
    <t>Tannins</t>
  </si>
  <si>
    <t>Hydrolyzable tannins</t>
  </si>
  <si>
    <t>kscsb</t>
  </si>
  <si>
    <t>Nucleosides, nucleotides, and analogues</t>
  </si>
  <si>
    <t>no</t>
  </si>
  <si>
    <t>Purine nucleotides</t>
  </si>
  <si>
    <t>Purine ribonucleotides</t>
  </si>
  <si>
    <t>Organic acids and derivatives</t>
  </si>
  <si>
    <t>Carboxylic acids and derivatives</t>
  </si>
  <si>
    <t>Amino acids, peptides, and analogues</t>
  </si>
  <si>
    <t>Flavonoids</t>
  </si>
  <si>
    <t>Flavonoid glycosides</t>
  </si>
  <si>
    <t>Organoheterocyclic compounds</t>
  </si>
  <si>
    <t>Indoles and derivatives</t>
  </si>
  <si>
    <t>Indoles</t>
  </si>
  <si>
    <t>Benzenoids</t>
  </si>
  <si>
    <t>Benzene and substituted derivatives</t>
  </si>
  <si>
    <t>Anilides</t>
  </si>
  <si>
    <t>O-methylated flavonoids</t>
  </si>
  <si>
    <t>Organic oxygen compounds</t>
  </si>
  <si>
    <t>Organooxygen compounds</t>
  </si>
  <si>
    <t>Carbohydrates and carbohydrate conjugates</t>
  </si>
  <si>
    <t>Carbonyl compounds</t>
  </si>
  <si>
    <t>Alcohols and polyols</t>
  </si>
  <si>
    <t>Indolyl carboxylic acids and derivatives</t>
  </si>
  <si>
    <t>Purine nucleotide sugars</t>
  </si>
  <si>
    <t>Benzoic acids and derivatives</t>
  </si>
  <si>
    <t>Flavones</t>
  </si>
  <si>
    <t>Flavans</t>
  </si>
  <si>
    <t>Pteridines and derivatives</t>
  </si>
  <si>
    <t>Pterins and derivatives</t>
  </si>
  <si>
    <t>Tricarboxylic acids and derivatives</t>
  </si>
  <si>
    <t>Lipids and lipid-like molecules</t>
  </si>
  <si>
    <t>Glycerophospholipids</t>
  </si>
  <si>
    <t>Glycerophosphates</t>
  </si>
  <si>
    <t>count</t>
  </si>
  <si>
    <t>Row</t>
  </si>
  <si>
    <t>counts</t>
  </si>
  <si>
    <t>Inorganic compounds</t>
  </si>
  <si>
    <t>class.error</t>
  </si>
  <si>
    <t>Mixed metal/non-metal compounds</t>
  </si>
  <si>
    <t>Organic nitrogen compounds</t>
  </si>
  <si>
    <t>Organic polymers</t>
  </si>
  <si>
    <t>Organohalogen compounds</t>
  </si>
  <si>
    <t>Alkali metal salts</t>
  </si>
  <si>
    <t>Azoles</t>
  </si>
  <si>
    <t>Diazines</t>
  </si>
  <si>
    <t>Fatty acyls</t>
  </si>
  <si>
    <t>Fatty Acyls</t>
  </si>
  <si>
    <t>Imidazopyrimidines</t>
  </si>
  <si>
    <t>Organofluorides</t>
  </si>
  <si>
    <t>Organonitrogen compounds</t>
  </si>
  <si>
    <t>Peptidomimetics</t>
  </si>
  <si>
    <t>Phenols</t>
  </si>
  <si>
    <t>Pyrenes</t>
  </si>
  <si>
    <t>Pyridines and derivatives</t>
  </si>
  <si>
    <t>Pyrimidine nucleotides</t>
  </si>
  <si>
    <t>Quinolines and derivatives</t>
  </si>
  <si>
    <t>Sphingolipids</t>
  </si>
  <si>
    <t>Steroids and steroid derivatives</t>
  </si>
  <si>
    <t>Alkali metal iodides</t>
  </si>
  <si>
    <t>Amines</t>
  </si>
  <si>
    <t>Benzenediols</t>
  </si>
  <si>
    <t>Benzenesulfonamides</t>
  </si>
  <si>
    <t>Benzopyrenes</t>
  </si>
  <si>
    <t>Bile acids, alcohols and derivatives</t>
  </si>
  <si>
    <t>Biphenyls and derivatives</t>
  </si>
  <si>
    <t>Ceramides</t>
  </si>
  <si>
    <t>Cyclic purine nucleotides</t>
  </si>
  <si>
    <t>Depsipeptides</t>
  </si>
  <si>
    <t>Diphenylethers</t>
  </si>
  <si>
    <t>Eicosanoids</t>
  </si>
  <si>
    <t>Fatty acid esters</t>
  </si>
  <si>
    <t>Fatty acids and conjugates</t>
  </si>
  <si>
    <t>Glycerophosphocholines</t>
  </si>
  <si>
    <t>Glycerophosphoethanolamines</t>
  </si>
  <si>
    <t>Glycerophosphoserines</t>
  </si>
  <si>
    <t>Glycosphingolipids</t>
  </si>
  <si>
    <t>Hybrid peptides</t>
  </si>
  <si>
    <t>Hydroxysteroids</t>
  </si>
  <si>
    <t>Imidazoles</t>
  </si>
  <si>
    <t>Lineolic acids and derivatives</t>
  </si>
  <si>
    <t>Phosphazene and phosphazene derivatives</t>
  </si>
  <si>
    <t>Phosphosphingolipids</t>
  </si>
  <si>
    <t>Pregnane steroids</t>
  </si>
  <si>
    <t>Purine deoxyribonucleotides</t>
  </si>
  <si>
    <t>Purines and purine derivatives</t>
  </si>
  <si>
    <t>Pyridine carboxaldehydes</t>
  </si>
  <si>
    <t>Pyridinecarboxylic acids and derivatives</t>
  </si>
  <si>
    <t>Pyrimidine deoxyribonucleotides</t>
  </si>
  <si>
    <t>Pyrimidine nucleotide sugars</t>
  </si>
  <si>
    <t>Pyrimidine ribonucleotides</t>
  </si>
  <si>
    <t>Pyrimidines and pyrimidine derivatives</t>
  </si>
  <si>
    <t>Quaternary ammonium salts</t>
  </si>
  <si>
    <t>Quinoline carboxylic acids</t>
  </si>
  <si>
    <t>Tryptamines and derivatives</t>
  </si>
  <si>
    <t>Predicted.Kingdom</t>
  </si>
  <si>
    <t>Predicted.Super.Class</t>
  </si>
  <si>
    <t>Predicted.Class</t>
  </si>
  <si>
    <t>Predicted.Subclass</t>
  </si>
  <si>
    <t>d</t>
  </si>
  <si>
    <t>2-arylbenzofuran flavonoids</t>
  </si>
  <si>
    <t>Cinnamic acids and derivatives</t>
  </si>
  <si>
    <t>Stilbenes</t>
  </si>
  <si>
    <t>Stilbene glycosides</t>
  </si>
  <si>
    <t>Hydroxycinnamic acids and derivatives</t>
  </si>
  <si>
    <t>Dicarboxylic acids and derivatives</t>
  </si>
  <si>
    <t>*Ten False Positives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</si>
</sst>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  <font>
      <sz val="12"/>
      <color rgb="FF000000"/>
      <name val="TimesNewRomanPSMT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8" fillId="33" borderId="0" xfId="0" applyFont="1" applyFill="1"/>
    <xf numFmtId="0" fontId="18" fillId="33" borderId="10" xfId="0" applyFont="1" applyFill="1" applyBorder="1"/>
    <xf numFmtId="0" fontId="18" fillId="0" borderId="0" xfId="0" applyFont="1"/>
    <xf numFmtId="0" fontId="19" fillId="0" borderId="0" xfId="0" applyFont="1"/>
    <xf numFmtId="0" fontId="0" fillId="34" borderId="0" xfId="0" applyFill="1"/>
    <xf numFmtId="0" fontId="0" fillId="35" borderId="0" xfId="0" applyFill="1"/>
    <xf numFmtId="0" fontId="19" fillId="35" borderId="0" xfId="0" applyFont="1" applyFill="1"/>
    <xf numFmtId="0" fontId="0" fillId="0" borderId="0" xfId="0" applyFill="1"/>
    <xf numFmtId="0" fontId="0" fillId="36" borderId="0" xfId="0" applyFill="1"/>
    <xf numFmtId="0" fontId="19" fillId="36" borderId="0" xfId="0" applyFont="1" applyFill="1"/>
    <xf numFmtId="0" fontId="18" fillId="33" borderId="0" xfId="0" applyFont="1" applyFill="1" applyAlignment="1">
      <alignment horizontal="center" vertical="center"/>
    </xf>
    <xf numFmtId="0" fontId="18" fillId="33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101"/>
  <sheetViews>
    <sheetView topLeftCell="A16" workbookViewId="0">
      <selection activeCell="D64" sqref="D64"/>
    </sheetView>
  </sheetViews>
  <sheetFormatPr baseColWidth="10" defaultRowHeight="16"/>
  <sheetData>
    <row r="1" spans="1:22">
      <c r="A1" t="s">
        <v>55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54</v>
      </c>
    </row>
    <row r="2" spans="1:22">
      <c r="A2">
        <v>1</v>
      </c>
      <c r="B2">
        <v>481.06</v>
      </c>
      <c r="C2">
        <v>198</v>
      </c>
      <c r="D2">
        <v>-0.52287153419905497</v>
      </c>
      <c r="E2" t="s">
        <v>16</v>
      </c>
      <c r="F2" t="s">
        <v>17</v>
      </c>
      <c r="G2">
        <v>0.94199999999999995</v>
      </c>
      <c r="H2" t="s">
        <v>18</v>
      </c>
      <c r="I2" t="s">
        <v>17</v>
      </c>
      <c r="J2">
        <v>0.71</v>
      </c>
      <c r="K2" t="s">
        <v>19</v>
      </c>
      <c r="L2" t="s">
        <v>17</v>
      </c>
      <c r="M2">
        <v>0.57999999999999996</v>
      </c>
      <c r="N2" t="s">
        <v>20</v>
      </c>
      <c r="O2" t="s">
        <v>17</v>
      </c>
      <c r="P2">
        <v>0.94299999999999995</v>
      </c>
      <c r="Q2" t="s">
        <v>21</v>
      </c>
      <c r="R2">
        <v>4</v>
      </c>
      <c r="T2" s="11" t="s">
        <v>56</v>
      </c>
      <c r="U2" s="1">
        <v>4</v>
      </c>
      <c r="V2" s="1">
        <f>COUNTIF($R$2:$R$101,"4")</f>
        <v>81</v>
      </c>
    </row>
    <row r="3" spans="1:22">
      <c r="A3">
        <v>2</v>
      </c>
      <c r="B3">
        <v>739.08</v>
      </c>
      <c r="C3">
        <v>249.7</v>
      </c>
      <c r="D3">
        <v>-0.25477880824814703</v>
      </c>
      <c r="E3" t="s">
        <v>16</v>
      </c>
      <c r="F3" t="s">
        <v>17</v>
      </c>
      <c r="G3">
        <v>0.998</v>
      </c>
      <c r="H3" t="s">
        <v>18</v>
      </c>
      <c r="I3" t="s">
        <v>17</v>
      </c>
      <c r="J3">
        <v>0.65</v>
      </c>
      <c r="K3" t="s">
        <v>19</v>
      </c>
      <c r="L3" t="s">
        <v>17</v>
      </c>
      <c r="M3">
        <v>0.72</v>
      </c>
      <c r="N3" t="s">
        <v>20</v>
      </c>
      <c r="O3" t="s">
        <v>17</v>
      </c>
      <c r="P3">
        <v>0.95199999999999996</v>
      </c>
      <c r="Q3" t="s">
        <v>21</v>
      </c>
      <c r="R3">
        <v>4</v>
      </c>
      <c r="T3" s="11"/>
      <c r="U3" s="1">
        <v>3</v>
      </c>
      <c r="V3" s="1">
        <f>COUNTIF($R$2:$R$101,"3")</f>
        <v>1</v>
      </c>
    </row>
    <row r="4" spans="1:22">
      <c r="A4">
        <v>3</v>
      </c>
      <c r="B4">
        <v>969.08</v>
      </c>
      <c r="C4">
        <v>281.10000000000002</v>
      </c>
      <c r="D4">
        <v>-0.99797186704699903</v>
      </c>
      <c r="E4" t="s">
        <v>16</v>
      </c>
      <c r="F4" t="s">
        <v>17</v>
      </c>
      <c r="G4">
        <v>0.996</v>
      </c>
      <c r="H4" t="s">
        <v>18</v>
      </c>
      <c r="I4" t="s">
        <v>17</v>
      </c>
      <c r="J4">
        <v>0.55000000000000004</v>
      </c>
      <c r="K4" t="s">
        <v>19</v>
      </c>
      <c r="L4" t="s">
        <v>17</v>
      </c>
      <c r="M4">
        <v>0.97</v>
      </c>
      <c r="N4" t="s">
        <v>20</v>
      </c>
      <c r="O4" t="s">
        <v>17</v>
      </c>
      <c r="P4">
        <v>0.95599999999999996</v>
      </c>
      <c r="Q4" t="s">
        <v>21</v>
      </c>
      <c r="R4">
        <v>4</v>
      </c>
      <c r="T4" s="11"/>
      <c r="U4" s="1">
        <v>2</v>
      </c>
      <c r="V4" s="1">
        <f>COUNTIF($R$2:$R$101,"2")</f>
        <v>5</v>
      </c>
    </row>
    <row r="5" spans="1:22">
      <c r="A5">
        <v>4</v>
      </c>
      <c r="B5">
        <v>773.05</v>
      </c>
      <c r="C5">
        <v>396.1</v>
      </c>
      <c r="D5">
        <v>-0.18684953958461401</v>
      </c>
      <c r="E5" t="s">
        <v>16</v>
      </c>
      <c r="F5" t="s">
        <v>17</v>
      </c>
      <c r="G5">
        <v>1</v>
      </c>
      <c r="H5" t="s">
        <v>18</v>
      </c>
      <c r="I5" t="s">
        <v>17</v>
      </c>
      <c r="J5">
        <v>0.7</v>
      </c>
      <c r="K5" t="s">
        <v>19</v>
      </c>
      <c r="L5" t="s">
        <v>17</v>
      </c>
      <c r="M5">
        <v>0.99</v>
      </c>
      <c r="N5" t="s">
        <v>20</v>
      </c>
      <c r="O5" t="s">
        <v>17</v>
      </c>
      <c r="P5">
        <v>0.98499999999999999</v>
      </c>
      <c r="Q5" t="s">
        <v>21</v>
      </c>
      <c r="R5">
        <v>4</v>
      </c>
      <c r="T5" s="11"/>
      <c r="U5" s="1">
        <v>1</v>
      </c>
      <c r="V5" s="1">
        <f>COUNTIF($R$2:$R$101,"1")</f>
        <v>13</v>
      </c>
    </row>
    <row r="6" spans="1:22">
      <c r="A6">
        <v>5</v>
      </c>
      <c r="B6">
        <v>633.07000000000005</v>
      </c>
      <c r="C6">
        <v>221.7</v>
      </c>
      <c r="D6">
        <v>-0.36314447710356001</v>
      </c>
      <c r="E6" t="s">
        <v>16</v>
      </c>
      <c r="F6" t="s">
        <v>17</v>
      </c>
      <c r="G6">
        <v>1</v>
      </c>
      <c r="H6" t="s">
        <v>18</v>
      </c>
      <c r="I6" t="s">
        <v>17</v>
      </c>
      <c r="J6">
        <v>0.72</v>
      </c>
      <c r="K6" t="s">
        <v>19</v>
      </c>
      <c r="L6" t="s">
        <v>17</v>
      </c>
      <c r="M6">
        <v>0.72</v>
      </c>
      <c r="N6" t="s">
        <v>20</v>
      </c>
      <c r="O6" t="s">
        <v>17</v>
      </c>
      <c r="P6">
        <v>0.95599999999999996</v>
      </c>
      <c r="Q6" t="s">
        <v>21</v>
      </c>
      <c r="R6">
        <v>4</v>
      </c>
      <c r="T6" s="12"/>
      <c r="U6" s="2">
        <v>0</v>
      </c>
      <c r="V6" s="1">
        <f>COUNTIF($R$2:$R$101,"0")</f>
        <v>0</v>
      </c>
    </row>
    <row r="7" spans="1:22">
      <c r="A7">
        <v>6</v>
      </c>
      <c r="B7">
        <v>924.06</v>
      </c>
      <c r="C7">
        <v>413.8</v>
      </c>
      <c r="D7">
        <v>-2.82390344071928E-2</v>
      </c>
      <c r="E7" t="s">
        <v>16</v>
      </c>
      <c r="F7" t="s">
        <v>17</v>
      </c>
      <c r="G7">
        <v>0.996</v>
      </c>
      <c r="H7" t="s">
        <v>18</v>
      </c>
      <c r="I7" t="s">
        <v>17</v>
      </c>
      <c r="J7">
        <v>0.95</v>
      </c>
      <c r="K7" t="s">
        <v>19</v>
      </c>
      <c r="L7" t="s">
        <v>17</v>
      </c>
      <c r="M7">
        <v>0.99</v>
      </c>
      <c r="N7" t="s">
        <v>20</v>
      </c>
      <c r="O7" t="s">
        <v>17</v>
      </c>
      <c r="P7">
        <v>0.98699999999999999</v>
      </c>
      <c r="Q7" t="s">
        <v>21</v>
      </c>
      <c r="R7">
        <v>4</v>
      </c>
      <c r="T7" s="1"/>
      <c r="U7" s="1"/>
      <c r="V7" s="1">
        <f>SUM(V2:V6)</f>
        <v>100</v>
      </c>
    </row>
    <row r="8" spans="1:22">
      <c r="A8">
        <v>7</v>
      </c>
      <c r="B8">
        <v>924.06</v>
      </c>
      <c r="C8">
        <v>454.5</v>
      </c>
      <c r="D8">
        <v>-2.82390344071928E-2</v>
      </c>
      <c r="E8" t="s">
        <v>16</v>
      </c>
      <c r="F8" t="s">
        <v>17</v>
      </c>
      <c r="G8">
        <v>0.996</v>
      </c>
      <c r="H8" t="s">
        <v>18</v>
      </c>
      <c r="I8" t="s">
        <v>17</v>
      </c>
      <c r="J8">
        <v>0.95</v>
      </c>
      <c r="K8" t="s">
        <v>19</v>
      </c>
      <c r="L8" t="s">
        <v>17</v>
      </c>
      <c r="M8">
        <v>0.99</v>
      </c>
      <c r="N8" t="s">
        <v>20</v>
      </c>
      <c r="O8" t="s">
        <v>17</v>
      </c>
      <c r="P8">
        <v>0.98699999999999999</v>
      </c>
      <c r="Q8" t="s">
        <v>21</v>
      </c>
      <c r="R8">
        <v>4</v>
      </c>
    </row>
    <row r="9" spans="1:22">
      <c r="A9">
        <v>8</v>
      </c>
      <c r="B9">
        <v>990.07</v>
      </c>
      <c r="C9">
        <v>433.6</v>
      </c>
      <c r="D9">
        <v>-0.96453544228256805</v>
      </c>
      <c r="E9" t="s">
        <v>16</v>
      </c>
      <c r="F9" t="s">
        <v>17</v>
      </c>
      <c r="G9">
        <v>0.998</v>
      </c>
      <c r="H9" t="s">
        <v>18</v>
      </c>
      <c r="I9" t="s">
        <v>17</v>
      </c>
      <c r="J9">
        <v>0.74</v>
      </c>
      <c r="K9" t="s">
        <v>19</v>
      </c>
      <c r="L9" t="s">
        <v>17</v>
      </c>
      <c r="M9">
        <v>0.97</v>
      </c>
      <c r="N9" t="s">
        <v>20</v>
      </c>
      <c r="O9" t="s">
        <v>17</v>
      </c>
      <c r="P9">
        <v>0.996</v>
      </c>
      <c r="Q9" t="s">
        <v>21</v>
      </c>
      <c r="R9">
        <v>4</v>
      </c>
      <c r="T9" t="s">
        <v>126</v>
      </c>
    </row>
    <row r="10" spans="1:22">
      <c r="A10">
        <v>9</v>
      </c>
      <c r="B10">
        <v>1000.06</v>
      </c>
      <c r="C10">
        <v>438.7</v>
      </c>
      <c r="D10">
        <v>-0.94338108861904901</v>
      </c>
      <c r="E10" t="s">
        <v>16</v>
      </c>
      <c r="F10" t="s">
        <v>17</v>
      </c>
      <c r="G10">
        <v>1</v>
      </c>
      <c r="H10" t="s">
        <v>18</v>
      </c>
      <c r="I10" t="s">
        <v>17</v>
      </c>
      <c r="J10">
        <v>0.77</v>
      </c>
      <c r="K10" t="s">
        <v>19</v>
      </c>
      <c r="L10" t="s">
        <v>17</v>
      </c>
      <c r="M10">
        <v>0.97</v>
      </c>
      <c r="N10" t="s">
        <v>20</v>
      </c>
      <c r="O10" t="s">
        <v>17</v>
      </c>
      <c r="P10">
        <v>1</v>
      </c>
      <c r="Q10" t="s">
        <v>21</v>
      </c>
      <c r="R10">
        <v>4</v>
      </c>
    </row>
    <row r="11" spans="1:22">
      <c r="A11">
        <v>10</v>
      </c>
      <c r="B11">
        <v>1000.06</v>
      </c>
      <c r="C11">
        <v>473.8</v>
      </c>
      <c r="D11">
        <v>-0.94338108861904901</v>
      </c>
      <c r="E11" t="s">
        <v>16</v>
      </c>
      <c r="F11" t="s">
        <v>17</v>
      </c>
      <c r="G11">
        <v>1</v>
      </c>
      <c r="H11" t="s">
        <v>18</v>
      </c>
      <c r="I11" t="s">
        <v>17</v>
      </c>
      <c r="J11">
        <v>0.93</v>
      </c>
      <c r="K11" t="s">
        <v>19</v>
      </c>
      <c r="L11" t="s">
        <v>17</v>
      </c>
      <c r="M11">
        <v>0.97</v>
      </c>
      <c r="N11" t="s">
        <v>20</v>
      </c>
      <c r="O11" t="s">
        <v>17</v>
      </c>
      <c r="P11">
        <v>1</v>
      </c>
      <c r="Q11" t="s">
        <v>21</v>
      </c>
      <c r="R11">
        <v>4</v>
      </c>
    </row>
    <row r="12" spans="1:22">
      <c r="A12">
        <v>11</v>
      </c>
      <c r="B12">
        <v>1101.07</v>
      </c>
      <c r="C12">
        <v>313.7</v>
      </c>
      <c r="D12">
        <v>-0.84059817935508396</v>
      </c>
      <c r="E12" t="s">
        <v>16</v>
      </c>
      <c r="F12" t="s">
        <v>17</v>
      </c>
      <c r="G12">
        <v>0.998</v>
      </c>
      <c r="H12" t="s">
        <v>18</v>
      </c>
      <c r="I12" t="s">
        <v>17</v>
      </c>
      <c r="J12">
        <v>0.96</v>
      </c>
      <c r="K12" t="s">
        <v>19</v>
      </c>
      <c r="L12" t="s">
        <v>17</v>
      </c>
      <c r="M12">
        <v>0.98</v>
      </c>
      <c r="N12" t="s">
        <v>20</v>
      </c>
      <c r="O12" t="s">
        <v>17</v>
      </c>
      <c r="P12">
        <v>0.98899999999999999</v>
      </c>
      <c r="Q12" t="s">
        <v>21</v>
      </c>
      <c r="R12">
        <v>4</v>
      </c>
    </row>
    <row r="13" spans="1:22">
      <c r="A13">
        <v>12</v>
      </c>
      <c r="B13">
        <v>933.07</v>
      </c>
      <c r="C13">
        <v>287.8</v>
      </c>
      <c r="D13">
        <v>-2.81789016237326E-2</v>
      </c>
      <c r="E13" t="s">
        <v>16</v>
      </c>
      <c r="F13" t="s">
        <v>17</v>
      </c>
      <c r="G13">
        <v>0.996</v>
      </c>
      <c r="H13" t="s">
        <v>18</v>
      </c>
      <c r="I13" t="s">
        <v>17</v>
      </c>
      <c r="J13">
        <v>0.63</v>
      </c>
      <c r="K13" t="s">
        <v>19</v>
      </c>
      <c r="L13" t="s">
        <v>17</v>
      </c>
      <c r="M13">
        <v>0.93</v>
      </c>
      <c r="N13" t="s">
        <v>20</v>
      </c>
      <c r="O13" t="s">
        <v>17</v>
      </c>
      <c r="P13">
        <v>0.97099999999999997</v>
      </c>
      <c r="Q13" t="s">
        <v>21</v>
      </c>
      <c r="R13">
        <v>4</v>
      </c>
    </row>
    <row r="14" spans="1:22">
      <c r="A14">
        <v>13</v>
      </c>
      <c r="B14">
        <v>933.06</v>
      </c>
      <c r="C14">
        <v>388.7</v>
      </c>
      <c r="D14">
        <v>-1.8190067142882099E-2</v>
      </c>
      <c r="E14" t="s">
        <v>16</v>
      </c>
      <c r="F14" t="s">
        <v>17</v>
      </c>
      <c r="G14">
        <v>0.996</v>
      </c>
      <c r="H14" t="s">
        <v>18</v>
      </c>
      <c r="I14" t="s">
        <v>17</v>
      </c>
      <c r="J14">
        <v>0.84</v>
      </c>
      <c r="K14" t="s">
        <v>19</v>
      </c>
      <c r="L14" t="s">
        <v>17</v>
      </c>
      <c r="M14">
        <v>0.88</v>
      </c>
      <c r="N14" t="s">
        <v>20</v>
      </c>
      <c r="O14" t="s">
        <v>17</v>
      </c>
      <c r="P14">
        <v>0.97799999999999998</v>
      </c>
      <c r="Q14" t="s">
        <v>21</v>
      </c>
      <c r="R14">
        <v>4</v>
      </c>
    </row>
    <row r="15" spans="1:22">
      <c r="A15">
        <v>14</v>
      </c>
      <c r="B15">
        <v>1085.07</v>
      </c>
      <c r="C15">
        <v>310.2</v>
      </c>
      <c r="D15">
        <v>-0.85846301004721703</v>
      </c>
      <c r="E15" t="s">
        <v>16</v>
      </c>
      <c r="F15" t="s">
        <v>17</v>
      </c>
      <c r="G15">
        <v>0.996</v>
      </c>
      <c r="H15" t="s">
        <v>18</v>
      </c>
      <c r="I15" t="s">
        <v>17</v>
      </c>
      <c r="J15">
        <v>0.96</v>
      </c>
      <c r="K15" t="s">
        <v>19</v>
      </c>
      <c r="L15" t="s">
        <v>17</v>
      </c>
      <c r="M15">
        <v>0.98</v>
      </c>
      <c r="N15" t="s">
        <v>20</v>
      </c>
      <c r="O15" t="s">
        <v>17</v>
      </c>
      <c r="P15">
        <v>0.99099999999999999</v>
      </c>
      <c r="Q15" t="s">
        <v>21</v>
      </c>
      <c r="R15">
        <v>4</v>
      </c>
    </row>
    <row r="16" spans="1:22">
      <c r="A16">
        <v>15</v>
      </c>
      <c r="B16">
        <v>542.03</v>
      </c>
      <c r="C16">
        <v>338.4</v>
      </c>
      <c r="D16">
        <v>-0.42479536374230498</v>
      </c>
      <c r="E16" t="s">
        <v>16</v>
      </c>
      <c r="F16" t="s">
        <v>17</v>
      </c>
      <c r="G16">
        <v>1</v>
      </c>
      <c r="H16" t="s">
        <v>18</v>
      </c>
      <c r="I16" t="s">
        <v>17</v>
      </c>
      <c r="J16">
        <v>0.8</v>
      </c>
      <c r="K16" t="s">
        <v>19</v>
      </c>
      <c r="L16" t="s">
        <v>17</v>
      </c>
      <c r="M16">
        <v>0.86</v>
      </c>
      <c r="N16" t="s">
        <v>20</v>
      </c>
      <c r="O16" t="s">
        <v>17</v>
      </c>
      <c r="P16">
        <v>0.97899999999999998</v>
      </c>
      <c r="Q16" t="s">
        <v>21</v>
      </c>
      <c r="R16">
        <v>4</v>
      </c>
    </row>
    <row r="17" spans="1:18">
      <c r="A17">
        <v>16</v>
      </c>
      <c r="B17">
        <v>1041.08</v>
      </c>
      <c r="C17">
        <v>303.10000000000002</v>
      </c>
      <c r="D17">
        <v>-0.91758012893183105</v>
      </c>
      <c r="E17" t="s">
        <v>16</v>
      </c>
      <c r="F17" t="s">
        <v>17</v>
      </c>
      <c r="G17">
        <v>1</v>
      </c>
      <c r="H17" t="s">
        <v>18</v>
      </c>
      <c r="I17" t="s">
        <v>17</v>
      </c>
      <c r="J17">
        <v>0.87</v>
      </c>
      <c r="K17" t="s">
        <v>19</v>
      </c>
      <c r="L17" t="s">
        <v>17</v>
      </c>
      <c r="M17">
        <v>0.98</v>
      </c>
      <c r="N17" t="s">
        <v>20</v>
      </c>
      <c r="O17" t="s">
        <v>17</v>
      </c>
      <c r="P17">
        <v>0.98799999999999999</v>
      </c>
      <c r="Q17" t="s">
        <v>21</v>
      </c>
      <c r="R17">
        <v>4</v>
      </c>
    </row>
    <row r="18" spans="1:18">
      <c r="A18">
        <v>17</v>
      </c>
      <c r="B18">
        <v>520.04</v>
      </c>
      <c r="C18">
        <v>334.9</v>
      </c>
      <c r="D18">
        <v>-0.45934834042498102</v>
      </c>
      <c r="E18" t="s">
        <v>16</v>
      </c>
      <c r="F18" t="s">
        <v>17</v>
      </c>
      <c r="G18">
        <v>1</v>
      </c>
      <c r="H18" t="s">
        <v>18</v>
      </c>
      <c r="I18" t="s">
        <v>17</v>
      </c>
      <c r="J18">
        <v>0.83</v>
      </c>
      <c r="K18" t="s">
        <v>19</v>
      </c>
      <c r="L18" t="s">
        <v>17</v>
      </c>
      <c r="M18">
        <v>0.79</v>
      </c>
      <c r="N18" t="s">
        <v>20</v>
      </c>
      <c r="O18" t="s">
        <v>17</v>
      </c>
      <c r="P18">
        <v>0.97299999999999998</v>
      </c>
      <c r="Q18" t="s">
        <v>21</v>
      </c>
      <c r="R18">
        <v>4</v>
      </c>
    </row>
    <row r="19" spans="1:18">
      <c r="A19">
        <v>18</v>
      </c>
      <c r="B19">
        <v>787.09</v>
      </c>
      <c r="C19">
        <v>260.8</v>
      </c>
      <c r="D19">
        <v>-0.21117315065214401</v>
      </c>
      <c r="E19" t="s">
        <v>16</v>
      </c>
      <c r="F19" t="s">
        <v>17</v>
      </c>
      <c r="G19">
        <v>1</v>
      </c>
      <c r="H19" t="s">
        <v>22</v>
      </c>
      <c r="I19" t="s">
        <v>23</v>
      </c>
      <c r="J19">
        <v>0.54</v>
      </c>
      <c r="K19" t="s">
        <v>24</v>
      </c>
      <c r="L19" t="s">
        <v>23</v>
      </c>
      <c r="M19">
        <v>0.8</v>
      </c>
      <c r="N19" s="5" t="s">
        <v>25</v>
      </c>
      <c r="O19" s="5" t="s">
        <v>23</v>
      </c>
      <c r="P19">
        <v>0.91800000000000004</v>
      </c>
      <c r="Q19" t="s">
        <v>21</v>
      </c>
      <c r="R19">
        <v>1</v>
      </c>
    </row>
    <row r="20" spans="1:18">
      <c r="A20">
        <v>19</v>
      </c>
      <c r="B20">
        <v>393.04</v>
      </c>
      <c r="C20">
        <v>297.10000000000002</v>
      </c>
      <c r="D20">
        <v>-0.60115043404482504</v>
      </c>
      <c r="E20" t="s">
        <v>16</v>
      </c>
      <c r="F20" t="s">
        <v>17</v>
      </c>
      <c r="G20">
        <v>1</v>
      </c>
      <c r="H20" t="s">
        <v>26</v>
      </c>
      <c r="I20" t="s">
        <v>23</v>
      </c>
      <c r="J20">
        <v>0.54</v>
      </c>
      <c r="K20" t="s">
        <v>27</v>
      </c>
      <c r="L20" t="s">
        <v>23</v>
      </c>
      <c r="M20">
        <v>0.97</v>
      </c>
      <c r="N20" s="5" t="s">
        <v>28</v>
      </c>
      <c r="O20" s="5" t="s">
        <v>23</v>
      </c>
      <c r="P20">
        <v>1</v>
      </c>
      <c r="Q20" t="s">
        <v>21</v>
      </c>
      <c r="R20">
        <v>1</v>
      </c>
    </row>
    <row r="21" spans="1:18">
      <c r="A21">
        <v>20</v>
      </c>
      <c r="B21">
        <v>433.04</v>
      </c>
      <c r="C21">
        <v>193</v>
      </c>
      <c r="D21">
        <v>-0.55648835731420798</v>
      </c>
      <c r="E21" t="s">
        <v>16</v>
      </c>
      <c r="F21" t="s">
        <v>17</v>
      </c>
      <c r="G21">
        <v>1</v>
      </c>
      <c r="H21" t="s">
        <v>18</v>
      </c>
      <c r="I21" t="s">
        <v>17</v>
      </c>
      <c r="J21">
        <v>0.63</v>
      </c>
      <c r="K21" t="s">
        <v>19</v>
      </c>
      <c r="L21" t="s">
        <v>17</v>
      </c>
      <c r="M21">
        <v>0.62</v>
      </c>
      <c r="N21" t="s">
        <v>20</v>
      </c>
      <c r="O21" t="s">
        <v>17</v>
      </c>
      <c r="P21">
        <v>0.94499999999999995</v>
      </c>
      <c r="Q21" t="s">
        <v>21</v>
      </c>
      <c r="R21">
        <v>4</v>
      </c>
    </row>
    <row r="22" spans="1:18">
      <c r="A22">
        <v>21</v>
      </c>
      <c r="B22">
        <v>300.99</v>
      </c>
      <c r="C22">
        <v>154.80000000000001</v>
      </c>
      <c r="D22">
        <v>-0.65392903812119096</v>
      </c>
      <c r="E22" t="s">
        <v>16</v>
      </c>
      <c r="F22" t="s">
        <v>17</v>
      </c>
      <c r="G22">
        <v>1</v>
      </c>
      <c r="H22" t="s">
        <v>18</v>
      </c>
      <c r="I22" t="s">
        <v>17</v>
      </c>
      <c r="J22">
        <v>0.65</v>
      </c>
      <c r="K22" t="s">
        <v>19</v>
      </c>
      <c r="L22" t="s">
        <v>17</v>
      </c>
      <c r="M22">
        <v>0.67</v>
      </c>
      <c r="N22" t="s">
        <v>20</v>
      </c>
      <c r="O22" t="s">
        <v>17</v>
      </c>
      <c r="P22">
        <v>0.86399999999999999</v>
      </c>
      <c r="Q22" t="s">
        <v>21</v>
      </c>
      <c r="R22">
        <v>4</v>
      </c>
    </row>
    <row r="23" spans="1:18">
      <c r="A23">
        <v>22</v>
      </c>
      <c r="B23">
        <v>343.04</v>
      </c>
      <c r="C23">
        <v>174.4</v>
      </c>
      <c r="D23">
        <v>-0.65697802995811105</v>
      </c>
      <c r="E23" t="s">
        <v>16</v>
      </c>
      <c r="F23" t="s">
        <v>17</v>
      </c>
      <c r="G23">
        <v>1</v>
      </c>
      <c r="H23" t="s">
        <v>18</v>
      </c>
      <c r="I23" t="s">
        <v>17</v>
      </c>
      <c r="J23">
        <v>0.67</v>
      </c>
      <c r="K23" t="s">
        <v>19</v>
      </c>
      <c r="L23" t="s">
        <v>17</v>
      </c>
      <c r="M23">
        <v>0.66</v>
      </c>
      <c r="N23" t="s">
        <v>20</v>
      </c>
      <c r="O23" t="s">
        <v>17</v>
      </c>
      <c r="P23">
        <v>0.89300000000000002</v>
      </c>
      <c r="Q23" t="s">
        <v>21</v>
      </c>
      <c r="R23">
        <v>4</v>
      </c>
    </row>
    <row r="24" spans="1:18">
      <c r="A24">
        <v>23</v>
      </c>
      <c r="B24">
        <v>486.11779999999999</v>
      </c>
      <c r="C24">
        <v>207.8</v>
      </c>
      <c r="D24">
        <v>-0.57502423790680302</v>
      </c>
      <c r="E24" t="s">
        <v>16</v>
      </c>
      <c r="F24" t="s">
        <v>17</v>
      </c>
      <c r="G24">
        <v>1</v>
      </c>
      <c r="H24" t="s">
        <v>26</v>
      </c>
      <c r="I24" t="s">
        <v>17</v>
      </c>
      <c r="J24">
        <v>0.68</v>
      </c>
      <c r="K24" t="s">
        <v>27</v>
      </c>
      <c r="L24" t="s">
        <v>17</v>
      </c>
      <c r="M24">
        <v>1</v>
      </c>
      <c r="N24" t="s">
        <v>28</v>
      </c>
      <c r="O24" t="s">
        <v>17</v>
      </c>
      <c r="P24">
        <v>1</v>
      </c>
      <c r="Q24" t="s">
        <v>21</v>
      </c>
      <c r="R24">
        <v>4</v>
      </c>
    </row>
    <row r="25" spans="1:18">
      <c r="A25">
        <v>24</v>
      </c>
      <c r="B25">
        <v>484.10140000000001</v>
      </c>
      <c r="C25">
        <v>198.3</v>
      </c>
      <c r="D25">
        <v>-0.56087565319484201</v>
      </c>
      <c r="E25" t="s">
        <v>16</v>
      </c>
      <c r="F25" t="s">
        <v>17</v>
      </c>
      <c r="G25">
        <v>1</v>
      </c>
      <c r="H25" t="s">
        <v>26</v>
      </c>
      <c r="I25" t="s">
        <v>17</v>
      </c>
      <c r="J25">
        <v>0.66</v>
      </c>
      <c r="K25" t="s">
        <v>27</v>
      </c>
      <c r="L25" t="s">
        <v>17</v>
      </c>
      <c r="M25">
        <v>0.99</v>
      </c>
      <c r="N25" t="s">
        <v>28</v>
      </c>
      <c r="O25" t="s">
        <v>17</v>
      </c>
      <c r="P25">
        <v>1</v>
      </c>
      <c r="Q25" t="s">
        <v>21</v>
      </c>
      <c r="R25">
        <v>4</v>
      </c>
    </row>
    <row r="26" spans="1:18">
      <c r="A26">
        <v>25</v>
      </c>
      <c r="B26">
        <v>451.12290000000002</v>
      </c>
      <c r="C26">
        <v>203.2</v>
      </c>
      <c r="D26">
        <v>-0.61919786063140203</v>
      </c>
      <c r="E26" t="s">
        <v>16</v>
      </c>
      <c r="F26" t="s">
        <v>17</v>
      </c>
      <c r="G26">
        <v>1</v>
      </c>
      <c r="H26" t="s">
        <v>18</v>
      </c>
      <c r="I26" t="s">
        <v>17</v>
      </c>
      <c r="J26">
        <v>0.87</v>
      </c>
      <c r="K26" t="s">
        <v>29</v>
      </c>
      <c r="L26" t="s">
        <v>17</v>
      </c>
      <c r="M26">
        <v>1</v>
      </c>
      <c r="N26" t="s">
        <v>30</v>
      </c>
      <c r="O26" t="s">
        <v>17</v>
      </c>
      <c r="P26">
        <v>0.97899999999999998</v>
      </c>
      <c r="Q26" t="s">
        <v>21</v>
      </c>
      <c r="R26">
        <v>4</v>
      </c>
    </row>
    <row r="27" spans="1:18">
      <c r="A27" s="9">
        <v>26</v>
      </c>
      <c r="B27" s="9">
        <v>449.10879999999997</v>
      </c>
      <c r="C27" s="9">
        <v>196.6</v>
      </c>
      <c r="D27" s="9">
        <v>-0.60734670784989897</v>
      </c>
      <c r="E27" s="9" t="s">
        <v>16</v>
      </c>
      <c r="F27" s="9" t="s">
        <v>17</v>
      </c>
      <c r="G27" s="9">
        <v>1</v>
      </c>
      <c r="H27" s="9" t="s">
        <v>18</v>
      </c>
      <c r="I27" s="9" t="s">
        <v>17</v>
      </c>
      <c r="J27" s="9">
        <v>0.93</v>
      </c>
      <c r="K27" s="9" t="s">
        <v>29</v>
      </c>
      <c r="L27" s="9" t="s">
        <v>17</v>
      </c>
      <c r="M27" s="9">
        <v>0.98</v>
      </c>
      <c r="N27" s="9" t="s">
        <v>30</v>
      </c>
      <c r="O27" s="9" t="s">
        <v>17</v>
      </c>
      <c r="P27" s="9">
        <v>0.996</v>
      </c>
      <c r="Q27" s="9" t="s">
        <v>21</v>
      </c>
      <c r="R27" s="9">
        <v>4</v>
      </c>
    </row>
    <row r="28" spans="1:18">
      <c r="A28">
        <v>27</v>
      </c>
      <c r="B28">
        <v>618.12490000000003</v>
      </c>
      <c r="C28">
        <v>228.5</v>
      </c>
      <c r="D28">
        <v>-0.43473145717712203</v>
      </c>
      <c r="E28" t="s">
        <v>16</v>
      </c>
      <c r="F28" t="s">
        <v>17</v>
      </c>
      <c r="G28">
        <v>1</v>
      </c>
      <c r="H28" t="s">
        <v>26</v>
      </c>
      <c r="I28" t="s">
        <v>17</v>
      </c>
      <c r="J28">
        <v>0.75</v>
      </c>
      <c r="K28" t="s">
        <v>27</v>
      </c>
      <c r="L28" t="s">
        <v>17</v>
      </c>
      <c r="M28">
        <v>0.99</v>
      </c>
      <c r="N28" t="s">
        <v>28</v>
      </c>
      <c r="O28" t="s">
        <v>17</v>
      </c>
      <c r="P28">
        <v>1</v>
      </c>
      <c r="Q28" t="s">
        <v>21</v>
      </c>
      <c r="R28">
        <v>4</v>
      </c>
    </row>
    <row r="29" spans="1:18">
      <c r="A29">
        <v>28</v>
      </c>
      <c r="B29">
        <v>616.10850000000005</v>
      </c>
      <c r="C29">
        <v>226</v>
      </c>
      <c r="D29">
        <v>-0.42058287246516102</v>
      </c>
      <c r="E29" t="s">
        <v>16</v>
      </c>
      <c r="F29" t="s">
        <v>17</v>
      </c>
      <c r="G29">
        <v>1</v>
      </c>
      <c r="H29" t="s">
        <v>26</v>
      </c>
      <c r="I29" t="s">
        <v>17</v>
      </c>
      <c r="J29">
        <v>0.56999999999999995</v>
      </c>
      <c r="K29" t="s">
        <v>27</v>
      </c>
      <c r="L29" t="s">
        <v>17</v>
      </c>
      <c r="M29">
        <v>0.99</v>
      </c>
      <c r="N29" t="s">
        <v>28</v>
      </c>
      <c r="O29" t="s">
        <v>17</v>
      </c>
      <c r="P29">
        <v>1</v>
      </c>
      <c r="Q29" t="s">
        <v>21</v>
      </c>
      <c r="R29">
        <v>4</v>
      </c>
    </row>
    <row r="30" spans="1:18">
      <c r="A30">
        <v>29</v>
      </c>
      <c r="B30">
        <v>449.10829999999999</v>
      </c>
      <c r="C30">
        <v>202.7</v>
      </c>
      <c r="D30">
        <v>-0.60684726612589701</v>
      </c>
      <c r="E30" t="s">
        <v>16</v>
      </c>
      <c r="F30" t="s">
        <v>17</v>
      </c>
      <c r="G30">
        <v>1</v>
      </c>
      <c r="H30" t="s">
        <v>18</v>
      </c>
      <c r="I30" t="s">
        <v>17</v>
      </c>
      <c r="J30">
        <v>0.95</v>
      </c>
      <c r="K30" t="s">
        <v>29</v>
      </c>
      <c r="L30" t="s">
        <v>17</v>
      </c>
      <c r="M30">
        <v>1</v>
      </c>
      <c r="N30" t="s">
        <v>30</v>
      </c>
      <c r="O30" t="s">
        <v>17</v>
      </c>
      <c r="P30">
        <v>0.998</v>
      </c>
      <c r="Q30" t="s">
        <v>21</v>
      </c>
      <c r="R30">
        <v>4</v>
      </c>
    </row>
    <row r="31" spans="1:18">
      <c r="A31">
        <v>30</v>
      </c>
      <c r="B31">
        <v>447.09219999999999</v>
      </c>
      <c r="C31">
        <v>201.3</v>
      </c>
      <c r="D31">
        <v>-0.59299834644832605</v>
      </c>
      <c r="E31" t="s">
        <v>16</v>
      </c>
      <c r="F31" t="s">
        <v>17</v>
      </c>
      <c r="G31">
        <v>1</v>
      </c>
      <c r="H31" t="s">
        <v>18</v>
      </c>
      <c r="I31" t="s">
        <v>17</v>
      </c>
      <c r="J31">
        <v>0.87</v>
      </c>
      <c r="K31" t="s">
        <v>29</v>
      </c>
      <c r="L31" t="s">
        <v>17</v>
      </c>
      <c r="M31">
        <v>1</v>
      </c>
      <c r="N31" t="s">
        <v>30</v>
      </c>
      <c r="O31" t="s">
        <v>17</v>
      </c>
      <c r="P31">
        <v>0.98799999999999999</v>
      </c>
      <c r="Q31" t="s">
        <v>21</v>
      </c>
      <c r="R31">
        <v>4</v>
      </c>
    </row>
    <row r="32" spans="1:18">
      <c r="A32">
        <v>31</v>
      </c>
      <c r="B32">
        <v>465.1028</v>
      </c>
      <c r="C32">
        <v>207.2</v>
      </c>
      <c r="D32">
        <v>-0.58348857646922203</v>
      </c>
      <c r="E32" t="s">
        <v>16</v>
      </c>
      <c r="F32" t="s">
        <v>17</v>
      </c>
      <c r="G32">
        <v>1</v>
      </c>
      <c r="H32" t="s">
        <v>18</v>
      </c>
      <c r="I32" t="s">
        <v>17</v>
      </c>
      <c r="J32">
        <v>0.98</v>
      </c>
      <c r="K32" t="s">
        <v>29</v>
      </c>
      <c r="L32" t="s">
        <v>17</v>
      </c>
      <c r="M32">
        <v>1</v>
      </c>
      <c r="N32" t="s">
        <v>30</v>
      </c>
      <c r="O32" t="s">
        <v>17</v>
      </c>
      <c r="P32">
        <v>1</v>
      </c>
      <c r="Q32" t="s">
        <v>21</v>
      </c>
      <c r="R32">
        <v>4</v>
      </c>
    </row>
    <row r="33" spans="1:18">
      <c r="A33">
        <v>32</v>
      </c>
      <c r="B33">
        <v>465.10239999999999</v>
      </c>
      <c r="C33">
        <v>206.5</v>
      </c>
      <c r="D33">
        <v>-0.58308902308994004</v>
      </c>
      <c r="E33" t="s">
        <v>16</v>
      </c>
      <c r="F33" t="s">
        <v>17</v>
      </c>
      <c r="G33">
        <v>1</v>
      </c>
      <c r="H33" t="s">
        <v>18</v>
      </c>
      <c r="I33" t="s">
        <v>17</v>
      </c>
      <c r="J33">
        <v>0.98</v>
      </c>
      <c r="K33" t="s">
        <v>29</v>
      </c>
      <c r="L33" t="s">
        <v>17</v>
      </c>
      <c r="M33">
        <v>1</v>
      </c>
      <c r="N33" t="s">
        <v>30</v>
      </c>
      <c r="O33" t="s">
        <v>17</v>
      </c>
      <c r="P33">
        <v>1</v>
      </c>
      <c r="Q33" t="s">
        <v>21</v>
      </c>
      <c r="R33">
        <v>4</v>
      </c>
    </row>
    <row r="34" spans="1:18">
      <c r="A34">
        <v>33</v>
      </c>
      <c r="B34">
        <v>463.08749999999998</v>
      </c>
      <c r="C34">
        <v>203.9</v>
      </c>
      <c r="D34">
        <v>-0.57043876355004397</v>
      </c>
      <c r="E34" t="s">
        <v>16</v>
      </c>
      <c r="F34" t="s">
        <v>17</v>
      </c>
      <c r="G34">
        <v>1</v>
      </c>
      <c r="H34" t="s">
        <v>18</v>
      </c>
      <c r="I34" t="s">
        <v>17</v>
      </c>
      <c r="J34">
        <v>0.93</v>
      </c>
      <c r="K34" t="s">
        <v>29</v>
      </c>
      <c r="L34" t="s">
        <v>17</v>
      </c>
      <c r="M34">
        <v>1</v>
      </c>
      <c r="N34" t="s">
        <v>30</v>
      </c>
      <c r="O34" t="s">
        <v>17</v>
      </c>
      <c r="P34">
        <v>1</v>
      </c>
      <c r="Q34" t="s">
        <v>21</v>
      </c>
      <c r="R34">
        <v>4</v>
      </c>
    </row>
    <row r="35" spans="1:18">
      <c r="A35">
        <v>34</v>
      </c>
      <c r="B35">
        <v>481.09859999999998</v>
      </c>
      <c r="C35">
        <v>209.7</v>
      </c>
      <c r="D35">
        <v>-0.56142843529499897</v>
      </c>
      <c r="E35" t="s">
        <v>16</v>
      </c>
      <c r="F35" t="s">
        <v>17</v>
      </c>
      <c r="G35">
        <v>1</v>
      </c>
      <c r="H35" t="s">
        <v>18</v>
      </c>
      <c r="I35" t="s">
        <v>17</v>
      </c>
      <c r="J35">
        <v>0.99</v>
      </c>
      <c r="K35" t="s">
        <v>29</v>
      </c>
      <c r="L35" t="s">
        <v>17</v>
      </c>
      <c r="M35">
        <v>1</v>
      </c>
      <c r="N35" t="s">
        <v>30</v>
      </c>
      <c r="O35" t="s">
        <v>17</v>
      </c>
      <c r="P35">
        <v>1</v>
      </c>
      <c r="Q35" t="s">
        <v>21</v>
      </c>
      <c r="R35">
        <v>4</v>
      </c>
    </row>
    <row r="36" spans="1:18">
      <c r="A36">
        <v>35</v>
      </c>
      <c r="B36">
        <v>646.15409999999997</v>
      </c>
      <c r="C36">
        <v>237.1</v>
      </c>
      <c r="D36">
        <v>-0.43263540014959301</v>
      </c>
      <c r="E36" t="s">
        <v>16</v>
      </c>
      <c r="F36" t="s">
        <v>17</v>
      </c>
      <c r="G36">
        <v>1</v>
      </c>
      <c r="H36" t="s">
        <v>26</v>
      </c>
      <c r="I36" t="s">
        <v>17</v>
      </c>
      <c r="J36">
        <v>0.81</v>
      </c>
      <c r="K36" t="s">
        <v>27</v>
      </c>
      <c r="L36" t="s">
        <v>17</v>
      </c>
      <c r="M36">
        <v>0.98</v>
      </c>
      <c r="N36" t="s">
        <v>28</v>
      </c>
      <c r="O36" t="s">
        <v>17</v>
      </c>
      <c r="P36">
        <v>1</v>
      </c>
      <c r="Q36" t="s">
        <v>21</v>
      </c>
      <c r="R36">
        <v>4</v>
      </c>
    </row>
    <row r="37" spans="1:18">
      <c r="A37">
        <v>36</v>
      </c>
      <c r="B37">
        <v>644.13959999999997</v>
      </c>
      <c r="C37">
        <v>234.5</v>
      </c>
      <c r="D37">
        <v>-0.420384693989035</v>
      </c>
      <c r="E37" t="s">
        <v>16</v>
      </c>
      <c r="F37" t="s">
        <v>17</v>
      </c>
      <c r="G37">
        <v>1</v>
      </c>
      <c r="H37" t="s">
        <v>26</v>
      </c>
      <c r="I37" t="s">
        <v>17</v>
      </c>
      <c r="J37">
        <v>0.87</v>
      </c>
      <c r="K37" t="s">
        <v>27</v>
      </c>
      <c r="L37" t="s">
        <v>17</v>
      </c>
      <c r="M37">
        <v>0.96</v>
      </c>
      <c r="N37" t="s">
        <v>28</v>
      </c>
      <c r="O37" t="s">
        <v>17</v>
      </c>
      <c r="P37">
        <v>1</v>
      </c>
      <c r="Q37" t="s">
        <v>21</v>
      </c>
      <c r="R37">
        <v>4</v>
      </c>
    </row>
    <row r="38" spans="1:18">
      <c r="A38">
        <v>37</v>
      </c>
      <c r="B38">
        <v>495.11239999999998</v>
      </c>
      <c r="C38">
        <v>210.9</v>
      </c>
      <c r="D38">
        <v>-0.55958130002278506</v>
      </c>
      <c r="E38" t="s">
        <v>16</v>
      </c>
      <c r="F38" t="s">
        <v>17</v>
      </c>
      <c r="G38">
        <v>1</v>
      </c>
      <c r="H38" t="s">
        <v>18</v>
      </c>
      <c r="I38" t="s">
        <v>17</v>
      </c>
      <c r="J38">
        <v>0.94</v>
      </c>
      <c r="K38" t="s">
        <v>29</v>
      </c>
      <c r="L38" t="s">
        <v>17</v>
      </c>
      <c r="M38">
        <v>1</v>
      </c>
      <c r="N38" t="s">
        <v>30</v>
      </c>
      <c r="O38" t="s">
        <v>17</v>
      </c>
      <c r="P38">
        <v>1</v>
      </c>
      <c r="Q38" t="s">
        <v>21</v>
      </c>
      <c r="R38">
        <v>4</v>
      </c>
    </row>
    <row r="39" spans="1:18">
      <c r="A39">
        <v>38</v>
      </c>
      <c r="B39">
        <v>493.09910000000002</v>
      </c>
      <c r="C39">
        <v>209.3</v>
      </c>
      <c r="D39">
        <v>-0.54852925399984498</v>
      </c>
      <c r="E39" t="s">
        <v>16</v>
      </c>
      <c r="F39" t="s">
        <v>17</v>
      </c>
      <c r="G39">
        <v>1</v>
      </c>
      <c r="H39" t="s">
        <v>18</v>
      </c>
      <c r="I39" t="s">
        <v>17</v>
      </c>
      <c r="J39">
        <v>0.88</v>
      </c>
      <c r="K39" t="s">
        <v>29</v>
      </c>
      <c r="L39" t="s">
        <v>17</v>
      </c>
      <c r="M39">
        <v>0.99</v>
      </c>
      <c r="N39" t="s">
        <v>30</v>
      </c>
      <c r="O39" t="s">
        <v>17</v>
      </c>
      <c r="P39">
        <v>1</v>
      </c>
      <c r="Q39" t="s">
        <v>21</v>
      </c>
      <c r="R39">
        <v>4</v>
      </c>
    </row>
    <row r="40" spans="1:18">
      <c r="A40">
        <v>39</v>
      </c>
      <c r="B40">
        <v>639.16920000000005</v>
      </c>
      <c r="C40">
        <v>238.1</v>
      </c>
      <c r="D40">
        <v>-0.455534403643583</v>
      </c>
      <c r="E40" t="s">
        <v>16</v>
      </c>
      <c r="F40" t="s">
        <v>17</v>
      </c>
      <c r="G40">
        <v>1</v>
      </c>
      <c r="H40" t="s">
        <v>18</v>
      </c>
      <c r="I40" t="s">
        <v>17</v>
      </c>
      <c r="J40">
        <v>0.93</v>
      </c>
      <c r="K40" t="s">
        <v>29</v>
      </c>
      <c r="L40" t="s">
        <v>17</v>
      </c>
      <c r="M40">
        <v>0.99</v>
      </c>
      <c r="N40" t="s">
        <v>30</v>
      </c>
      <c r="O40" t="s">
        <v>17</v>
      </c>
      <c r="P40">
        <v>1</v>
      </c>
      <c r="Q40" t="s">
        <v>21</v>
      </c>
      <c r="R40">
        <v>4</v>
      </c>
    </row>
    <row r="41" spans="1:18">
      <c r="A41">
        <v>40</v>
      </c>
      <c r="B41">
        <v>637.15629999999999</v>
      </c>
      <c r="C41">
        <v>237</v>
      </c>
      <c r="D41">
        <v>-0.444881910999811</v>
      </c>
      <c r="E41" t="s">
        <v>16</v>
      </c>
      <c r="F41" t="s">
        <v>17</v>
      </c>
      <c r="G41">
        <v>1</v>
      </c>
      <c r="H41" t="s">
        <v>18</v>
      </c>
      <c r="I41" t="s">
        <v>17</v>
      </c>
      <c r="J41">
        <v>0.92</v>
      </c>
      <c r="K41" t="s">
        <v>29</v>
      </c>
      <c r="L41" t="s">
        <v>17</v>
      </c>
      <c r="M41">
        <v>0.99</v>
      </c>
      <c r="N41" t="s">
        <v>30</v>
      </c>
      <c r="O41" t="s">
        <v>17</v>
      </c>
      <c r="P41">
        <v>1</v>
      </c>
      <c r="Q41" t="s">
        <v>21</v>
      </c>
      <c r="R41">
        <v>4</v>
      </c>
    </row>
    <row r="42" spans="1:18">
      <c r="A42">
        <v>41</v>
      </c>
      <c r="B42">
        <v>655.16669999999999</v>
      </c>
      <c r="C42">
        <v>238.6</v>
      </c>
      <c r="D42">
        <v>-0.43517236433115197</v>
      </c>
      <c r="E42" t="s">
        <v>16</v>
      </c>
      <c r="F42" t="s">
        <v>17</v>
      </c>
      <c r="G42">
        <v>1</v>
      </c>
      <c r="H42" t="s">
        <v>18</v>
      </c>
      <c r="I42" t="s">
        <v>17</v>
      </c>
      <c r="J42">
        <v>0.62</v>
      </c>
      <c r="K42" t="s">
        <v>29</v>
      </c>
      <c r="L42" t="s">
        <v>17</v>
      </c>
      <c r="M42">
        <v>0.99</v>
      </c>
      <c r="N42" t="s">
        <v>30</v>
      </c>
      <c r="O42" t="s">
        <v>17</v>
      </c>
      <c r="P42">
        <v>0.996</v>
      </c>
      <c r="Q42" t="s">
        <v>21</v>
      </c>
      <c r="R42">
        <v>4</v>
      </c>
    </row>
    <row r="43" spans="1:18">
      <c r="A43">
        <v>42</v>
      </c>
      <c r="B43">
        <v>493.13420000000002</v>
      </c>
      <c r="C43">
        <v>215.2</v>
      </c>
      <c r="D43">
        <v>-0.58359006302754302</v>
      </c>
      <c r="E43" t="s">
        <v>16</v>
      </c>
      <c r="F43" t="s">
        <v>17</v>
      </c>
      <c r="G43">
        <v>1</v>
      </c>
      <c r="H43" t="s">
        <v>18</v>
      </c>
      <c r="I43" t="s">
        <v>17</v>
      </c>
      <c r="J43">
        <v>0.89</v>
      </c>
      <c r="K43" t="s">
        <v>29</v>
      </c>
      <c r="L43" t="s">
        <v>17</v>
      </c>
      <c r="M43">
        <v>1</v>
      </c>
      <c r="N43" t="s">
        <v>30</v>
      </c>
      <c r="O43" t="s">
        <v>17</v>
      </c>
      <c r="P43">
        <v>1</v>
      </c>
      <c r="Q43" t="s">
        <v>21</v>
      </c>
      <c r="R43">
        <v>4</v>
      </c>
    </row>
    <row r="44" spans="1:18">
      <c r="A44">
        <v>43</v>
      </c>
      <c r="B44">
        <v>491.11930000000001</v>
      </c>
      <c r="C44">
        <v>216</v>
      </c>
      <c r="D44">
        <v>-0.57093980348764695</v>
      </c>
      <c r="E44" t="s">
        <v>16</v>
      </c>
      <c r="F44" t="s">
        <v>17</v>
      </c>
      <c r="G44">
        <v>1</v>
      </c>
      <c r="H44" t="s">
        <v>18</v>
      </c>
      <c r="I44" t="s">
        <v>17</v>
      </c>
      <c r="J44">
        <v>0.93</v>
      </c>
      <c r="K44" t="s">
        <v>29</v>
      </c>
      <c r="L44" t="s">
        <v>17</v>
      </c>
      <c r="M44">
        <v>1</v>
      </c>
      <c r="N44" t="s">
        <v>30</v>
      </c>
      <c r="O44" t="s">
        <v>17</v>
      </c>
      <c r="P44">
        <v>1</v>
      </c>
      <c r="Q44" t="s">
        <v>21</v>
      </c>
      <c r="R44">
        <v>4</v>
      </c>
    </row>
    <row r="45" spans="1:18">
      <c r="A45">
        <v>44</v>
      </c>
      <c r="B45">
        <v>509.12970000000001</v>
      </c>
      <c r="C45">
        <v>217.5</v>
      </c>
      <c r="D45">
        <v>-0.56123025681893102</v>
      </c>
      <c r="E45" t="s">
        <v>16</v>
      </c>
      <c r="F45" t="s">
        <v>17</v>
      </c>
      <c r="G45">
        <v>1</v>
      </c>
      <c r="H45" t="s">
        <v>18</v>
      </c>
      <c r="I45" t="s">
        <v>17</v>
      </c>
      <c r="J45">
        <v>0.98</v>
      </c>
      <c r="K45" t="s">
        <v>29</v>
      </c>
      <c r="L45" t="s">
        <v>17</v>
      </c>
      <c r="M45">
        <v>1</v>
      </c>
      <c r="N45" t="s">
        <v>30</v>
      </c>
      <c r="O45" t="s">
        <v>17</v>
      </c>
      <c r="P45">
        <v>1</v>
      </c>
      <c r="Q45" t="s">
        <v>21</v>
      </c>
      <c r="R45">
        <v>4</v>
      </c>
    </row>
    <row r="46" spans="1:18">
      <c r="A46">
        <v>45</v>
      </c>
      <c r="B46">
        <v>463.12360000000001</v>
      </c>
      <c r="C46">
        <v>207.1</v>
      </c>
      <c r="D46">
        <v>-0.60649845602586105</v>
      </c>
      <c r="E46" t="s">
        <v>16</v>
      </c>
      <c r="F46" t="s">
        <v>17</v>
      </c>
      <c r="G46">
        <v>1</v>
      </c>
      <c r="H46" t="s">
        <v>18</v>
      </c>
      <c r="I46" t="s">
        <v>17</v>
      </c>
      <c r="J46">
        <v>0.85</v>
      </c>
      <c r="K46" t="s">
        <v>29</v>
      </c>
      <c r="L46" t="s">
        <v>17</v>
      </c>
      <c r="M46">
        <v>1</v>
      </c>
      <c r="N46" t="s">
        <v>30</v>
      </c>
      <c r="O46" t="s">
        <v>17</v>
      </c>
      <c r="P46">
        <v>0.998</v>
      </c>
      <c r="Q46" t="s">
        <v>21</v>
      </c>
      <c r="R46">
        <v>4</v>
      </c>
    </row>
    <row r="47" spans="1:18">
      <c r="A47">
        <v>46</v>
      </c>
      <c r="B47">
        <v>461.10829999999999</v>
      </c>
      <c r="C47">
        <v>207.5</v>
      </c>
      <c r="D47">
        <v>-0.59344864310668299</v>
      </c>
      <c r="E47" t="s">
        <v>16</v>
      </c>
      <c r="F47" t="s">
        <v>17</v>
      </c>
      <c r="G47">
        <v>1</v>
      </c>
      <c r="H47" t="s">
        <v>18</v>
      </c>
      <c r="I47" t="s">
        <v>17</v>
      </c>
      <c r="J47">
        <v>0.95</v>
      </c>
      <c r="K47" t="s">
        <v>29</v>
      </c>
      <c r="L47" t="s">
        <v>17</v>
      </c>
      <c r="M47">
        <v>1</v>
      </c>
      <c r="N47" t="s">
        <v>30</v>
      </c>
      <c r="O47" t="s">
        <v>17</v>
      </c>
      <c r="P47">
        <v>1</v>
      </c>
      <c r="Q47" t="s">
        <v>21</v>
      </c>
      <c r="R47">
        <v>4</v>
      </c>
    </row>
    <row r="48" spans="1:18">
      <c r="A48">
        <v>47</v>
      </c>
      <c r="B48">
        <v>479.11829999999998</v>
      </c>
      <c r="C48">
        <v>211.8</v>
      </c>
      <c r="D48">
        <v>-0.58333954305874203</v>
      </c>
      <c r="E48" t="s">
        <v>16</v>
      </c>
      <c r="F48" t="s">
        <v>17</v>
      </c>
      <c r="G48">
        <v>1</v>
      </c>
      <c r="H48" t="s">
        <v>18</v>
      </c>
      <c r="I48" t="s">
        <v>17</v>
      </c>
      <c r="J48">
        <v>0.98</v>
      </c>
      <c r="K48" t="s">
        <v>29</v>
      </c>
      <c r="L48" t="s">
        <v>17</v>
      </c>
      <c r="M48">
        <v>1</v>
      </c>
      <c r="N48" t="s">
        <v>30</v>
      </c>
      <c r="O48" t="s">
        <v>17</v>
      </c>
      <c r="P48">
        <v>1</v>
      </c>
      <c r="Q48" t="s">
        <v>21</v>
      </c>
      <c r="R48">
        <v>4</v>
      </c>
    </row>
    <row r="49" spans="1:18">
      <c r="A49">
        <v>48</v>
      </c>
      <c r="B49">
        <v>479.11840000000001</v>
      </c>
      <c r="C49">
        <v>205.3</v>
      </c>
      <c r="D49">
        <v>-0.58343943140357601</v>
      </c>
      <c r="E49" t="s">
        <v>16</v>
      </c>
      <c r="F49" t="s">
        <v>17</v>
      </c>
      <c r="G49">
        <v>1</v>
      </c>
      <c r="H49" t="s">
        <v>18</v>
      </c>
      <c r="I49" t="s">
        <v>17</v>
      </c>
      <c r="J49">
        <v>0.94</v>
      </c>
      <c r="K49" t="s">
        <v>29</v>
      </c>
      <c r="L49" t="s">
        <v>17</v>
      </c>
      <c r="M49">
        <v>1</v>
      </c>
      <c r="N49" t="s">
        <v>30</v>
      </c>
      <c r="O49" t="s">
        <v>17</v>
      </c>
      <c r="P49">
        <v>1</v>
      </c>
      <c r="Q49" t="s">
        <v>21</v>
      </c>
      <c r="R49">
        <v>4</v>
      </c>
    </row>
    <row r="50" spans="1:18">
      <c r="A50">
        <v>49</v>
      </c>
      <c r="B50">
        <v>479.11880000000002</v>
      </c>
      <c r="C50">
        <v>210.7</v>
      </c>
      <c r="D50">
        <v>-0.58383898478280105</v>
      </c>
      <c r="E50" t="s">
        <v>16</v>
      </c>
      <c r="F50" t="s">
        <v>17</v>
      </c>
      <c r="G50">
        <v>1</v>
      </c>
      <c r="H50" t="s">
        <v>18</v>
      </c>
      <c r="I50" t="s">
        <v>17</v>
      </c>
      <c r="J50">
        <v>0.96</v>
      </c>
      <c r="K50" t="s">
        <v>29</v>
      </c>
      <c r="L50" t="s">
        <v>17</v>
      </c>
      <c r="M50">
        <v>1</v>
      </c>
      <c r="N50" t="s">
        <v>30</v>
      </c>
      <c r="O50" t="s">
        <v>17</v>
      </c>
      <c r="P50">
        <v>1</v>
      </c>
      <c r="Q50" t="s">
        <v>21</v>
      </c>
      <c r="R50">
        <v>4</v>
      </c>
    </row>
    <row r="51" spans="1:18">
      <c r="A51">
        <v>50</v>
      </c>
      <c r="B51">
        <v>477.10390000000001</v>
      </c>
      <c r="C51">
        <v>209.5</v>
      </c>
      <c r="D51">
        <v>-0.57118872524290498</v>
      </c>
      <c r="E51" t="s">
        <v>16</v>
      </c>
      <c r="F51" t="s">
        <v>17</v>
      </c>
      <c r="G51">
        <v>1</v>
      </c>
      <c r="H51" t="s">
        <v>18</v>
      </c>
      <c r="I51" t="s">
        <v>17</v>
      </c>
      <c r="J51">
        <v>0.98</v>
      </c>
      <c r="K51" t="s">
        <v>29</v>
      </c>
      <c r="L51" t="s">
        <v>17</v>
      </c>
      <c r="M51">
        <v>1</v>
      </c>
      <c r="N51" t="s">
        <v>30</v>
      </c>
      <c r="O51" t="s">
        <v>17</v>
      </c>
      <c r="P51">
        <v>1</v>
      </c>
      <c r="Q51" t="s">
        <v>21</v>
      </c>
      <c r="R51">
        <v>4</v>
      </c>
    </row>
    <row r="52" spans="1:18">
      <c r="A52">
        <v>51</v>
      </c>
      <c r="B52">
        <v>495.11399999999998</v>
      </c>
      <c r="C52">
        <v>214.4</v>
      </c>
      <c r="D52">
        <v>-0.56117951353968498</v>
      </c>
      <c r="E52" t="s">
        <v>16</v>
      </c>
      <c r="F52" t="s">
        <v>17</v>
      </c>
      <c r="G52">
        <v>1</v>
      </c>
      <c r="H52" t="s">
        <v>18</v>
      </c>
      <c r="I52" t="s">
        <v>17</v>
      </c>
      <c r="J52">
        <v>0.99</v>
      </c>
      <c r="K52" t="s">
        <v>29</v>
      </c>
      <c r="L52" t="s">
        <v>17</v>
      </c>
      <c r="M52">
        <v>1</v>
      </c>
      <c r="N52" t="s">
        <v>30</v>
      </c>
      <c r="O52" t="s">
        <v>17</v>
      </c>
      <c r="P52">
        <v>1</v>
      </c>
      <c r="Q52" t="s">
        <v>21</v>
      </c>
      <c r="R52">
        <v>4</v>
      </c>
    </row>
    <row r="53" spans="1:18">
      <c r="A53">
        <v>52</v>
      </c>
      <c r="B53">
        <v>479.08170000000001</v>
      </c>
      <c r="C53">
        <v>204.7</v>
      </c>
      <c r="D53">
        <v>-0.54678040885897905</v>
      </c>
      <c r="E53" t="s">
        <v>16</v>
      </c>
      <c r="F53" t="s">
        <v>17</v>
      </c>
      <c r="G53">
        <v>1</v>
      </c>
      <c r="H53" t="s">
        <v>18</v>
      </c>
      <c r="I53" t="s">
        <v>17</v>
      </c>
      <c r="J53">
        <v>0.85</v>
      </c>
      <c r="K53" t="s">
        <v>29</v>
      </c>
      <c r="L53" t="s">
        <v>17</v>
      </c>
      <c r="M53">
        <v>1</v>
      </c>
      <c r="N53" t="s">
        <v>30</v>
      </c>
      <c r="O53" t="s">
        <v>17</v>
      </c>
      <c r="P53">
        <v>1</v>
      </c>
      <c r="Q53" t="s">
        <v>21</v>
      </c>
      <c r="R53">
        <v>4</v>
      </c>
    </row>
    <row r="54" spans="1:18">
      <c r="A54">
        <v>53</v>
      </c>
      <c r="B54">
        <v>477.06720000000001</v>
      </c>
      <c r="C54">
        <v>204</v>
      </c>
      <c r="D54">
        <v>-0.53452970269830802</v>
      </c>
      <c r="E54" t="s">
        <v>16</v>
      </c>
      <c r="F54" t="s">
        <v>17</v>
      </c>
      <c r="G54">
        <v>1</v>
      </c>
      <c r="H54" t="s">
        <v>18</v>
      </c>
      <c r="I54" t="s">
        <v>17</v>
      </c>
      <c r="J54">
        <v>0.85</v>
      </c>
      <c r="K54" t="s">
        <v>29</v>
      </c>
      <c r="L54" t="s">
        <v>17</v>
      </c>
      <c r="M54">
        <v>0.98</v>
      </c>
      <c r="N54" t="s">
        <v>30</v>
      </c>
      <c r="O54" t="s">
        <v>17</v>
      </c>
      <c r="P54">
        <v>1</v>
      </c>
      <c r="Q54" t="s">
        <v>21</v>
      </c>
      <c r="R54">
        <v>4</v>
      </c>
    </row>
    <row r="55" spans="1:18">
      <c r="A55">
        <v>54</v>
      </c>
      <c r="B55">
        <v>229.08600000000001</v>
      </c>
      <c r="C55">
        <v>157.30000000000001</v>
      </c>
      <c r="D55">
        <v>-0.83021358725215999</v>
      </c>
      <c r="E55" t="s">
        <v>16</v>
      </c>
      <c r="F55" t="s">
        <v>17</v>
      </c>
      <c r="G55">
        <v>1</v>
      </c>
      <c r="H55" t="s">
        <v>31</v>
      </c>
      <c r="I55" t="s">
        <v>23</v>
      </c>
      <c r="J55">
        <v>0.62</v>
      </c>
      <c r="K55" t="s">
        <v>32</v>
      </c>
      <c r="L55" t="s">
        <v>23</v>
      </c>
      <c r="M55">
        <v>0.67</v>
      </c>
      <c r="N55" s="5" t="s">
        <v>33</v>
      </c>
      <c r="O55" s="5" t="s">
        <v>23</v>
      </c>
      <c r="P55">
        <v>0.48199999999999998</v>
      </c>
      <c r="Q55" t="s">
        <v>21</v>
      </c>
      <c r="R55">
        <v>1</v>
      </c>
    </row>
    <row r="56" spans="1:18">
      <c r="A56">
        <v>55</v>
      </c>
      <c r="B56">
        <v>227.07130000000001</v>
      </c>
      <c r="C56">
        <v>158.30000000000001</v>
      </c>
      <c r="D56">
        <v>-0.81776310440190503</v>
      </c>
      <c r="E56" t="s">
        <v>16</v>
      </c>
      <c r="F56" t="s">
        <v>17</v>
      </c>
      <c r="G56">
        <v>1</v>
      </c>
      <c r="H56" t="s">
        <v>34</v>
      </c>
      <c r="I56" t="s">
        <v>23</v>
      </c>
      <c r="J56">
        <v>0.54</v>
      </c>
      <c r="K56" t="s">
        <v>35</v>
      </c>
      <c r="L56" t="s">
        <v>23</v>
      </c>
      <c r="M56">
        <v>0.94</v>
      </c>
      <c r="N56" s="5" t="s">
        <v>36</v>
      </c>
      <c r="O56" s="5" t="s">
        <v>23</v>
      </c>
      <c r="P56">
        <v>0.65200000000000002</v>
      </c>
      <c r="Q56" t="s">
        <v>21</v>
      </c>
      <c r="R56">
        <v>1</v>
      </c>
    </row>
    <row r="57" spans="1:18">
      <c r="A57">
        <v>56</v>
      </c>
      <c r="B57">
        <v>229.08609999999999</v>
      </c>
      <c r="C57">
        <v>157.4</v>
      </c>
      <c r="D57">
        <v>-0.83031347559693802</v>
      </c>
      <c r="E57" t="s">
        <v>16</v>
      </c>
      <c r="F57" t="s">
        <v>17</v>
      </c>
      <c r="G57">
        <v>1</v>
      </c>
      <c r="H57" t="s">
        <v>31</v>
      </c>
      <c r="I57" t="s">
        <v>23</v>
      </c>
      <c r="J57">
        <v>0.61</v>
      </c>
      <c r="K57" t="s">
        <v>32</v>
      </c>
      <c r="L57" t="s">
        <v>23</v>
      </c>
      <c r="M57">
        <v>0.67</v>
      </c>
      <c r="N57" s="5" t="s">
        <v>33</v>
      </c>
      <c r="O57" s="5" t="s">
        <v>23</v>
      </c>
      <c r="P57">
        <v>0.48199999999999998</v>
      </c>
      <c r="Q57" t="s">
        <v>21</v>
      </c>
      <c r="R57">
        <v>1</v>
      </c>
    </row>
    <row r="58" spans="1:18">
      <c r="A58">
        <v>57</v>
      </c>
      <c r="B58">
        <v>227.071</v>
      </c>
      <c r="C58">
        <v>159.1</v>
      </c>
      <c r="D58">
        <v>-0.81746343936745802</v>
      </c>
      <c r="E58" t="s">
        <v>16</v>
      </c>
      <c r="F58" t="s">
        <v>17</v>
      </c>
      <c r="G58">
        <v>1</v>
      </c>
      <c r="H58" t="s">
        <v>34</v>
      </c>
      <c r="I58" t="s">
        <v>23</v>
      </c>
      <c r="J58">
        <v>0.56000000000000005</v>
      </c>
      <c r="K58" t="s">
        <v>35</v>
      </c>
      <c r="L58" t="s">
        <v>23</v>
      </c>
      <c r="M58">
        <v>0.95</v>
      </c>
      <c r="N58" s="5" t="s">
        <v>36</v>
      </c>
      <c r="O58" s="5" t="s">
        <v>23</v>
      </c>
      <c r="P58">
        <v>0.66700000000000004</v>
      </c>
      <c r="Q58" t="s">
        <v>21</v>
      </c>
      <c r="R58">
        <v>1</v>
      </c>
    </row>
    <row r="59" spans="1:18">
      <c r="A59">
        <v>58</v>
      </c>
      <c r="B59">
        <v>509.12779999999998</v>
      </c>
      <c r="C59">
        <v>214.6</v>
      </c>
      <c r="D59">
        <v>-0.55933237826752702</v>
      </c>
      <c r="E59" t="s">
        <v>16</v>
      </c>
      <c r="F59" t="s">
        <v>17</v>
      </c>
      <c r="G59">
        <v>1</v>
      </c>
      <c r="H59" t="s">
        <v>18</v>
      </c>
      <c r="I59" t="s">
        <v>17</v>
      </c>
      <c r="J59">
        <v>0.99</v>
      </c>
      <c r="K59" t="s">
        <v>29</v>
      </c>
      <c r="L59" t="s">
        <v>17</v>
      </c>
      <c r="M59">
        <v>1</v>
      </c>
      <c r="N59" t="s">
        <v>30</v>
      </c>
      <c r="O59" t="s">
        <v>17</v>
      </c>
      <c r="P59">
        <v>1</v>
      </c>
      <c r="Q59" t="s">
        <v>21</v>
      </c>
      <c r="R59">
        <v>4</v>
      </c>
    </row>
    <row r="60" spans="1:18">
      <c r="A60">
        <v>59</v>
      </c>
      <c r="B60">
        <v>507.11419999999998</v>
      </c>
      <c r="C60">
        <v>214.7</v>
      </c>
      <c r="D60">
        <v>-0.54798066721014005</v>
      </c>
      <c r="E60" t="s">
        <v>16</v>
      </c>
      <c r="F60" t="s">
        <v>17</v>
      </c>
      <c r="G60">
        <v>1</v>
      </c>
      <c r="H60" t="s">
        <v>18</v>
      </c>
      <c r="I60" t="s">
        <v>17</v>
      </c>
      <c r="J60">
        <v>0.95</v>
      </c>
      <c r="K60" t="s">
        <v>29</v>
      </c>
      <c r="L60" t="s">
        <v>17</v>
      </c>
      <c r="M60">
        <v>0.99</v>
      </c>
      <c r="N60" t="s">
        <v>30</v>
      </c>
      <c r="O60" t="s">
        <v>17</v>
      </c>
      <c r="P60">
        <v>1</v>
      </c>
      <c r="Q60" t="s">
        <v>21</v>
      </c>
      <c r="R60">
        <v>4</v>
      </c>
    </row>
    <row r="61" spans="1:18">
      <c r="A61">
        <v>60</v>
      </c>
      <c r="B61">
        <v>509.12920000000003</v>
      </c>
      <c r="C61">
        <v>214.9</v>
      </c>
      <c r="D61">
        <v>-0.56073081509487099</v>
      </c>
      <c r="E61" t="s">
        <v>16</v>
      </c>
      <c r="F61" t="s">
        <v>17</v>
      </c>
      <c r="G61">
        <v>1</v>
      </c>
      <c r="H61" t="s">
        <v>18</v>
      </c>
      <c r="I61" t="s">
        <v>17</v>
      </c>
      <c r="J61">
        <v>0.99</v>
      </c>
      <c r="K61" t="s">
        <v>29</v>
      </c>
      <c r="L61" t="s">
        <v>17</v>
      </c>
      <c r="M61">
        <v>1</v>
      </c>
      <c r="N61" t="s">
        <v>30</v>
      </c>
      <c r="O61" t="s">
        <v>17</v>
      </c>
      <c r="P61">
        <v>1</v>
      </c>
      <c r="Q61" t="s">
        <v>21</v>
      </c>
      <c r="R61">
        <v>4</v>
      </c>
    </row>
    <row r="62" spans="1:18">
      <c r="A62">
        <v>61</v>
      </c>
      <c r="B62">
        <v>507.1146</v>
      </c>
      <c r="C62">
        <v>216.2</v>
      </c>
      <c r="D62">
        <v>-0.54838022058936498</v>
      </c>
      <c r="E62" t="s">
        <v>16</v>
      </c>
      <c r="F62" t="s">
        <v>17</v>
      </c>
      <c r="G62">
        <v>1</v>
      </c>
      <c r="H62" t="s">
        <v>18</v>
      </c>
      <c r="I62" t="s">
        <v>17</v>
      </c>
      <c r="J62">
        <v>0.95</v>
      </c>
      <c r="K62" t="s">
        <v>29</v>
      </c>
      <c r="L62" t="s">
        <v>17</v>
      </c>
      <c r="M62">
        <v>0.99</v>
      </c>
      <c r="N62" t="s">
        <v>30</v>
      </c>
      <c r="O62" t="s">
        <v>17</v>
      </c>
      <c r="P62">
        <v>1</v>
      </c>
      <c r="Q62" t="s">
        <v>21</v>
      </c>
      <c r="R62">
        <v>4</v>
      </c>
    </row>
    <row r="63" spans="1:18">
      <c r="A63" s="8">
        <v>62</v>
      </c>
      <c r="B63" s="8">
        <v>389.12380000000002</v>
      </c>
      <c r="C63" s="8">
        <v>208.6</v>
      </c>
      <c r="D63" s="8">
        <v>-0.68932307466712905</v>
      </c>
      <c r="E63" s="8" t="s">
        <v>16</v>
      </c>
      <c r="F63" s="8" t="s">
        <v>17</v>
      </c>
      <c r="G63" s="8">
        <v>1</v>
      </c>
      <c r="H63" s="8" t="s">
        <v>18</v>
      </c>
      <c r="I63" s="8" t="s">
        <v>17</v>
      </c>
      <c r="J63" s="8">
        <v>0.68</v>
      </c>
      <c r="K63" s="8" t="s">
        <v>29</v>
      </c>
      <c r="L63" s="8" t="s">
        <v>23</v>
      </c>
      <c r="M63" s="8">
        <v>1</v>
      </c>
      <c r="N63" s="8" t="s">
        <v>37</v>
      </c>
      <c r="O63" s="8" t="s">
        <v>23</v>
      </c>
      <c r="P63" s="8">
        <v>0.88200000000000001</v>
      </c>
      <c r="Q63" s="8" t="s">
        <v>21</v>
      </c>
      <c r="R63" s="8">
        <v>2</v>
      </c>
    </row>
    <row r="64" spans="1:18">
      <c r="A64" s="6">
        <v>63</v>
      </c>
      <c r="B64" s="6">
        <v>389.12380000000002</v>
      </c>
      <c r="C64" s="6">
        <v>190.8</v>
      </c>
      <c r="D64" s="6">
        <v>-0.68932307466712905</v>
      </c>
      <c r="E64" s="6" t="s">
        <v>16</v>
      </c>
      <c r="F64" s="6" t="s">
        <v>17</v>
      </c>
      <c r="G64" s="6">
        <v>1</v>
      </c>
      <c r="H64" s="6" t="s">
        <v>18</v>
      </c>
      <c r="I64" s="6" t="s">
        <v>17</v>
      </c>
      <c r="J64" s="6">
        <v>0.55000000000000004</v>
      </c>
      <c r="K64" s="6" t="s">
        <v>29</v>
      </c>
      <c r="L64" s="6" t="s">
        <v>23</v>
      </c>
      <c r="M64" s="6">
        <v>0.98</v>
      </c>
      <c r="N64" s="6" t="s">
        <v>37</v>
      </c>
      <c r="O64" s="6" t="s">
        <v>23</v>
      </c>
      <c r="P64" s="6">
        <v>0.79300000000000004</v>
      </c>
      <c r="Q64" s="6" t="s">
        <v>21</v>
      </c>
      <c r="R64" s="6">
        <v>2</v>
      </c>
    </row>
    <row r="65" spans="1:18">
      <c r="A65">
        <v>64</v>
      </c>
      <c r="B65">
        <v>389.12430000000001</v>
      </c>
      <c r="C65">
        <v>181.8</v>
      </c>
      <c r="D65">
        <v>-0.68982251639118897</v>
      </c>
      <c r="E65" t="s">
        <v>16</v>
      </c>
      <c r="F65" t="s">
        <v>17</v>
      </c>
      <c r="G65">
        <v>1</v>
      </c>
      <c r="H65" t="s">
        <v>38</v>
      </c>
      <c r="I65" t="s">
        <v>23</v>
      </c>
      <c r="J65">
        <v>0.34</v>
      </c>
      <c r="K65" t="s">
        <v>39</v>
      </c>
      <c r="L65" t="s">
        <v>23</v>
      </c>
      <c r="M65">
        <v>1</v>
      </c>
      <c r="N65" t="s">
        <v>40</v>
      </c>
      <c r="O65" t="s">
        <v>23</v>
      </c>
      <c r="P65">
        <v>1</v>
      </c>
      <c r="Q65" t="s">
        <v>21</v>
      </c>
      <c r="R65">
        <v>1</v>
      </c>
    </row>
    <row r="66" spans="1:18">
      <c r="A66">
        <v>65</v>
      </c>
      <c r="B66">
        <v>207.0667</v>
      </c>
      <c r="C66">
        <v>148.19999999999999</v>
      </c>
      <c r="D66">
        <v>-0.83549927890601305</v>
      </c>
      <c r="E66" t="s">
        <v>16</v>
      </c>
      <c r="F66" t="s">
        <v>17</v>
      </c>
      <c r="G66">
        <v>1</v>
      </c>
      <c r="H66" t="s">
        <v>26</v>
      </c>
      <c r="I66" t="s">
        <v>23</v>
      </c>
      <c r="J66">
        <v>0.35</v>
      </c>
      <c r="K66" t="s">
        <v>27</v>
      </c>
      <c r="L66" t="s">
        <v>23</v>
      </c>
      <c r="M66">
        <v>1</v>
      </c>
      <c r="N66" t="s">
        <v>28</v>
      </c>
      <c r="O66" t="s">
        <v>23</v>
      </c>
      <c r="P66">
        <v>0.99399999999999999</v>
      </c>
      <c r="Q66" t="s">
        <v>21</v>
      </c>
      <c r="R66">
        <v>1</v>
      </c>
    </row>
    <row r="67" spans="1:18">
      <c r="A67">
        <v>66</v>
      </c>
      <c r="B67">
        <v>209.0813</v>
      </c>
      <c r="C67">
        <v>149.30000000000001</v>
      </c>
      <c r="D67">
        <v>-0.84784987341149098</v>
      </c>
      <c r="E67" t="s">
        <v>16</v>
      </c>
      <c r="F67" t="s">
        <v>17</v>
      </c>
      <c r="G67">
        <v>1</v>
      </c>
      <c r="H67" t="s">
        <v>38</v>
      </c>
      <c r="I67" t="s">
        <v>23</v>
      </c>
      <c r="J67">
        <v>0.36</v>
      </c>
      <c r="K67" t="s">
        <v>39</v>
      </c>
      <c r="L67" t="s">
        <v>23</v>
      </c>
      <c r="M67">
        <v>1</v>
      </c>
      <c r="N67" t="s">
        <v>41</v>
      </c>
      <c r="O67" t="s">
        <v>23</v>
      </c>
      <c r="P67">
        <v>0.49199999999999999</v>
      </c>
      <c r="Q67" t="s">
        <v>21</v>
      </c>
      <c r="R67">
        <v>1</v>
      </c>
    </row>
    <row r="68" spans="1:18">
      <c r="A68">
        <v>67</v>
      </c>
      <c r="B68">
        <v>191.07060000000001</v>
      </c>
      <c r="C68">
        <v>146.30000000000001</v>
      </c>
      <c r="D68">
        <v>-0.85725975504581697</v>
      </c>
      <c r="E68" t="s">
        <v>16</v>
      </c>
      <c r="F68" t="s">
        <v>17</v>
      </c>
      <c r="G68">
        <v>1</v>
      </c>
      <c r="H68" t="s">
        <v>38</v>
      </c>
      <c r="I68" t="s">
        <v>23</v>
      </c>
      <c r="J68">
        <v>0.31</v>
      </c>
      <c r="K68" t="s">
        <v>39</v>
      </c>
      <c r="L68" t="s">
        <v>23</v>
      </c>
      <c r="M68">
        <v>1</v>
      </c>
      <c r="N68" t="s">
        <v>42</v>
      </c>
      <c r="O68" t="s">
        <v>23</v>
      </c>
      <c r="P68">
        <v>0.71299999999999997</v>
      </c>
      <c r="Q68" t="s">
        <v>21</v>
      </c>
      <c r="R68">
        <v>1</v>
      </c>
    </row>
    <row r="69" spans="1:18">
      <c r="A69">
        <v>68</v>
      </c>
      <c r="B69">
        <v>193.08580000000001</v>
      </c>
      <c r="C69">
        <v>144.69999999999999</v>
      </c>
      <c r="D69">
        <v>-0.87020967962010298</v>
      </c>
      <c r="E69" t="s">
        <v>16</v>
      </c>
      <c r="F69" t="s">
        <v>17</v>
      </c>
      <c r="G69">
        <v>1</v>
      </c>
      <c r="H69" t="s">
        <v>31</v>
      </c>
      <c r="I69" t="s">
        <v>23</v>
      </c>
      <c r="J69">
        <v>0.56999999999999995</v>
      </c>
      <c r="K69" t="s">
        <v>32</v>
      </c>
      <c r="L69" t="s">
        <v>23</v>
      </c>
      <c r="M69">
        <v>0.74</v>
      </c>
      <c r="N69" t="s">
        <v>43</v>
      </c>
      <c r="O69" t="s">
        <v>23</v>
      </c>
      <c r="P69">
        <v>0.59799999999999998</v>
      </c>
      <c r="Q69" t="s">
        <v>21</v>
      </c>
      <c r="R69">
        <v>1</v>
      </c>
    </row>
    <row r="70" spans="1:18">
      <c r="A70">
        <v>69</v>
      </c>
      <c r="B70">
        <v>561.12400000000002</v>
      </c>
      <c r="C70">
        <v>228.2</v>
      </c>
      <c r="D70">
        <v>-0.49747592141500302</v>
      </c>
      <c r="E70" t="s">
        <v>16</v>
      </c>
      <c r="F70" t="s">
        <v>17</v>
      </c>
      <c r="G70">
        <v>1</v>
      </c>
      <c r="H70" t="s">
        <v>22</v>
      </c>
      <c r="I70" t="s">
        <v>23</v>
      </c>
      <c r="J70">
        <v>0.56999999999999995</v>
      </c>
      <c r="K70" t="s">
        <v>24</v>
      </c>
      <c r="L70" t="s">
        <v>23</v>
      </c>
      <c r="M70">
        <v>0.67</v>
      </c>
      <c r="N70" s="5" t="s">
        <v>44</v>
      </c>
      <c r="O70" s="5" t="s">
        <v>23</v>
      </c>
      <c r="P70">
        <v>0.96599999999999997</v>
      </c>
      <c r="Q70" t="s">
        <v>21</v>
      </c>
      <c r="R70">
        <v>1</v>
      </c>
    </row>
    <row r="71" spans="1:18">
      <c r="A71">
        <v>70</v>
      </c>
      <c r="B71">
        <v>559.10990000000004</v>
      </c>
      <c r="C71">
        <v>229.6</v>
      </c>
      <c r="D71">
        <v>-0.48562476863366999</v>
      </c>
      <c r="E71" t="s">
        <v>16</v>
      </c>
      <c r="F71" t="s">
        <v>17</v>
      </c>
      <c r="G71">
        <v>0.98599999999999999</v>
      </c>
      <c r="H71" t="s">
        <v>18</v>
      </c>
      <c r="I71" t="s">
        <v>17</v>
      </c>
      <c r="J71">
        <v>0.55000000000000004</v>
      </c>
      <c r="K71" t="s">
        <v>29</v>
      </c>
      <c r="L71" t="s">
        <v>23</v>
      </c>
      <c r="M71">
        <v>0.84</v>
      </c>
      <c r="N71" s="5" t="s">
        <v>30</v>
      </c>
      <c r="O71" s="5" t="s">
        <v>23</v>
      </c>
      <c r="P71">
        <v>0.995</v>
      </c>
      <c r="Q71" t="s">
        <v>21</v>
      </c>
      <c r="R71">
        <v>2</v>
      </c>
    </row>
    <row r="72" spans="1:18">
      <c r="A72">
        <v>71</v>
      </c>
      <c r="B72">
        <v>517.1345</v>
      </c>
      <c r="C72">
        <v>217.2</v>
      </c>
      <c r="D72">
        <v>-0.55709248202356298</v>
      </c>
      <c r="E72" t="s">
        <v>16</v>
      </c>
      <c r="F72" t="s">
        <v>17</v>
      </c>
      <c r="G72">
        <v>1</v>
      </c>
      <c r="H72" t="s">
        <v>18</v>
      </c>
      <c r="I72" t="s">
        <v>17</v>
      </c>
      <c r="J72">
        <v>0.68</v>
      </c>
      <c r="K72" t="s">
        <v>29</v>
      </c>
      <c r="L72" t="s">
        <v>23</v>
      </c>
      <c r="M72">
        <v>0.93</v>
      </c>
      <c r="N72" s="5" t="s">
        <v>30</v>
      </c>
      <c r="O72" s="5" t="s">
        <v>23</v>
      </c>
      <c r="P72">
        <v>1</v>
      </c>
      <c r="Q72" t="s">
        <v>21</v>
      </c>
      <c r="R72">
        <v>2</v>
      </c>
    </row>
    <row r="73" spans="1:18">
      <c r="A73">
        <v>72</v>
      </c>
      <c r="B73">
        <v>515.11850000000004</v>
      </c>
      <c r="C73">
        <v>220</v>
      </c>
      <c r="D73">
        <v>-0.54334345069082701</v>
      </c>
      <c r="E73" t="s">
        <v>16</v>
      </c>
      <c r="F73" t="s">
        <v>17</v>
      </c>
      <c r="G73">
        <v>1</v>
      </c>
      <c r="H73" t="s">
        <v>18</v>
      </c>
      <c r="I73" t="s">
        <v>17</v>
      </c>
      <c r="J73">
        <v>0.68</v>
      </c>
      <c r="K73" t="s">
        <v>29</v>
      </c>
      <c r="L73" t="s">
        <v>23</v>
      </c>
      <c r="M73">
        <v>0.91</v>
      </c>
      <c r="N73" s="5" t="s">
        <v>30</v>
      </c>
      <c r="O73" s="5" t="s">
        <v>23</v>
      </c>
      <c r="P73">
        <v>0.997</v>
      </c>
      <c r="Q73" t="s">
        <v>21</v>
      </c>
      <c r="R73">
        <v>2</v>
      </c>
    </row>
    <row r="74" spans="1:18">
      <c r="A74">
        <v>73</v>
      </c>
      <c r="B74">
        <v>481.09690000000001</v>
      </c>
      <c r="C74">
        <v>206.8</v>
      </c>
      <c r="D74">
        <v>-0.55973033343326495</v>
      </c>
      <c r="E74" t="s">
        <v>16</v>
      </c>
      <c r="F74" t="s">
        <v>17</v>
      </c>
      <c r="G74">
        <v>1</v>
      </c>
      <c r="H74" t="s">
        <v>18</v>
      </c>
      <c r="I74" t="s">
        <v>17</v>
      </c>
      <c r="J74">
        <v>0.95</v>
      </c>
      <c r="K74" t="s">
        <v>29</v>
      </c>
      <c r="L74" t="s">
        <v>17</v>
      </c>
      <c r="M74">
        <v>1</v>
      </c>
      <c r="N74" t="s">
        <v>30</v>
      </c>
      <c r="O74" t="s">
        <v>17</v>
      </c>
      <c r="P74">
        <v>1</v>
      </c>
      <c r="Q74" t="s">
        <v>21</v>
      </c>
      <c r="R74">
        <v>4</v>
      </c>
    </row>
    <row r="75" spans="1:18">
      <c r="A75">
        <v>74</v>
      </c>
      <c r="B75">
        <v>467.1182</v>
      </c>
      <c r="C75">
        <v>206.7</v>
      </c>
      <c r="D75">
        <v>-0.59663827773312095</v>
      </c>
      <c r="E75" t="s">
        <v>16</v>
      </c>
      <c r="F75" t="s">
        <v>17</v>
      </c>
      <c r="G75">
        <v>1</v>
      </c>
      <c r="H75" t="s">
        <v>18</v>
      </c>
      <c r="I75" t="s">
        <v>17</v>
      </c>
      <c r="J75">
        <v>0.94</v>
      </c>
      <c r="K75" t="s">
        <v>29</v>
      </c>
      <c r="L75" t="s">
        <v>17</v>
      </c>
      <c r="M75">
        <v>1</v>
      </c>
      <c r="N75" t="s">
        <v>30</v>
      </c>
      <c r="O75" t="s">
        <v>17</v>
      </c>
      <c r="P75">
        <v>0.999</v>
      </c>
      <c r="Q75" t="s">
        <v>21</v>
      </c>
      <c r="R75">
        <v>4</v>
      </c>
    </row>
    <row r="76" spans="1:18">
      <c r="A76">
        <v>75</v>
      </c>
      <c r="B76">
        <v>467.11779999999999</v>
      </c>
      <c r="C76">
        <v>199.7</v>
      </c>
      <c r="D76">
        <v>-0.59623872435389602</v>
      </c>
      <c r="E76" t="s">
        <v>16</v>
      </c>
      <c r="F76" t="s">
        <v>17</v>
      </c>
      <c r="G76">
        <v>1</v>
      </c>
      <c r="H76" t="s">
        <v>18</v>
      </c>
      <c r="I76" t="s">
        <v>17</v>
      </c>
      <c r="J76">
        <v>0.81</v>
      </c>
      <c r="K76" t="s">
        <v>29</v>
      </c>
      <c r="L76" t="s">
        <v>17</v>
      </c>
      <c r="M76">
        <v>0.99</v>
      </c>
      <c r="N76" t="s">
        <v>30</v>
      </c>
      <c r="O76" t="s">
        <v>17</v>
      </c>
      <c r="P76">
        <v>1</v>
      </c>
      <c r="Q76" t="s">
        <v>21</v>
      </c>
      <c r="R76">
        <v>4</v>
      </c>
    </row>
    <row r="77" spans="1:18">
      <c r="A77">
        <v>76</v>
      </c>
      <c r="B77">
        <v>465.1035</v>
      </c>
      <c r="C77">
        <v>197.6</v>
      </c>
      <c r="D77">
        <v>-0.58418779488283701</v>
      </c>
      <c r="E77" t="s">
        <v>16</v>
      </c>
      <c r="F77" t="s">
        <v>17</v>
      </c>
      <c r="G77">
        <v>1</v>
      </c>
      <c r="H77" t="s">
        <v>18</v>
      </c>
      <c r="I77" t="s">
        <v>17</v>
      </c>
      <c r="J77">
        <v>0.87</v>
      </c>
      <c r="K77" t="s">
        <v>29</v>
      </c>
      <c r="L77" t="s">
        <v>17</v>
      </c>
      <c r="M77">
        <v>0.98</v>
      </c>
      <c r="N77" t="s">
        <v>30</v>
      </c>
      <c r="O77" t="s">
        <v>17</v>
      </c>
      <c r="P77">
        <v>0.999</v>
      </c>
      <c r="Q77" t="s">
        <v>21</v>
      </c>
      <c r="R77">
        <v>4</v>
      </c>
    </row>
    <row r="78" spans="1:18">
      <c r="A78">
        <v>77</v>
      </c>
      <c r="B78">
        <v>169.01490000000001</v>
      </c>
      <c r="C78">
        <v>125</v>
      </c>
      <c r="D78">
        <v>-0.82618608918951997</v>
      </c>
      <c r="E78" t="s">
        <v>16</v>
      </c>
      <c r="F78" t="s">
        <v>17</v>
      </c>
      <c r="G78">
        <v>1</v>
      </c>
      <c r="H78" t="s">
        <v>34</v>
      </c>
      <c r="I78" t="s">
        <v>17</v>
      </c>
      <c r="J78">
        <v>0.69</v>
      </c>
      <c r="K78" t="s">
        <v>35</v>
      </c>
      <c r="L78" t="s">
        <v>17</v>
      </c>
      <c r="M78">
        <v>0.85</v>
      </c>
      <c r="N78" t="s">
        <v>45</v>
      </c>
      <c r="O78" t="s">
        <v>17</v>
      </c>
      <c r="P78">
        <v>0.84299999999999997</v>
      </c>
      <c r="Q78" t="s">
        <v>21</v>
      </c>
      <c r="R78">
        <v>4</v>
      </c>
    </row>
    <row r="79" spans="1:18">
      <c r="A79">
        <v>78</v>
      </c>
      <c r="B79">
        <v>285.04090000000002</v>
      </c>
      <c r="C79">
        <v>163.19999999999999</v>
      </c>
      <c r="D79">
        <v>-0.722637036320805</v>
      </c>
      <c r="E79" t="s">
        <v>16</v>
      </c>
      <c r="F79" t="s">
        <v>17</v>
      </c>
      <c r="G79">
        <v>1</v>
      </c>
      <c r="H79" t="s">
        <v>18</v>
      </c>
      <c r="I79" t="s">
        <v>17</v>
      </c>
      <c r="J79">
        <v>0.94</v>
      </c>
      <c r="K79" t="s">
        <v>29</v>
      </c>
      <c r="L79" t="s">
        <v>17</v>
      </c>
      <c r="M79">
        <v>1</v>
      </c>
      <c r="N79" t="s">
        <v>46</v>
      </c>
      <c r="O79" t="s">
        <v>17</v>
      </c>
      <c r="P79">
        <v>0.95299999999999996</v>
      </c>
      <c r="Q79" t="s">
        <v>21</v>
      </c>
      <c r="R79">
        <v>4</v>
      </c>
    </row>
    <row r="80" spans="1:18">
      <c r="A80">
        <v>79</v>
      </c>
      <c r="B80">
        <v>287.05599999999998</v>
      </c>
      <c r="C80">
        <v>163.19999999999999</v>
      </c>
      <c r="D80">
        <v>-0.73548707255025603</v>
      </c>
      <c r="E80" t="s">
        <v>16</v>
      </c>
      <c r="F80" t="s">
        <v>17</v>
      </c>
      <c r="G80">
        <v>1</v>
      </c>
      <c r="H80" t="s">
        <v>18</v>
      </c>
      <c r="I80" t="s">
        <v>17</v>
      </c>
      <c r="J80">
        <v>0.98</v>
      </c>
      <c r="K80" t="s">
        <v>29</v>
      </c>
      <c r="L80" t="s">
        <v>17</v>
      </c>
      <c r="M80">
        <v>1</v>
      </c>
      <c r="N80" t="s">
        <v>46</v>
      </c>
      <c r="O80" t="s">
        <v>17</v>
      </c>
      <c r="P80">
        <v>0.89500000000000002</v>
      </c>
      <c r="Q80" t="s">
        <v>21</v>
      </c>
      <c r="R80">
        <v>4</v>
      </c>
    </row>
    <row r="81" spans="1:18">
      <c r="A81">
        <v>80</v>
      </c>
      <c r="B81">
        <v>317.0274</v>
      </c>
      <c r="C81">
        <v>167.4</v>
      </c>
      <c r="D81">
        <v>-0.67342244838715704</v>
      </c>
      <c r="E81" t="s">
        <v>16</v>
      </c>
      <c r="F81" t="s">
        <v>17</v>
      </c>
      <c r="G81">
        <v>1</v>
      </c>
      <c r="H81" t="s">
        <v>18</v>
      </c>
      <c r="I81" t="s">
        <v>17</v>
      </c>
      <c r="J81">
        <v>0.74</v>
      </c>
      <c r="K81" t="s">
        <v>29</v>
      </c>
      <c r="L81" t="s">
        <v>17</v>
      </c>
      <c r="M81">
        <v>1</v>
      </c>
      <c r="N81" t="s">
        <v>46</v>
      </c>
      <c r="O81" t="s">
        <v>17</v>
      </c>
      <c r="P81">
        <v>0.995</v>
      </c>
      <c r="Q81" t="s">
        <v>21</v>
      </c>
      <c r="R81">
        <v>4</v>
      </c>
    </row>
    <row r="82" spans="1:18">
      <c r="A82">
        <v>81</v>
      </c>
      <c r="B82">
        <v>319.04570000000001</v>
      </c>
      <c r="C82">
        <v>171.4</v>
      </c>
      <c r="D82">
        <v>-0.68946891165052204</v>
      </c>
      <c r="E82" t="s">
        <v>16</v>
      </c>
      <c r="F82" t="s">
        <v>17</v>
      </c>
      <c r="G82">
        <v>1</v>
      </c>
      <c r="H82" t="s">
        <v>18</v>
      </c>
      <c r="I82" t="s">
        <v>17</v>
      </c>
      <c r="J82">
        <v>0.67</v>
      </c>
      <c r="K82" t="s">
        <v>29</v>
      </c>
      <c r="L82" t="s">
        <v>17</v>
      </c>
      <c r="M82">
        <v>1</v>
      </c>
      <c r="N82" t="s">
        <v>46</v>
      </c>
      <c r="O82" t="s">
        <v>17</v>
      </c>
      <c r="P82">
        <v>0.99099999999999999</v>
      </c>
      <c r="Q82" t="s">
        <v>21</v>
      </c>
      <c r="R82">
        <v>4</v>
      </c>
    </row>
    <row r="83" spans="1:18">
      <c r="A83">
        <v>82</v>
      </c>
      <c r="B83">
        <v>289.07089999999999</v>
      </c>
      <c r="C83">
        <v>156.9</v>
      </c>
      <c r="D83">
        <v>-0.74813733209015298</v>
      </c>
      <c r="E83" t="s">
        <v>16</v>
      </c>
      <c r="F83" t="s">
        <v>17</v>
      </c>
      <c r="G83">
        <v>1</v>
      </c>
      <c r="H83" t="s">
        <v>18</v>
      </c>
      <c r="I83" t="s">
        <v>17</v>
      </c>
      <c r="J83">
        <v>0.88</v>
      </c>
      <c r="K83" t="s">
        <v>29</v>
      </c>
      <c r="L83" t="s">
        <v>17</v>
      </c>
      <c r="M83">
        <v>0.91</v>
      </c>
      <c r="N83" t="s">
        <v>47</v>
      </c>
      <c r="O83" t="s">
        <v>17</v>
      </c>
      <c r="P83">
        <v>0.97199999999999998</v>
      </c>
      <c r="Q83" t="s">
        <v>21</v>
      </c>
      <c r="R83">
        <v>4</v>
      </c>
    </row>
    <row r="84" spans="1:18">
      <c r="A84">
        <v>83</v>
      </c>
      <c r="B84">
        <v>291.08730000000003</v>
      </c>
      <c r="C84">
        <v>162.4</v>
      </c>
      <c r="D84">
        <v>-0.76228591680222701</v>
      </c>
      <c r="E84" t="s">
        <v>16</v>
      </c>
      <c r="F84" t="s">
        <v>17</v>
      </c>
      <c r="G84">
        <v>1</v>
      </c>
      <c r="H84" t="s">
        <v>18</v>
      </c>
      <c r="I84" t="s">
        <v>17</v>
      </c>
      <c r="J84">
        <v>0.93</v>
      </c>
      <c r="K84" t="s">
        <v>29</v>
      </c>
      <c r="L84" t="s">
        <v>17</v>
      </c>
      <c r="M84">
        <v>1</v>
      </c>
      <c r="N84" t="s">
        <v>47</v>
      </c>
      <c r="O84" t="s">
        <v>17</v>
      </c>
      <c r="P84">
        <v>0.997</v>
      </c>
      <c r="Q84" t="s">
        <v>21</v>
      </c>
      <c r="R84">
        <v>4</v>
      </c>
    </row>
    <row r="85" spans="1:18">
      <c r="A85">
        <v>84</v>
      </c>
      <c r="B85">
        <v>291.08699999999999</v>
      </c>
      <c r="C85">
        <v>168.6</v>
      </c>
      <c r="D85">
        <v>-0.76198625176772306</v>
      </c>
      <c r="E85" t="s">
        <v>16</v>
      </c>
      <c r="F85" t="s">
        <v>17</v>
      </c>
      <c r="G85">
        <v>1</v>
      </c>
      <c r="H85" t="s">
        <v>18</v>
      </c>
      <c r="I85" t="s">
        <v>17</v>
      </c>
      <c r="J85">
        <v>0.97</v>
      </c>
      <c r="K85" t="s">
        <v>29</v>
      </c>
      <c r="L85" t="s">
        <v>17</v>
      </c>
      <c r="M85">
        <v>1</v>
      </c>
      <c r="N85" t="s">
        <v>47</v>
      </c>
      <c r="O85" t="s">
        <v>17</v>
      </c>
      <c r="P85">
        <v>0.96799999999999997</v>
      </c>
      <c r="Q85" t="s">
        <v>21</v>
      </c>
      <c r="R85">
        <v>4</v>
      </c>
    </row>
    <row r="86" spans="1:18">
      <c r="A86">
        <v>85</v>
      </c>
      <c r="B86">
        <v>289.07159999999999</v>
      </c>
      <c r="C86">
        <v>157.1</v>
      </c>
      <c r="D86">
        <v>-0.74883655050382503</v>
      </c>
      <c r="E86" t="s">
        <v>16</v>
      </c>
      <c r="F86" t="s">
        <v>17</v>
      </c>
      <c r="G86">
        <v>1</v>
      </c>
      <c r="H86" t="s">
        <v>18</v>
      </c>
      <c r="I86" t="s">
        <v>17</v>
      </c>
      <c r="J86">
        <v>0.91</v>
      </c>
      <c r="K86" t="s">
        <v>29</v>
      </c>
      <c r="L86" t="s">
        <v>17</v>
      </c>
      <c r="M86">
        <v>0.91</v>
      </c>
      <c r="N86" t="s">
        <v>47</v>
      </c>
      <c r="O86" t="s">
        <v>17</v>
      </c>
      <c r="P86">
        <v>0.97699999999999998</v>
      </c>
      <c r="Q86" t="s">
        <v>21</v>
      </c>
      <c r="R86">
        <v>4</v>
      </c>
    </row>
    <row r="87" spans="1:18">
      <c r="A87">
        <v>86</v>
      </c>
      <c r="B87">
        <v>291.08760000000001</v>
      </c>
      <c r="C87">
        <v>162.4</v>
      </c>
      <c r="D87">
        <v>-0.76258558183661795</v>
      </c>
      <c r="E87" t="s">
        <v>16</v>
      </c>
      <c r="F87" t="s">
        <v>17</v>
      </c>
      <c r="G87">
        <v>1</v>
      </c>
      <c r="H87" t="s">
        <v>18</v>
      </c>
      <c r="I87" t="s">
        <v>17</v>
      </c>
      <c r="J87">
        <v>0.92</v>
      </c>
      <c r="K87" t="s">
        <v>29</v>
      </c>
      <c r="L87" t="s">
        <v>17</v>
      </c>
      <c r="M87">
        <v>1</v>
      </c>
      <c r="N87" t="s">
        <v>47</v>
      </c>
      <c r="O87" t="s">
        <v>17</v>
      </c>
      <c r="P87">
        <v>0.997</v>
      </c>
      <c r="Q87" t="s">
        <v>21</v>
      </c>
      <c r="R87">
        <v>4</v>
      </c>
    </row>
    <row r="88" spans="1:18">
      <c r="A88">
        <v>87</v>
      </c>
      <c r="B88">
        <v>291.0872</v>
      </c>
      <c r="C88">
        <v>168.4</v>
      </c>
      <c r="D88">
        <v>-0.76218602845739303</v>
      </c>
      <c r="E88" t="s">
        <v>16</v>
      </c>
      <c r="F88" t="s">
        <v>17</v>
      </c>
      <c r="G88">
        <v>1</v>
      </c>
      <c r="H88" t="s">
        <v>18</v>
      </c>
      <c r="I88" t="s">
        <v>17</v>
      </c>
      <c r="J88">
        <v>0.99</v>
      </c>
      <c r="K88" t="s">
        <v>29</v>
      </c>
      <c r="L88" t="s">
        <v>17</v>
      </c>
      <c r="M88">
        <v>1</v>
      </c>
      <c r="N88" t="s">
        <v>47</v>
      </c>
      <c r="O88" t="s">
        <v>17</v>
      </c>
      <c r="P88">
        <v>0.96799999999999997</v>
      </c>
      <c r="Q88" t="s">
        <v>21</v>
      </c>
      <c r="R88">
        <v>4</v>
      </c>
    </row>
    <row r="89" spans="1:18">
      <c r="A89">
        <v>88</v>
      </c>
      <c r="B89">
        <v>271.06099999999998</v>
      </c>
      <c r="C89">
        <v>163.80000000000001</v>
      </c>
      <c r="D89">
        <v>-0.75834632048292905</v>
      </c>
      <c r="E89" t="s">
        <v>16</v>
      </c>
      <c r="F89" t="s">
        <v>17</v>
      </c>
      <c r="G89">
        <v>1</v>
      </c>
      <c r="H89" t="s">
        <v>18</v>
      </c>
      <c r="I89" t="s">
        <v>17</v>
      </c>
      <c r="J89">
        <v>0.92</v>
      </c>
      <c r="K89" t="s">
        <v>29</v>
      </c>
      <c r="L89" t="s">
        <v>17</v>
      </c>
      <c r="M89">
        <v>0.98</v>
      </c>
      <c r="N89" t="s">
        <v>47</v>
      </c>
      <c r="O89" t="s">
        <v>17</v>
      </c>
      <c r="P89">
        <v>0.85699999999999998</v>
      </c>
      <c r="Q89" t="s">
        <v>21</v>
      </c>
      <c r="R89">
        <v>4</v>
      </c>
    </row>
    <row r="90" spans="1:18">
      <c r="A90">
        <v>89</v>
      </c>
      <c r="B90">
        <v>273.07650000000001</v>
      </c>
      <c r="C90">
        <v>163.80000000000001</v>
      </c>
      <c r="D90">
        <v>-0.77159591009171902</v>
      </c>
      <c r="E90" t="s">
        <v>16</v>
      </c>
      <c r="F90" t="s">
        <v>17</v>
      </c>
      <c r="G90">
        <v>1</v>
      </c>
      <c r="H90" t="s">
        <v>18</v>
      </c>
      <c r="I90" t="s">
        <v>17</v>
      </c>
      <c r="J90">
        <v>0.79</v>
      </c>
      <c r="K90" t="s">
        <v>29</v>
      </c>
      <c r="L90" t="s">
        <v>17</v>
      </c>
      <c r="M90">
        <v>1</v>
      </c>
      <c r="N90" t="s">
        <v>47</v>
      </c>
      <c r="O90" t="s">
        <v>17</v>
      </c>
      <c r="P90">
        <v>0.90100000000000002</v>
      </c>
      <c r="Q90" t="s">
        <v>21</v>
      </c>
      <c r="R90">
        <v>4</v>
      </c>
    </row>
    <row r="91" spans="1:18">
      <c r="A91">
        <v>90</v>
      </c>
      <c r="B91">
        <v>301.03339999999997</v>
      </c>
      <c r="C91">
        <v>164.6</v>
      </c>
      <c r="D91">
        <v>-0.69728057976789204</v>
      </c>
      <c r="E91" t="s">
        <v>16</v>
      </c>
      <c r="F91" t="s">
        <v>17</v>
      </c>
      <c r="G91">
        <v>1</v>
      </c>
      <c r="H91" t="s">
        <v>18</v>
      </c>
      <c r="I91" t="s">
        <v>17</v>
      </c>
      <c r="J91">
        <v>0.78</v>
      </c>
      <c r="K91" t="s">
        <v>29</v>
      </c>
      <c r="L91" t="s">
        <v>17</v>
      </c>
      <c r="M91">
        <v>1</v>
      </c>
      <c r="N91" t="s">
        <v>46</v>
      </c>
      <c r="O91" t="s">
        <v>17</v>
      </c>
      <c r="P91">
        <v>0.98799999999999999</v>
      </c>
      <c r="Q91" t="s">
        <v>21</v>
      </c>
      <c r="R91">
        <v>4</v>
      </c>
    </row>
    <row r="92" spans="1:18">
      <c r="A92">
        <v>91</v>
      </c>
      <c r="B92">
        <v>303.05070000000001</v>
      </c>
      <c r="C92">
        <v>167.7</v>
      </c>
      <c r="D92">
        <v>-0.71232815958319395</v>
      </c>
      <c r="E92" t="s">
        <v>16</v>
      </c>
      <c r="F92" t="s">
        <v>17</v>
      </c>
      <c r="G92">
        <v>1</v>
      </c>
      <c r="H92" t="s">
        <v>18</v>
      </c>
      <c r="I92" t="s">
        <v>17</v>
      </c>
      <c r="J92">
        <v>0.79</v>
      </c>
      <c r="K92" t="s">
        <v>29</v>
      </c>
      <c r="L92" t="s">
        <v>17</v>
      </c>
      <c r="M92">
        <v>1</v>
      </c>
      <c r="N92" t="s">
        <v>46</v>
      </c>
      <c r="O92" t="s">
        <v>17</v>
      </c>
      <c r="P92">
        <v>0.92400000000000004</v>
      </c>
      <c r="Q92" t="s">
        <v>21</v>
      </c>
      <c r="R92">
        <v>4</v>
      </c>
    </row>
    <row r="93" spans="1:18">
      <c r="A93">
        <v>92</v>
      </c>
      <c r="B93">
        <v>193.05070000000001</v>
      </c>
      <c r="C93">
        <v>139.69999999999999</v>
      </c>
      <c r="D93">
        <v>-0.83514887059243403</v>
      </c>
      <c r="E93" t="s">
        <v>16</v>
      </c>
      <c r="F93" t="s">
        <v>17</v>
      </c>
      <c r="G93">
        <v>1</v>
      </c>
      <c r="H93" t="s">
        <v>34</v>
      </c>
      <c r="I93" t="s">
        <v>23</v>
      </c>
      <c r="J93">
        <v>0.32</v>
      </c>
      <c r="K93" t="s">
        <v>35</v>
      </c>
      <c r="L93" t="s">
        <v>23</v>
      </c>
      <c r="M93">
        <v>0.82</v>
      </c>
      <c r="N93" t="s">
        <v>45</v>
      </c>
      <c r="O93" t="s">
        <v>23</v>
      </c>
      <c r="P93">
        <v>0.83</v>
      </c>
      <c r="Q93" t="s">
        <v>21</v>
      </c>
      <c r="R93">
        <v>1</v>
      </c>
    </row>
    <row r="94" spans="1:18">
      <c r="A94">
        <v>93</v>
      </c>
      <c r="B94">
        <v>444.16309999999999</v>
      </c>
      <c r="C94">
        <v>195.4</v>
      </c>
      <c r="D94">
        <v>-0.667168838672069</v>
      </c>
      <c r="E94" t="s">
        <v>16</v>
      </c>
      <c r="F94" t="s">
        <v>17</v>
      </c>
      <c r="G94">
        <v>1</v>
      </c>
      <c r="H94" t="s">
        <v>26</v>
      </c>
      <c r="I94" t="s">
        <v>17</v>
      </c>
      <c r="J94">
        <v>0.82</v>
      </c>
      <c r="K94" t="s">
        <v>27</v>
      </c>
      <c r="L94" t="s">
        <v>17</v>
      </c>
      <c r="M94">
        <v>1</v>
      </c>
      <c r="N94" t="s">
        <v>28</v>
      </c>
      <c r="O94" t="s">
        <v>17</v>
      </c>
      <c r="P94">
        <v>1</v>
      </c>
      <c r="Q94" t="s">
        <v>21</v>
      </c>
      <c r="R94">
        <v>4</v>
      </c>
    </row>
    <row r="95" spans="1:18">
      <c r="A95">
        <v>94</v>
      </c>
      <c r="B95">
        <v>456.16309999999999</v>
      </c>
      <c r="C95">
        <v>197.1</v>
      </c>
      <c r="D95">
        <v>-0.65377021565291205</v>
      </c>
      <c r="E95" t="s">
        <v>16</v>
      </c>
      <c r="F95" t="s">
        <v>17</v>
      </c>
      <c r="G95">
        <v>1</v>
      </c>
      <c r="H95" t="s">
        <v>31</v>
      </c>
      <c r="I95" t="s">
        <v>17</v>
      </c>
      <c r="J95">
        <v>0.8</v>
      </c>
      <c r="K95" t="s">
        <v>48</v>
      </c>
      <c r="L95" t="s">
        <v>17</v>
      </c>
      <c r="M95">
        <v>0.97</v>
      </c>
      <c r="N95" t="s">
        <v>49</v>
      </c>
      <c r="O95" t="s">
        <v>17</v>
      </c>
      <c r="P95">
        <v>0.98899999999999999</v>
      </c>
      <c r="Q95" t="s">
        <v>21</v>
      </c>
      <c r="R95">
        <v>4</v>
      </c>
    </row>
    <row r="96" spans="1:18">
      <c r="A96">
        <v>95</v>
      </c>
      <c r="B96">
        <v>458.17880000000002</v>
      </c>
      <c r="C96">
        <v>199.6</v>
      </c>
      <c r="D96">
        <v>-0.66721958195131503</v>
      </c>
      <c r="E96" t="s">
        <v>16</v>
      </c>
      <c r="F96" t="s">
        <v>17</v>
      </c>
      <c r="G96">
        <v>1</v>
      </c>
      <c r="H96" t="s">
        <v>31</v>
      </c>
      <c r="I96" t="s">
        <v>17</v>
      </c>
      <c r="J96">
        <v>0.93</v>
      </c>
      <c r="K96" t="s">
        <v>48</v>
      </c>
      <c r="L96" t="s">
        <v>17</v>
      </c>
      <c r="M96">
        <v>1</v>
      </c>
      <c r="N96" t="s">
        <v>49</v>
      </c>
      <c r="O96" t="s">
        <v>17</v>
      </c>
      <c r="P96">
        <v>0.99199999999999999</v>
      </c>
      <c r="Q96" t="s">
        <v>21</v>
      </c>
      <c r="R96">
        <v>4</v>
      </c>
    </row>
    <row r="97" spans="1:18">
      <c r="A97">
        <v>96</v>
      </c>
      <c r="B97">
        <v>346.05529999999999</v>
      </c>
      <c r="C97">
        <v>173.4</v>
      </c>
      <c r="D97">
        <v>-0.66891129095893098</v>
      </c>
      <c r="E97" t="s">
        <v>16</v>
      </c>
      <c r="F97" t="s">
        <v>17</v>
      </c>
      <c r="G97">
        <v>1</v>
      </c>
      <c r="H97" t="s">
        <v>22</v>
      </c>
      <c r="I97" t="s">
        <v>17</v>
      </c>
      <c r="J97">
        <v>0.89</v>
      </c>
      <c r="K97" t="s">
        <v>24</v>
      </c>
      <c r="L97" t="s">
        <v>17</v>
      </c>
      <c r="M97">
        <v>1</v>
      </c>
      <c r="N97" t="s">
        <v>25</v>
      </c>
      <c r="O97" t="s">
        <v>17</v>
      </c>
      <c r="P97">
        <v>0.57899999999999996</v>
      </c>
      <c r="Q97" t="s">
        <v>21</v>
      </c>
      <c r="R97">
        <v>4</v>
      </c>
    </row>
    <row r="98" spans="1:18">
      <c r="A98">
        <v>97</v>
      </c>
      <c r="B98">
        <v>115.0031</v>
      </c>
      <c r="C98">
        <v>132.30000000000001</v>
      </c>
      <c r="D98">
        <v>-0.87469306808849001</v>
      </c>
      <c r="E98" t="s">
        <v>16</v>
      </c>
      <c r="F98" t="s">
        <v>17</v>
      </c>
      <c r="G98">
        <v>1</v>
      </c>
      <c r="H98" t="s">
        <v>26</v>
      </c>
      <c r="I98" t="s">
        <v>17</v>
      </c>
      <c r="J98">
        <v>0.66</v>
      </c>
      <c r="K98" t="s">
        <v>27</v>
      </c>
      <c r="L98" t="s">
        <v>17</v>
      </c>
      <c r="M98">
        <v>1</v>
      </c>
      <c r="N98" t="s">
        <v>28</v>
      </c>
      <c r="O98" t="s">
        <v>23</v>
      </c>
      <c r="P98">
        <v>1</v>
      </c>
      <c r="Q98" t="s">
        <v>21</v>
      </c>
      <c r="R98">
        <v>3</v>
      </c>
    </row>
    <row r="99" spans="1:18">
      <c r="A99">
        <v>98</v>
      </c>
      <c r="B99">
        <v>191.01920000000001</v>
      </c>
      <c r="C99">
        <v>127.7</v>
      </c>
      <c r="D99">
        <v>-0.80591714581441898</v>
      </c>
      <c r="E99" t="s">
        <v>16</v>
      </c>
      <c r="F99" t="s">
        <v>17</v>
      </c>
      <c r="G99">
        <v>1</v>
      </c>
      <c r="H99" t="s">
        <v>26</v>
      </c>
      <c r="I99" t="s">
        <v>17</v>
      </c>
      <c r="J99">
        <v>0.9</v>
      </c>
      <c r="K99" t="s">
        <v>27</v>
      </c>
      <c r="L99" t="s">
        <v>17</v>
      </c>
      <c r="M99">
        <v>1</v>
      </c>
      <c r="N99" t="s">
        <v>50</v>
      </c>
      <c r="O99" t="s">
        <v>17</v>
      </c>
      <c r="P99">
        <v>0.88200000000000001</v>
      </c>
      <c r="Q99" t="s">
        <v>21</v>
      </c>
      <c r="R99">
        <v>4</v>
      </c>
    </row>
    <row r="100" spans="1:18">
      <c r="A100">
        <v>99</v>
      </c>
      <c r="B100">
        <v>306.07600000000002</v>
      </c>
      <c r="C100">
        <v>162.30000000000001</v>
      </c>
      <c r="D100">
        <v>-0.73425025506486497</v>
      </c>
      <c r="E100" t="s">
        <v>16</v>
      </c>
      <c r="F100" t="s">
        <v>17</v>
      </c>
      <c r="G100">
        <v>1</v>
      </c>
      <c r="H100" t="s">
        <v>26</v>
      </c>
      <c r="I100" t="s">
        <v>17</v>
      </c>
      <c r="J100">
        <v>0.83</v>
      </c>
      <c r="K100" t="s">
        <v>27</v>
      </c>
      <c r="L100" t="s">
        <v>17</v>
      </c>
      <c r="M100">
        <v>1</v>
      </c>
      <c r="N100" t="s">
        <v>28</v>
      </c>
      <c r="O100" t="s">
        <v>17</v>
      </c>
      <c r="P100">
        <v>1</v>
      </c>
      <c r="Q100" t="s">
        <v>21</v>
      </c>
      <c r="R100">
        <v>4</v>
      </c>
    </row>
    <row r="101" spans="1:18">
      <c r="A101">
        <v>100</v>
      </c>
      <c r="B101">
        <v>171.0059</v>
      </c>
      <c r="C101">
        <v>125.6</v>
      </c>
      <c r="D101">
        <v>-0.814963034320215</v>
      </c>
      <c r="E101" t="s">
        <v>16</v>
      </c>
      <c r="F101" t="s">
        <v>17</v>
      </c>
      <c r="G101">
        <v>1</v>
      </c>
      <c r="H101" t="s">
        <v>51</v>
      </c>
      <c r="I101" t="s">
        <v>17</v>
      </c>
      <c r="J101">
        <v>0.84</v>
      </c>
      <c r="K101" t="s">
        <v>52</v>
      </c>
      <c r="L101" t="s">
        <v>17</v>
      </c>
      <c r="M101">
        <v>0.96</v>
      </c>
      <c r="N101" t="s">
        <v>53</v>
      </c>
      <c r="O101" t="s">
        <v>17</v>
      </c>
      <c r="P101">
        <v>0.99</v>
      </c>
      <c r="Q101" t="s">
        <v>21</v>
      </c>
      <c r="R101">
        <v>4</v>
      </c>
    </row>
  </sheetData>
  <autoFilter ref="A1:R1" xr:uid="{00000000-0009-0000-0000-000000000000}">
    <sortState xmlns:xlrd2="http://schemas.microsoft.com/office/spreadsheetml/2017/richdata2" ref="A2:R101">
      <sortCondition ref="A1:A101"/>
    </sortState>
  </autoFilter>
  <sortState xmlns:xlrd2="http://schemas.microsoft.com/office/spreadsheetml/2017/richdata2" ref="A2:R101">
    <sortCondition descending="1" ref="F2:F101"/>
    <sortCondition descending="1" ref="I2:I101"/>
    <sortCondition descending="1" ref="L2:L101"/>
    <sortCondition descending="1" ref="O2:O101"/>
  </sortState>
  <mergeCells count="1">
    <mergeCell ref="T2:T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99"/>
  <sheetViews>
    <sheetView workbookViewId="0">
      <selection activeCell="A2" sqref="A2"/>
    </sheetView>
  </sheetViews>
  <sheetFormatPr baseColWidth="10" defaultRowHeight="16"/>
  <sheetData>
    <row r="1" spans="1:13">
      <c r="A1" s="3" t="s">
        <v>9</v>
      </c>
      <c r="B1" t="s">
        <v>57</v>
      </c>
      <c r="C1" t="s">
        <v>16</v>
      </c>
      <c r="D1" t="s">
        <v>58</v>
      </c>
    </row>
    <row r="2" spans="1:13">
      <c r="A2" t="s">
        <v>57</v>
      </c>
      <c r="B2">
        <v>33</v>
      </c>
      <c r="C2">
        <v>18</v>
      </c>
      <c r="D2">
        <v>0.35294117647058798</v>
      </c>
    </row>
    <row r="3" spans="1:13">
      <c r="A3" t="s">
        <v>16</v>
      </c>
      <c r="B3">
        <v>0</v>
      </c>
      <c r="C3">
        <v>2427</v>
      </c>
      <c r="D3">
        <v>0</v>
      </c>
    </row>
    <row r="5" spans="1:13">
      <c r="A5" s="3" t="s">
        <v>6</v>
      </c>
      <c r="B5" t="s">
        <v>34</v>
      </c>
      <c r="C5" t="s">
        <v>51</v>
      </c>
      <c r="D5" t="s">
        <v>59</v>
      </c>
      <c r="E5" t="s">
        <v>22</v>
      </c>
      <c r="F5" t="s">
        <v>26</v>
      </c>
      <c r="G5" t="s">
        <v>60</v>
      </c>
      <c r="H5" t="s">
        <v>38</v>
      </c>
      <c r="I5" t="s">
        <v>61</v>
      </c>
      <c r="J5" t="s">
        <v>62</v>
      </c>
      <c r="K5" t="s">
        <v>31</v>
      </c>
      <c r="L5" t="s">
        <v>18</v>
      </c>
      <c r="M5" t="s">
        <v>58</v>
      </c>
    </row>
    <row r="6" spans="1:13">
      <c r="A6" t="s">
        <v>34</v>
      </c>
      <c r="B6">
        <v>96</v>
      </c>
      <c r="C6">
        <v>8</v>
      </c>
      <c r="D6">
        <v>1</v>
      </c>
      <c r="E6">
        <v>1</v>
      </c>
      <c r="F6">
        <v>29</v>
      </c>
      <c r="G6">
        <v>0</v>
      </c>
      <c r="H6">
        <v>13</v>
      </c>
      <c r="I6">
        <v>0</v>
      </c>
      <c r="J6">
        <v>0</v>
      </c>
      <c r="K6">
        <v>13</v>
      </c>
      <c r="L6">
        <v>8</v>
      </c>
      <c r="M6">
        <v>0.43195266272189298</v>
      </c>
    </row>
    <row r="7" spans="1:13">
      <c r="A7" t="s">
        <v>51</v>
      </c>
      <c r="B7">
        <v>4</v>
      </c>
      <c r="C7">
        <v>798</v>
      </c>
      <c r="D7">
        <v>0</v>
      </c>
      <c r="E7">
        <v>0</v>
      </c>
      <c r="F7">
        <v>34</v>
      </c>
      <c r="G7">
        <v>0</v>
      </c>
      <c r="H7">
        <v>11</v>
      </c>
      <c r="I7">
        <v>2</v>
      </c>
      <c r="J7">
        <v>0</v>
      </c>
      <c r="K7">
        <v>8</v>
      </c>
      <c r="L7">
        <v>2</v>
      </c>
      <c r="M7">
        <v>7.1012805587892899E-2</v>
      </c>
    </row>
    <row r="8" spans="1:13">
      <c r="A8" t="s">
        <v>59</v>
      </c>
      <c r="B8">
        <v>1</v>
      </c>
      <c r="C8">
        <v>2</v>
      </c>
      <c r="D8">
        <v>42</v>
      </c>
      <c r="E8">
        <v>1</v>
      </c>
      <c r="F8">
        <v>1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0.17647058823529399</v>
      </c>
    </row>
    <row r="9" spans="1:13">
      <c r="A9" t="s">
        <v>22</v>
      </c>
      <c r="B9">
        <v>0</v>
      </c>
      <c r="C9">
        <v>1</v>
      </c>
      <c r="D9">
        <v>0</v>
      </c>
      <c r="E9">
        <v>145</v>
      </c>
      <c r="F9">
        <v>4</v>
      </c>
      <c r="G9">
        <v>0</v>
      </c>
      <c r="H9">
        <v>5</v>
      </c>
      <c r="I9">
        <v>0</v>
      </c>
      <c r="J9">
        <v>2</v>
      </c>
      <c r="K9">
        <v>1</v>
      </c>
      <c r="L9">
        <v>3</v>
      </c>
      <c r="M9">
        <v>9.9378881987577605E-2</v>
      </c>
    </row>
    <row r="10" spans="1:13">
      <c r="A10" t="s">
        <v>26</v>
      </c>
      <c r="B10">
        <v>15</v>
      </c>
      <c r="C10">
        <v>44</v>
      </c>
      <c r="D10">
        <v>0</v>
      </c>
      <c r="E10">
        <v>7</v>
      </c>
      <c r="F10">
        <v>417</v>
      </c>
      <c r="G10">
        <v>2</v>
      </c>
      <c r="H10">
        <v>46</v>
      </c>
      <c r="I10">
        <v>2</v>
      </c>
      <c r="J10">
        <v>1</v>
      </c>
      <c r="K10">
        <v>34</v>
      </c>
      <c r="L10">
        <v>6</v>
      </c>
      <c r="M10">
        <v>0.27351916376306601</v>
      </c>
    </row>
    <row r="11" spans="1:13">
      <c r="A11" t="s">
        <v>60</v>
      </c>
      <c r="B11">
        <v>1</v>
      </c>
      <c r="C11">
        <v>5</v>
      </c>
      <c r="D11">
        <v>0</v>
      </c>
      <c r="E11">
        <v>0</v>
      </c>
      <c r="F11">
        <v>3</v>
      </c>
      <c r="G11">
        <v>27</v>
      </c>
      <c r="H11">
        <v>1</v>
      </c>
      <c r="I11">
        <v>0</v>
      </c>
      <c r="J11">
        <v>0</v>
      </c>
      <c r="K11">
        <v>3</v>
      </c>
      <c r="L11">
        <v>1</v>
      </c>
      <c r="M11">
        <v>0.34146341463414598</v>
      </c>
    </row>
    <row r="12" spans="1:13">
      <c r="A12" t="s">
        <v>38</v>
      </c>
      <c r="B12">
        <v>13</v>
      </c>
      <c r="C12">
        <v>12</v>
      </c>
      <c r="D12">
        <v>0</v>
      </c>
      <c r="E12">
        <v>12</v>
      </c>
      <c r="F12">
        <v>52</v>
      </c>
      <c r="G12">
        <v>0</v>
      </c>
      <c r="H12">
        <v>170</v>
      </c>
      <c r="I12">
        <v>0</v>
      </c>
      <c r="J12">
        <v>0</v>
      </c>
      <c r="K12">
        <v>11</v>
      </c>
      <c r="L12">
        <v>6</v>
      </c>
      <c r="M12">
        <v>0.38405797101449302</v>
      </c>
    </row>
    <row r="13" spans="1:13">
      <c r="A13" t="s">
        <v>61</v>
      </c>
      <c r="B13">
        <v>0</v>
      </c>
      <c r="C13">
        <v>6</v>
      </c>
      <c r="D13">
        <v>0</v>
      </c>
      <c r="E13">
        <v>0</v>
      </c>
      <c r="F13">
        <v>6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</row>
    <row r="14" spans="1:13">
      <c r="A14" t="s">
        <v>62</v>
      </c>
      <c r="B14">
        <v>1</v>
      </c>
      <c r="C14">
        <v>0</v>
      </c>
      <c r="D14">
        <v>0</v>
      </c>
      <c r="E14">
        <v>0</v>
      </c>
      <c r="F14">
        <v>1</v>
      </c>
      <c r="G14">
        <v>0</v>
      </c>
      <c r="H14">
        <v>1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31</v>
      </c>
      <c r="B15">
        <v>9</v>
      </c>
      <c r="C15">
        <v>6</v>
      </c>
      <c r="D15">
        <v>0</v>
      </c>
      <c r="E15">
        <v>6</v>
      </c>
      <c r="F15">
        <v>58</v>
      </c>
      <c r="G15">
        <v>1</v>
      </c>
      <c r="H15">
        <v>18</v>
      </c>
      <c r="I15">
        <v>0</v>
      </c>
      <c r="J15">
        <v>0</v>
      </c>
      <c r="K15">
        <v>69</v>
      </c>
      <c r="L15">
        <v>0</v>
      </c>
      <c r="M15">
        <v>0.58682634730538896</v>
      </c>
    </row>
    <row r="16" spans="1:13">
      <c r="A16" t="s">
        <v>18</v>
      </c>
      <c r="B16">
        <v>6</v>
      </c>
      <c r="C16">
        <v>2</v>
      </c>
      <c r="D16">
        <v>0</v>
      </c>
      <c r="E16">
        <v>9</v>
      </c>
      <c r="F16">
        <v>12</v>
      </c>
      <c r="G16">
        <v>0</v>
      </c>
      <c r="H16">
        <v>2</v>
      </c>
      <c r="I16">
        <v>0</v>
      </c>
      <c r="J16">
        <v>0</v>
      </c>
      <c r="K16">
        <v>1</v>
      </c>
      <c r="L16">
        <v>74</v>
      </c>
      <c r="M16">
        <v>0.30188679245283001</v>
      </c>
    </row>
    <row r="18" spans="1:27">
      <c r="A18" s="3" t="s">
        <v>9</v>
      </c>
      <c r="B18" t="s">
        <v>63</v>
      </c>
      <c r="C18" t="s">
        <v>64</v>
      </c>
      <c r="D18" t="s">
        <v>35</v>
      </c>
      <c r="E18" t="s">
        <v>27</v>
      </c>
      <c r="F18" t="s">
        <v>65</v>
      </c>
      <c r="G18" t="s">
        <v>66</v>
      </c>
      <c r="H18" t="s">
        <v>67</v>
      </c>
      <c r="I18" t="s">
        <v>29</v>
      </c>
      <c r="J18" t="s">
        <v>52</v>
      </c>
      <c r="K18" t="s">
        <v>68</v>
      </c>
      <c r="L18" t="s">
        <v>32</v>
      </c>
      <c r="M18" t="s">
        <v>69</v>
      </c>
      <c r="N18" t="s">
        <v>70</v>
      </c>
      <c r="O18" t="s">
        <v>39</v>
      </c>
      <c r="P18" t="s">
        <v>71</v>
      </c>
      <c r="Q18" t="s">
        <v>72</v>
      </c>
      <c r="R18" t="s">
        <v>48</v>
      </c>
      <c r="S18" t="s">
        <v>24</v>
      </c>
      <c r="T18" t="s">
        <v>73</v>
      </c>
      <c r="U18" t="s">
        <v>74</v>
      </c>
      <c r="V18" t="s">
        <v>75</v>
      </c>
      <c r="W18" t="s">
        <v>76</v>
      </c>
      <c r="X18" t="s">
        <v>77</v>
      </c>
      <c r="Y18" t="s">
        <v>78</v>
      </c>
      <c r="Z18" t="s">
        <v>19</v>
      </c>
      <c r="AA18" t="s">
        <v>58</v>
      </c>
    </row>
    <row r="19" spans="1:27">
      <c r="A19" t="s">
        <v>63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 t="s">
        <v>64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4</v>
      </c>
      <c r="L20">
        <v>3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0</v>
      </c>
      <c r="T20">
        <v>0</v>
      </c>
      <c r="U20">
        <v>0</v>
      </c>
      <c r="V20">
        <v>0</v>
      </c>
      <c r="W20">
        <v>1</v>
      </c>
      <c r="X20">
        <v>0</v>
      </c>
      <c r="Y20">
        <v>0</v>
      </c>
      <c r="Z20">
        <v>0</v>
      </c>
      <c r="AA20">
        <v>0.83333333333333304</v>
      </c>
    </row>
    <row r="21" spans="1:27">
      <c r="A21" t="s">
        <v>35</v>
      </c>
      <c r="B21">
        <v>0</v>
      </c>
      <c r="C21">
        <v>0</v>
      </c>
      <c r="D21">
        <v>139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3</v>
      </c>
      <c r="R21">
        <v>0</v>
      </c>
      <c r="S21">
        <v>0</v>
      </c>
      <c r="T21">
        <v>4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4.7945205479451997E-2</v>
      </c>
    </row>
    <row r="22" spans="1:27">
      <c r="A22" t="s">
        <v>27</v>
      </c>
      <c r="B22">
        <v>0</v>
      </c>
      <c r="C22">
        <v>0</v>
      </c>
      <c r="D22">
        <v>0</v>
      </c>
      <c r="E22">
        <v>514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12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2.2813688212927698E-2</v>
      </c>
    </row>
    <row r="23" spans="1:27">
      <c r="A23" t="s">
        <v>65</v>
      </c>
      <c r="B23">
        <v>0</v>
      </c>
      <c r="C23">
        <v>1</v>
      </c>
      <c r="D23">
        <v>0</v>
      </c>
      <c r="E23">
        <v>0</v>
      </c>
      <c r="F23">
        <v>14</v>
      </c>
      <c r="G23">
        <v>0</v>
      </c>
      <c r="H23">
        <v>0</v>
      </c>
      <c r="I23">
        <v>0</v>
      </c>
      <c r="J23">
        <v>0</v>
      </c>
      <c r="K23">
        <v>5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1</v>
      </c>
      <c r="S23">
        <v>0</v>
      </c>
      <c r="T23">
        <v>0</v>
      </c>
      <c r="U23">
        <v>2</v>
      </c>
      <c r="V23">
        <v>0</v>
      </c>
      <c r="W23">
        <v>0</v>
      </c>
      <c r="X23">
        <v>0</v>
      </c>
      <c r="Y23">
        <v>0</v>
      </c>
      <c r="Z23">
        <v>0</v>
      </c>
      <c r="AA23">
        <v>0.41666666666666702</v>
      </c>
    </row>
    <row r="24" spans="1:27">
      <c r="A24" t="s">
        <v>66</v>
      </c>
      <c r="B24">
        <v>0</v>
      </c>
      <c r="C24">
        <v>0</v>
      </c>
      <c r="D24">
        <v>0</v>
      </c>
      <c r="E24">
        <v>0</v>
      </c>
      <c r="F24">
        <v>0</v>
      </c>
      <c r="G24">
        <v>185</v>
      </c>
      <c r="H24">
        <v>1</v>
      </c>
      <c r="I24">
        <v>0</v>
      </c>
      <c r="J24">
        <v>4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1</v>
      </c>
      <c r="Y24">
        <v>6</v>
      </c>
      <c r="Z24">
        <v>0</v>
      </c>
      <c r="AA24">
        <v>6.0913705583756299E-2</v>
      </c>
    </row>
    <row r="25" spans="1:27">
      <c r="A25" t="s">
        <v>67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1</v>
      </c>
    </row>
    <row r="26" spans="1:27">
      <c r="A26" t="s">
        <v>29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 t="s">
        <v>52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365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19</v>
      </c>
      <c r="Y27">
        <v>6</v>
      </c>
      <c r="Z27">
        <v>0</v>
      </c>
      <c r="AA27">
        <v>6.6496163682864498E-2</v>
      </c>
    </row>
    <row r="28" spans="1:27">
      <c r="A28" t="s">
        <v>68</v>
      </c>
      <c r="B28">
        <v>0</v>
      </c>
      <c r="C28">
        <v>3</v>
      </c>
      <c r="D28">
        <v>0</v>
      </c>
      <c r="E28">
        <v>0</v>
      </c>
      <c r="F28">
        <v>6</v>
      </c>
      <c r="G28">
        <v>0</v>
      </c>
      <c r="H28">
        <v>0</v>
      </c>
      <c r="I28">
        <v>0</v>
      </c>
      <c r="J28">
        <v>0</v>
      </c>
      <c r="K28">
        <v>17</v>
      </c>
      <c r="L28">
        <v>8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2</v>
      </c>
      <c r="V28">
        <v>0</v>
      </c>
      <c r="W28">
        <v>4</v>
      </c>
      <c r="X28">
        <v>0</v>
      </c>
      <c r="Y28">
        <v>0</v>
      </c>
      <c r="Z28">
        <v>0</v>
      </c>
      <c r="AA28">
        <v>0.57499999999999996</v>
      </c>
    </row>
    <row r="29" spans="1:27">
      <c r="A29" t="s">
        <v>32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</v>
      </c>
      <c r="L29">
        <v>32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0</v>
      </c>
      <c r="W29">
        <v>2</v>
      </c>
      <c r="X29">
        <v>0</v>
      </c>
      <c r="Y29">
        <v>0</v>
      </c>
      <c r="Z29">
        <v>0</v>
      </c>
      <c r="AA29">
        <v>0.25581395348837199</v>
      </c>
    </row>
    <row r="30" spans="1:27">
      <c r="A30" t="s">
        <v>69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 t="s">
        <v>70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>
      <c r="A32" t="s">
        <v>39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56">
      <c r="A33" t="s">
        <v>71</v>
      </c>
      <c r="B33">
        <v>0</v>
      </c>
      <c r="C33">
        <v>0</v>
      </c>
      <c r="D33">
        <v>0</v>
      </c>
      <c r="E33">
        <v>26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34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0.43333333333333302</v>
      </c>
    </row>
    <row r="34" spans="1:56">
      <c r="A34" t="s">
        <v>72</v>
      </c>
      <c r="B34">
        <v>0</v>
      </c>
      <c r="C34">
        <v>0</v>
      </c>
      <c r="D34">
        <v>5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8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0.38461538461538503</v>
      </c>
    </row>
    <row r="35" spans="1:56">
      <c r="A35" t="s">
        <v>48</v>
      </c>
      <c r="B35">
        <v>0</v>
      </c>
      <c r="C35">
        <v>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</v>
      </c>
      <c r="S35">
        <v>0</v>
      </c>
      <c r="T35">
        <v>0</v>
      </c>
      <c r="U35">
        <v>2</v>
      </c>
      <c r="V35">
        <v>0</v>
      </c>
      <c r="W35">
        <v>0</v>
      </c>
      <c r="X35">
        <v>0</v>
      </c>
      <c r="Y35">
        <v>0</v>
      </c>
      <c r="Z35">
        <v>0</v>
      </c>
      <c r="AA35">
        <v>0.3</v>
      </c>
    </row>
    <row r="36" spans="1:56">
      <c r="A36" t="s">
        <v>24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75</v>
      </c>
      <c r="T36">
        <v>0</v>
      </c>
      <c r="U36">
        <v>0</v>
      </c>
      <c r="V36">
        <v>16</v>
      </c>
      <c r="W36">
        <v>0</v>
      </c>
      <c r="X36">
        <v>0</v>
      </c>
      <c r="Y36">
        <v>0</v>
      </c>
      <c r="Z36">
        <v>0</v>
      </c>
      <c r="AA36">
        <v>0.175824175824176</v>
      </c>
    </row>
    <row r="37" spans="1:56">
      <c r="A37" t="s">
        <v>73</v>
      </c>
      <c r="B37">
        <v>0</v>
      </c>
      <c r="C37">
        <v>0</v>
      </c>
      <c r="D37">
        <v>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5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0.5</v>
      </c>
    </row>
    <row r="38" spans="1:56">
      <c r="A38" t="s">
        <v>74</v>
      </c>
      <c r="B38">
        <v>0</v>
      </c>
      <c r="C38">
        <v>0</v>
      </c>
      <c r="D38">
        <v>0</v>
      </c>
      <c r="E38">
        <v>0</v>
      </c>
      <c r="F38">
        <v>3</v>
      </c>
      <c r="G38">
        <v>0</v>
      </c>
      <c r="H38">
        <v>0</v>
      </c>
      <c r="I38">
        <v>0</v>
      </c>
      <c r="J38">
        <v>0</v>
      </c>
      <c r="K38">
        <v>6</v>
      </c>
      <c r="L38">
        <v>2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12</v>
      </c>
      <c r="V38">
        <v>0</v>
      </c>
      <c r="W38">
        <v>2</v>
      </c>
      <c r="X38">
        <v>0</v>
      </c>
      <c r="Y38">
        <v>0</v>
      </c>
      <c r="Z38">
        <v>0</v>
      </c>
      <c r="AA38">
        <v>0.52</v>
      </c>
    </row>
    <row r="39" spans="1:56">
      <c r="A39" t="s">
        <v>75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16</v>
      </c>
      <c r="T39">
        <v>0</v>
      </c>
      <c r="U39">
        <v>0</v>
      </c>
      <c r="V39">
        <v>54</v>
      </c>
      <c r="W39">
        <v>0</v>
      </c>
      <c r="X39">
        <v>0</v>
      </c>
      <c r="Y39">
        <v>0</v>
      </c>
      <c r="Z39">
        <v>0</v>
      </c>
      <c r="AA39">
        <v>0.22857142857142901</v>
      </c>
    </row>
    <row r="40" spans="1:56">
      <c r="A40" t="s">
        <v>76</v>
      </c>
      <c r="B40">
        <v>0</v>
      </c>
      <c r="C40">
        <v>0</v>
      </c>
      <c r="D40">
        <v>0</v>
      </c>
      <c r="E40">
        <v>0</v>
      </c>
      <c r="F40">
        <v>1</v>
      </c>
      <c r="G40">
        <v>0</v>
      </c>
      <c r="H40">
        <v>0</v>
      </c>
      <c r="I40">
        <v>0</v>
      </c>
      <c r="J40">
        <v>0</v>
      </c>
      <c r="K40">
        <v>2</v>
      </c>
      <c r="L40">
        <v>3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</v>
      </c>
      <c r="V40">
        <v>0</v>
      </c>
      <c r="W40">
        <v>5</v>
      </c>
      <c r="X40">
        <v>0</v>
      </c>
      <c r="Y40">
        <v>0</v>
      </c>
      <c r="Z40">
        <v>0</v>
      </c>
      <c r="AA40">
        <v>0.61538461538461497</v>
      </c>
    </row>
    <row r="41" spans="1:56">
      <c r="A41" t="s">
        <v>77</v>
      </c>
      <c r="B41">
        <v>0</v>
      </c>
      <c r="C41">
        <v>0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21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190</v>
      </c>
      <c r="Y41">
        <v>0</v>
      </c>
      <c r="Z41">
        <v>0</v>
      </c>
      <c r="AA41">
        <v>0.10377358490565999</v>
      </c>
    </row>
    <row r="42" spans="1:56">
      <c r="A42" t="s">
        <v>78</v>
      </c>
      <c r="B42">
        <v>0</v>
      </c>
      <c r="C42">
        <v>0</v>
      </c>
      <c r="D42">
        <v>0</v>
      </c>
      <c r="E42">
        <v>0</v>
      </c>
      <c r="F42">
        <v>0</v>
      </c>
      <c r="G42">
        <v>16</v>
      </c>
      <c r="H42">
        <v>0</v>
      </c>
      <c r="I42">
        <v>0</v>
      </c>
      <c r="J42">
        <v>2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39</v>
      </c>
      <c r="Z42">
        <v>0</v>
      </c>
      <c r="AA42">
        <v>0.31578947368421101</v>
      </c>
    </row>
    <row r="43" spans="1:56">
      <c r="A43" t="s">
        <v>19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6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14</v>
      </c>
      <c r="AA43">
        <v>0.3</v>
      </c>
    </row>
    <row r="45" spans="1:56">
      <c r="A45" s="3" t="s">
        <v>12</v>
      </c>
      <c r="B45" t="s">
        <v>42</v>
      </c>
      <c r="C45" t="s">
        <v>79</v>
      </c>
      <c r="D45" t="s">
        <v>80</v>
      </c>
      <c r="E45" t="s">
        <v>28</v>
      </c>
      <c r="F45" t="s">
        <v>36</v>
      </c>
      <c r="G45" t="s">
        <v>81</v>
      </c>
      <c r="H45" t="s">
        <v>82</v>
      </c>
      <c r="I45" t="s">
        <v>45</v>
      </c>
      <c r="J45" t="s">
        <v>83</v>
      </c>
      <c r="K45" t="s">
        <v>84</v>
      </c>
      <c r="L45" t="s">
        <v>85</v>
      </c>
      <c r="M45" t="s">
        <v>40</v>
      </c>
      <c r="N45" t="s">
        <v>41</v>
      </c>
      <c r="O45" t="s">
        <v>86</v>
      </c>
      <c r="P45" t="s">
        <v>87</v>
      </c>
      <c r="Q45" t="s">
        <v>88</v>
      </c>
      <c r="R45" t="s">
        <v>89</v>
      </c>
      <c r="S45" t="s">
        <v>90</v>
      </c>
      <c r="T45" t="s">
        <v>91</v>
      </c>
      <c r="U45" t="s">
        <v>92</v>
      </c>
      <c r="V45" t="s">
        <v>47</v>
      </c>
      <c r="W45" t="s">
        <v>46</v>
      </c>
      <c r="X45" t="s">
        <v>30</v>
      </c>
      <c r="Y45" t="s">
        <v>53</v>
      </c>
      <c r="Z45" t="s">
        <v>93</v>
      </c>
      <c r="AA45" t="s">
        <v>94</v>
      </c>
      <c r="AB45" t="s">
        <v>95</v>
      </c>
      <c r="AC45" t="s">
        <v>96</v>
      </c>
      <c r="AD45" t="s">
        <v>97</v>
      </c>
      <c r="AE45" t="s">
        <v>20</v>
      </c>
      <c r="AF45" t="s">
        <v>98</v>
      </c>
      <c r="AG45" t="s">
        <v>99</v>
      </c>
      <c r="AH45" t="s">
        <v>33</v>
      </c>
      <c r="AI45" t="s">
        <v>43</v>
      </c>
      <c r="AJ45" t="s">
        <v>100</v>
      </c>
      <c r="AK45" t="s">
        <v>37</v>
      </c>
      <c r="AL45" t="s">
        <v>101</v>
      </c>
      <c r="AM45" t="s">
        <v>102</v>
      </c>
      <c r="AN45" t="s">
        <v>103</v>
      </c>
      <c r="AO45" t="s">
        <v>49</v>
      </c>
      <c r="AP45" t="s">
        <v>104</v>
      </c>
      <c r="AQ45" t="s">
        <v>44</v>
      </c>
      <c r="AR45" t="s">
        <v>25</v>
      </c>
      <c r="AS45" t="s">
        <v>105</v>
      </c>
      <c r="AT45" t="s">
        <v>106</v>
      </c>
      <c r="AU45" t="s">
        <v>107</v>
      </c>
      <c r="AV45" t="s">
        <v>108</v>
      </c>
      <c r="AW45" t="s">
        <v>109</v>
      </c>
      <c r="AX45" t="s">
        <v>110</v>
      </c>
      <c r="AY45" t="s">
        <v>111</v>
      </c>
      <c r="AZ45" t="s">
        <v>112</v>
      </c>
      <c r="BA45" t="s">
        <v>113</v>
      </c>
      <c r="BB45" t="s">
        <v>50</v>
      </c>
      <c r="BC45" t="s">
        <v>114</v>
      </c>
      <c r="BD45" t="s">
        <v>58</v>
      </c>
    </row>
    <row r="46" spans="1:56">
      <c r="A46" t="s">
        <v>42</v>
      </c>
      <c r="B46">
        <v>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9</v>
      </c>
      <c r="N46">
        <v>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0.76923076923076905</v>
      </c>
    </row>
    <row r="47" spans="1:56">
      <c r="A47" t="s">
        <v>79</v>
      </c>
      <c r="B47">
        <v>0</v>
      </c>
      <c r="C47">
        <v>51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</row>
    <row r="48" spans="1:56">
      <c r="A48" t="s">
        <v>80</v>
      </c>
      <c r="B48">
        <v>0</v>
      </c>
      <c r="C48">
        <v>0</v>
      </c>
      <c r="D48">
        <v>15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3</v>
      </c>
      <c r="BA48">
        <v>0</v>
      </c>
      <c r="BB48">
        <v>0</v>
      </c>
      <c r="BC48">
        <v>0</v>
      </c>
      <c r="BD48">
        <v>0.16666666666666699</v>
      </c>
    </row>
    <row r="49" spans="1:56">
      <c r="A49" t="s">
        <v>28</v>
      </c>
      <c r="B49">
        <v>0</v>
      </c>
      <c r="C49">
        <v>0</v>
      </c>
      <c r="D49">
        <v>0</v>
      </c>
      <c r="E49">
        <v>511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2</v>
      </c>
      <c r="BC49">
        <v>0</v>
      </c>
      <c r="BD49">
        <v>3.8986354775828501E-3</v>
      </c>
    </row>
    <row r="50" spans="1:56">
      <c r="A50" t="s">
        <v>36</v>
      </c>
      <c r="B50">
        <v>0</v>
      </c>
      <c r="C50">
        <v>0</v>
      </c>
      <c r="D50">
        <v>0</v>
      </c>
      <c r="E50">
        <v>0</v>
      </c>
      <c r="F50">
        <v>8</v>
      </c>
      <c r="G50">
        <v>0</v>
      </c>
      <c r="H50">
        <v>2</v>
      </c>
      <c r="I50">
        <v>2</v>
      </c>
      <c r="J50">
        <v>0</v>
      </c>
      <c r="K50">
        <v>0</v>
      </c>
      <c r="L50">
        <v>2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0.42857142857142899</v>
      </c>
    </row>
    <row r="51" spans="1:56">
      <c r="A51" t="s">
        <v>81</v>
      </c>
      <c r="B51">
        <v>0</v>
      </c>
      <c r="C51">
        <v>0</v>
      </c>
      <c r="D51">
        <v>0</v>
      </c>
      <c r="E51">
        <v>0</v>
      </c>
      <c r="F51">
        <v>0</v>
      </c>
      <c r="G51">
        <v>13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</row>
    <row r="52" spans="1:56">
      <c r="A52" t="s">
        <v>82</v>
      </c>
      <c r="B52">
        <v>0</v>
      </c>
      <c r="C52">
        <v>0</v>
      </c>
      <c r="D52">
        <v>0</v>
      </c>
      <c r="E52">
        <v>0</v>
      </c>
      <c r="F52">
        <v>2</v>
      </c>
      <c r="G52">
        <v>0</v>
      </c>
      <c r="H52">
        <v>13</v>
      </c>
      <c r="I52">
        <v>5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0.35</v>
      </c>
    </row>
    <row r="53" spans="1:56">
      <c r="A53" t="s">
        <v>45</v>
      </c>
      <c r="B53">
        <v>0</v>
      </c>
      <c r="C53">
        <v>0</v>
      </c>
      <c r="D53">
        <v>0</v>
      </c>
      <c r="E53">
        <v>0</v>
      </c>
      <c r="F53">
        <v>1</v>
      </c>
      <c r="G53">
        <v>0</v>
      </c>
      <c r="H53">
        <v>3</v>
      </c>
      <c r="I53">
        <v>31</v>
      </c>
      <c r="J53">
        <v>0</v>
      </c>
      <c r="K53">
        <v>0</v>
      </c>
      <c r="L53">
        <v>2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0.162162162162162</v>
      </c>
    </row>
    <row r="54" spans="1:56">
      <c r="A54" t="s">
        <v>83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</row>
    <row r="55" spans="1:56">
      <c r="A55" t="s">
        <v>84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21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2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8.6956521739130502E-2</v>
      </c>
    </row>
    <row r="56" spans="1:56">
      <c r="A56" t="s">
        <v>85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44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2.2222222222222299E-2</v>
      </c>
    </row>
    <row r="57" spans="1:56">
      <c r="A57" t="s">
        <v>40</v>
      </c>
      <c r="B57">
        <v>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246</v>
      </c>
      <c r="N57">
        <v>3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1.9920318725099601E-2</v>
      </c>
    </row>
    <row r="58" spans="1:56">
      <c r="A58" t="s">
        <v>41</v>
      </c>
      <c r="B58">
        <v>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6</v>
      </c>
      <c r="N58">
        <v>4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0.66666666666666696</v>
      </c>
    </row>
    <row r="59" spans="1:56">
      <c r="A59" t="s">
        <v>86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30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2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6.25E-2</v>
      </c>
    </row>
    <row r="60" spans="1:56">
      <c r="A60" t="s">
        <v>87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2</v>
      </c>
      <c r="AQ60">
        <v>0</v>
      </c>
      <c r="AR60">
        <v>5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0.5</v>
      </c>
    </row>
    <row r="61" spans="1:56">
      <c r="A61" t="s">
        <v>88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44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2.2222222222222299E-2</v>
      </c>
    </row>
    <row r="62" spans="1:56">
      <c r="A62" t="s">
        <v>89</v>
      </c>
      <c r="B62">
        <v>0</v>
      </c>
      <c r="C62">
        <v>0</v>
      </c>
      <c r="D62">
        <v>0</v>
      </c>
      <c r="E62">
        <v>0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0</v>
      </c>
      <c r="Q62">
        <v>0</v>
      </c>
      <c r="R62">
        <v>28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6.6666666666666693E-2</v>
      </c>
    </row>
    <row r="63" spans="1:56">
      <c r="A63" t="s">
        <v>90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41</v>
      </c>
      <c r="T63">
        <v>0</v>
      </c>
      <c r="U63">
        <v>6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0.12765957446808501</v>
      </c>
    </row>
    <row r="64" spans="1:56">
      <c r="A64" t="s">
        <v>91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1</v>
      </c>
      <c r="T64">
        <v>7</v>
      </c>
      <c r="U64">
        <v>6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0.5</v>
      </c>
    </row>
    <row r="65" spans="1:56">
      <c r="A65" t="s">
        <v>92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7</v>
      </c>
      <c r="T65">
        <v>3</v>
      </c>
      <c r="U65">
        <v>107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2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0.10084033613445401</v>
      </c>
    </row>
    <row r="66" spans="1:56">
      <c r="A66" t="s">
        <v>47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12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3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0.2</v>
      </c>
    </row>
    <row r="67" spans="1:56">
      <c r="A67" t="s">
        <v>46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13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1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7.1428571428571397E-2</v>
      </c>
    </row>
    <row r="68" spans="1:56">
      <c r="A68" t="s">
        <v>30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42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</row>
    <row r="69" spans="1:56">
      <c r="A69" t="s">
        <v>53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14</v>
      </c>
      <c r="Z69">
        <v>1</v>
      </c>
      <c r="AA69">
        <v>11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0.46153846153846201</v>
      </c>
    </row>
    <row r="70" spans="1:56">
      <c r="A70" t="s">
        <v>93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101</v>
      </c>
      <c r="AA70">
        <v>34</v>
      </c>
      <c r="AB70">
        <v>4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0.27338129496402902</v>
      </c>
    </row>
    <row r="71" spans="1:56">
      <c r="A71" t="s">
        <v>94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3</v>
      </c>
      <c r="Z71">
        <v>38</v>
      </c>
      <c r="AA71">
        <v>92</v>
      </c>
      <c r="AB71">
        <v>11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0.36111111111111099</v>
      </c>
    </row>
    <row r="72" spans="1:56">
      <c r="A72" t="s">
        <v>95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7</v>
      </c>
      <c r="AA72">
        <v>11</v>
      </c>
      <c r="AB72">
        <v>64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0.219512195121951</v>
      </c>
    </row>
    <row r="73" spans="1:56">
      <c r="A73" t="s">
        <v>96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84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25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0.22935779816513799</v>
      </c>
    </row>
    <row r="74" spans="1:56">
      <c r="A74" t="s">
        <v>97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2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13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0.133333333333333</v>
      </c>
    </row>
    <row r="75" spans="1:56">
      <c r="A75" t="s">
        <v>20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20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</row>
    <row r="76" spans="1:56">
      <c r="A76" t="s">
        <v>98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16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4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0.2</v>
      </c>
    </row>
    <row r="77" spans="1:56">
      <c r="A77" t="s">
        <v>99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12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</row>
    <row r="78" spans="1:56">
      <c r="A78" t="s">
        <v>33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8</v>
      </c>
      <c r="AI78">
        <v>1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2</v>
      </c>
      <c r="BD78">
        <v>0.27272727272727298</v>
      </c>
    </row>
    <row r="79" spans="1:56">
      <c r="A79" t="s">
        <v>43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1</v>
      </c>
      <c r="AI79">
        <v>17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1</v>
      </c>
      <c r="BD79">
        <v>0.105263157894737</v>
      </c>
    </row>
    <row r="80" spans="1:56">
      <c r="A80" t="s">
        <v>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4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15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0.21052631578947401</v>
      </c>
    </row>
    <row r="81" spans="1:56">
      <c r="A81" t="s">
        <v>37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6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9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0.4</v>
      </c>
    </row>
    <row r="82" spans="1:56">
      <c r="A82" t="s">
        <v>101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62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</row>
    <row r="83" spans="1:56">
      <c r="A83" t="s">
        <v>102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39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32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0.54929577464788704</v>
      </c>
    </row>
    <row r="84" spans="1:56">
      <c r="A84" t="s">
        <v>103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3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6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5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0.64285714285714302</v>
      </c>
    </row>
    <row r="85" spans="1:56">
      <c r="A85" t="s">
        <v>49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10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</row>
    <row r="86" spans="1:56">
      <c r="A86" t="s">
        <v>104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3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1</v>
      </c>
      <c r="AQ86">
        <v>0</v>
      </c>
      <c r="AR86">
        <v>15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0.94736842105263197</v>
      </c>
    </row>
    <row r="87" spans="1:56">
      <c r="A87" t="s">
        <v>44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1</v>
      </c>
      <c r="AQ87">
        <v>15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6.25E-2</v>
      </c>
    </row>
    <row r="88" spans="1:56">
      <c r="A88" t="s">
        <v>25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4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10</v>
      </c>
      <c r="AQ88">
        <v>2</v>
      </c>
      <c r="AR88">
        <v>26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0.38095238095238099</v>
      </c>
    </row>
    <row r="89" spans="1:56">
      <c r="A89" t="s">
        <v>105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40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</row>
    <row r="90" spans="1:56">
      <c r="A90" t="s">
        <v>106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7</v>
      </c>
      <c r="AU90">
        <v>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0.3</v>
      </c>
    </row>
    <row r="91" spans="1:56">
      <c r="A91" t="s">
        <v>107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3</v>
      </c>
      <c r="AU91">
        <v>12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0.2</v>
      </c>
    </row>
    <row r="92" spans="1:56">
      <c r="A92" t="s">
        <v>108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11</v>
      </c>
      <c r="AW92">
        <v>0</v>
      </c>
      <c r="AX92">
        <v>5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0.3125</v>
      </c>
    </row>
    <row r="93" spans="1:56">
      <c r="A93" t="s">
        <v>109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24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</row>
    <row r="94" spans="1:56">
      <c r="A94" t="s">
        <v>110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6</v>
      </c>
      <c r="AW94">
        <v>0</v>
      </c>
      <c r="AX94">
        <v>24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0.2</v>
      </c>
    </row>
    <row r="95" spans="1:56">
      <c r="A95" t="s">
        <v>111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24</v>
      </c>
      <c r="AZ95">
        <v>0</v>
      </c>
      <c r="BA95">
        <v>0</v>
      </c>
      <c r="BB95">
        <v>0</v>
      </c>
      <c r="BC95">
        <v>0</v>
      </c>
      <c r="BD95">
        <v>0</v>
      </c>
    </row>
    <row r="96" spans="1:56">
      <c r="A96" t="s">
        <v>112</v>
      </c>
      <c r="B96">
        <v>0</v>
      </c>
      <c r="C96">
        <v>0</v>
      </c>
      <c r="D96">
        <v>5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18</v>
      </c>
      <c r="BA96">
        <v>0</v>
      </c>
      <c r="BB96">
        <v>0</v>
      </c>
      <c r="BC96">
        <v>0</v>
      </c>
      <c r="BD96">
        <v>0.217391304347826</v>
      </c>
    </row>
    <row r="97" spans="1:56">
      <c r="A97" t="s">
        <v>113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13</v>
      </c>
      <c r="BB97">
        <v>0</v>
      </c>
      <c r="BC97">
        <v>0</v>
      </c>
      <c r="BD97">
        <v>0</v>
      </c>
    </row>
    <row r="98" spans="1:56">
      <c r="A98" t="s">
        <v>50</v>
      </c>
      <c r="B98">
        <v>0</v>
      </c>
      <c r="C98">
        <v>0</v>
      </c>
      <c r="D98">
        <v>0</v>
      </c>
      <c r="E98">
        <v>10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3</v>
      </c>
      <c r="BC98">
        <v>0</v>
      </c>
      <c r="BD98">
        <v>0.76923076923076905</v>
      </c>
    </row>
    <row r="99" spans="1:56">
      <c r="A99" t="s">
        <v>114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3</v>
      </c>
      <c r="AI99">
        <v>4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6</v>
      </c>
      <c r="BD99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1"/>
  <sheetViews>
    <sheetView topLeftCell="A43" workbookViewId="0">
      <selection activeCell="A27" sqref="A27:E27"/>
    </sheetView>
  </sheetViews>
  <sheetFormatPr baseColWidth="10" defaultRowHeight="16"/>
  <sheetData>
    <row r="1" spans="1:5">
      <c r="A1" s="4" t="s">
        <v>55</v>
      </c>
      <c r="B1" s="4" t="s">
        <v>3</v>
      </c>
      <c r="C1" s="4" t="s">
        <v>115</v>
      </c>
      <c r="D1" s="4" t="s">
        <v>57</v>
      </c>
      <c r="E1" s="4" t="s">
        <v>16</v>
      </c>
    </row>
    <row r="2" spans="1:5">
      <c r="A2" s="4">
        <v>1</v>
      </c>
      <c r="B2" s="4" t="s">
        <v>16</v>
      </c>
      <c r="C2" s="4" t="s">
        <v>16</v>
      </c>
      <c r="D2" s="4">
        <v>5.8000000000000003E-2</v>
      </c>
      <c r="E2" s="4">
        <v>0.94199999999999995</v>
      </c>
    </row>
    <row r="3" spans="1:5">
      <c r="A3" s="4">
        <v>2</v>
      </c>
      <c r="B3" s="4" t="s">
        <v>16</v>
      </c>
      <c r="C3" s="4" t="s">
        <v>16</v>
      </c>
      <c r="D3" s="4">
        <v>2E-3</v>
      </c>
      <c r="E3" s="4">
        <v>0.998</v>
      </c>
    </row>
    <row r="4" spans="1:5">
      <c r="A4" s="4">
        <v>3</v>
      </c>
      <c r="B4" s="4" t="s">
        <v>16</v>
      </c>
      <c r="C4" s="4" t="s">
        <v>16</v>
      </c>
      <c r="D4" s="4">
        <v>4.0000000000000001E-3</v>
      </c>
      <c r="E4" s="4">
        <v>0.996</v>
      </c>
    </row>
    <row r="5" spans="1:5">
      <c r="A5" s="4">
        <v>4</v>
      </c>
      <c r="B5" s="4" t="s">
        <v>16</v>
      </c>
      <c r="C5" s="4" t="s">
        <v>16</v>
      </c>
      <c r="D5" s="4">
        <v>0</v>
      </c>
      <c r="E5" s="4">
        <v>1</v>
      </c>
    </row>
    <row r="6" spans="1:5">
      <c r="A6" s="4">
        <v>5</v>
      </c>
      <c r="B6" s="4" t="s">
        <v>16</v>
      </c>
      <c r="C6" s="4" t="s">
        <v>16</v>
      </c>
      <c r="D6" s="4">
        <v>0</v>
      </c>
      <c r="E6" s="4">
        <v>1</v>
      </c>
    </row>
    <row r="7" spans="1:5">
      <c r="A7" s="4">
        <v>6</v>
      </c>
      <c r="B7" s="4" t="s">
        <v>16</v>
      </c>
      <c r="C7" s="4" t="s">
        <v>16</v>
      </c>
      <c r="D7" s="4">
        <v>4.0000000000000001E-3</v>
      </c>
      <c r="E7" s="4">
        <v>0.996</v>
      </c>
    </row>
    <row r="8" spans="1:5">
      <c r="A8" s="4">
        <v>7</v>
      </c>
      <c r="B8" s="4" t="s">
        <v>16</v>
      </c>
      <c r="C8" s="4" t="s">
        <v>16</v>
      </c>
      <c r="D8" s="4">
        <v>4.0000000000000001E-3</v>
      </c>
      <c r="E8" s="4">
        <v>0.996</v>
      </c>
    </row>
    <row r="9" spans="1:5">
      <c r="A9" s="4">
        <v>8</v>
      </c>
      <c r="B9" s="4" t="s">
        <v>16</v>
      </c>
      <c r="C9" s="4" t="s">
        <v>16</v>
      </c>
      <c r="D9" s="4">
        <v>2E-3</v>
      </c>
      <c r="E9" s="4">
        <v>0.998</v>
      </c>
    </row>
    <row r="10" spans="1:5">
      <c r="A10" s="4">
        <v>9</v>
      </c>
      <c r="B10" s="4" t="s">
        <v>16</v>
      </c>
      <c r="C10" s="4" t="s">
        <v>16</v>
      </c>
      <c r="D10" s="4">
        <v>0</v>
      </c>
      <c r="E10" s="4">
        <v>1</v>
      </c>
    </row>
    <row r="11" spans="1:5">
      <c r="A11" s="4">
        <v>10</v>
      </c>
      <c r="B11" s="4" t="s">
        <v>16</v>
      </c>
      <c r="C11" s="4" t="s">
        <v>16</v>
      </c>
      <c r="D11" s="4">
        <v>0</v>
      </c>
      <c r="E11" s="4">
        <v>1</v>
      </c>
    </row>
    <row r="12" spans="1:5">
      <c r="A12" s="4">
        <v>11</v>
      </c>
      <c r="B12" s="4" t="s">
        <v>16</v>
      </c>
      <c r="C12" s="4" t="s">
        <v>16</v>
      </c>
      <c r="D12" s="4">
        <v>2E-3</v>
      </c>
      <c r="E12" s="4">
        <v>0.998</v>
      </c>
    </row>
    <row r="13" spans="1:5">
      <c r="A13" s="4">
        <v>12</v>
      </c>
      <c r="B13" s="4" t="s">
        <v>16</v>
      </c>
      <c r="C13" s="4" t="s">
        <v>16</v>
      </c>
      <c r="D13" s="4">
        <v>4.0000000000000001E-3</v>
      </c>
      <c r="E13" s="4">
        <v>0.996</v>
      </c>
    </row>
    <row r="14" spans="1:5">
      <c r="A14" s="4">
        <v>13</v>
      </c>
      <c r="B14" s="4" t="s">
        <v>16</v>
      </c>
      <c r="C14" s="4" t="s">
        <v>16</v>
      </c>
      <c r="D14" s="4">
        <v>4.0000000000000001E-3</v>
      </c>
      <c r="E14" s="4">
        <v>0.996</v>
      </c>
    </row>
    <row r="15" spans="1:5">
      <c r="A15" s="4">
        <v>14</v>
      </c>
      <c r="B15" s="4" t="s">
        <v>16</v>
      </c>
      <c r="C15" s="4" t="s">
        <v>16</v>
      </c>
      <c r="D15" s="4">
        <v>4.0000000000000001E-3</v>
      </c>
      <c r="E15" s="4">
        <v>0.996</v>
      </c>
    </row>
    <row r="16" spans="1:5">
      <c r="A16" s="4">
        <v>15</v>
      </c>
      <c r="B16" s="4" t="s">
        <v>16</v>
      </c>
      <c r="C16" s="4" t="s">
        <v>16</v>
      </c>
      <c r="D16" s="4">
        <v>0</v>
      </c>
      <c r="E16" s="4">
        <v>1</v>
      </c>
    </row>
    <row r="17" spans="1:5">
      <c r="A17" s="4">
        <v>16</v>
      </c>
      <c r="B17" s="4" t="s">
        <v>16</v>
      </c>
      <c r="C17" s="4" t="s">
        <v>16</v>
      </c>
      <c r="D17" s="4">
        <v>0</v>
      </c>
      <c r="E17" s="4">
        <v>1</v>
      </c>
    </row>
    <row r="18" spans="1:5">
      <c r="A18" s="4">
        <v>17</v>
      </c>
      <c r="B18" s="4" t="s">
        <v>16</v>
      </c>
      <c r="C18" s="4" t="s">
        <v>16</v>
      </c>
      <c r="D18" s="4">
        <v>0</v>
      </c>
      <c r="E18" s="4">
        <v>1</v>
      </c>
    </row>
    <row r="19" spans="1:5">
      <c r="A19" s="4">
        <v>18</v>
      </c>
      <c r="B19" s="4" t="s">
        <v>16</v>
      </c>
      <c r="C19" s="4" t="s">
        <v>16</v>
      </c>
      <c r="D19" s="4">
        <v>0</v>
      </c>
      <c r="E19" s="4">
        <v>1</v>
      </c>
    </row>
    <row r="20" spans="1:5">
      <c r="A20" s="4">
        <v>19</v>
      </c>
      <c r="B20" s="4" t="s">
        <v>16</v>
      </c>
      <c r="C20" s="4" t="s">
        <v>16</v>
      </c>
      <c r="D20" s="4">
        <v>0</v>
      </c>
      <c r="E20" s="4">
        <v>1</v>
      </c>
    </row>
    <row r="21" spans="1:5">
      <c r="A21" s="4">
        <v>20</v>
      </c>
      <c r="B21" s="4" t="s">
        <v>16</v>
      </c>
      <c r="C21" s="4" t="s">
        <v>16</v>
      </c>
      <c r="D21" s="4">
        <v>0</v>
      </c>
      <c r="E21" s="4">
        <v>1</v>
      </c>
    </row>
    <row r="22" spans="1:5">
      <c r="A22" s="4">
        <v>21</v>
      </c>
      <c r="B22" s="4" t="s">
        <v>16</v>
      </c>
      <c r="C22" s="4" t="s">
        <v>16</v>
      </c>
      <c r="D22" s="4">
        <v>0</v>
      </c>
      <c r="E22" s="4">
        <v>1</v>
      </c>
    </row>
    <row r="23" spans="1:5">
      <c r="A23" s="4">
        <v>22</v>
      </c>
      <c r="B23" s="4" t="s">
        <v>16</v>
      </c>
      <c r="C23" s="4" t="s">
        <v>16</v>
      </c>
      <c r="D23" s="4">
        <v>0</v>
      </c>
      <c r="E23" s="4">
        <v>1</v>
      </c>
    </row>
    <row r="24" spans="1:5">
      <c r="A24" s="4">
        <v>23</v>
      </c>
      <c r="B24" s="4" t="s">
        <v>16</v>
      </c>
      <c r="C24" s="4" t="s">
        <v>16</v>
      </c>
      <c r="D24" s="4">
        <v>0</v>
      </c>
      <c r="E24" s="4">
        <v>1</v>
      </c>
    </row>
    <row r="25" spans="1:5">
      <c r="A25" s="4">
        <v>24</v>
      </c>
      <c r="B25" s="4" t="s">
        <v>16</v>
      </c>
      <c r="C25" s="4" t="s">
        <v>16</v>
      </c>
      <c r="D25" s="4">
        <v>0</v>
      </c>
      <c r="E25" s="4">
        <v>1</v>
      </c>
    </row>
    <row r="26" spans="1:5">
      <c r="A26" s="4">
        <v>25</v>
      </c>
      <c r="B26" s="4" t="s">
        <v>16</v>
      </c>
      <c r="C26" s="4" t="s">
        <v>16</v>
      </c>
      <c r="D26" s="4">
        <v>0</v>
      </c>
      <c r="E26" s="4">
        <v>1</v>
      </c>
    </row>
    <row r="27" spans="1:5">
      <c r="A27" s="10">
        <v>26</v>
      </c>
      <c r="B27" s="10" t="s">
        <v>16</v>
      </c>
      <c r="C27" s="10" t="s">
        <v>16</v>
      </c>
      <c r="D27" s="10">
        <v>0</v>
      </c>
      <c r="E27" s="10">
        <v>1</v>
      </c>
    </row>
    <row r="28" spans="1:5">
      <c r="A28" s="4">
        <v>27</v>
      </c>
      <c r="B28" s="4" t="s">
        <v>16</v>
      </c>
      <c r="C28" s="4" t="s">
        <v>16</v>
      </c>
      <c r="D28" s="4">
        <v>0</v>
      </c>
      <c r="E28" s="4">
        <v>1</v>
      </c>
    </row>
    <row r="29" spans="1:5">
      <c r="A29" s="4">
        <v>28</v>
      </c>
      <c r="B29" s="4" t="s">
        <v>16</v>
      </c>
      <c r="C29" s="4" t="s">
        <v>16</v>
      </c>
      <c r="D29" s="4">
        <v>0</v>
      </c>
      <c r="E29" s="4">
        <v>1</v>
      </c>
    </row>
    <row r="30" spans="1:5">
      <c r="A30" s="4">
        <v>29</v>
      </c>
      <c r="B30" s="4" t="s">
        <v>16</v>
      </c>
      <c r="C30" s="4" t="s">
        <v>16</v>
      </c>
      <c r="D30" s="4">
        <v>0</v>
      </c>
      <c r="E30" s="4">
        <v>1</v>
      </c>
    </row>
    <row r="31" spans="1:5">
      <c r="A31" s="4">
        <v>30</v>
      </c>
      <c r="B31" s="4" t="s">
        <v>16</v>
      </c>
      <c r="C31" s="4" t="s">
        <v>16</v>
      </c>
      <c r="D31" s="4">
        <v>0</v>
      </c>
      <c r="E31" s="4">
        <v>1</v>
      </c>
    </row>
    <row r="32" spans="1:5">
      <c r="A32" s="4">
        <v>31</v>
      </c>
      <c r="B32" s="4" t="s">
        <v>16</v>
      </c>
      <c r="C32" s="4" t="s">
        <v>16</v>
      </c>
      <c r="D32" s="4">
        <v>0</v>
      </c>
      <c r="E32" s="4">
        <v>1</v>
      </c>
    </row>
    <row r="33" spans="1:5">
      <c r="A33" s="4">
        <v>32</v>
      </c>
      <c r="B33" s="4" t="s">
        <v>16</v>
      </c>
      <c r="C33" s="4" t="s">
        <v>16</v>
      </c>
      <c r="D33" s="4">
        <v>0</v>
      </c>
      <c r="E33" s="4">
        <v>1</v>
      </c>
    </row>
    <row r="34" spans="1:5">
      <c r="A34" s="4">
        <v>33</v>
      </c>
      <c r="B34" s="4" t="s">
        <v>16</v>
      </c>
      <c r="C34" s="4" t="s">
        <v>16</v>
      </c>
      <c r="D34" s="4">
        <v>0</v>
      </c>
      <c r="E34" s="4">
        <v>1</v>
      </c>
    </row>
    <row r="35" spans="1:5">
      <c r="A35" s="4">
        <v>34</v>
      </c>
      <c r="B35" s="4" t="s">
        <v>16</v>
      </c>
      <c r="C35" s="4" t="s">
        <v>16</v>
      </c>
      <c r="D35" s="4">
        <v>0</v>
      </c>
      <c r="E35" s="4">
        <v>1</v>
      </c>
    </row>
    <row r="36" spans="1:5">
      <c r="A36" s="4">
        <v>35</v>
      </c>
      <c r="B36" s="4" t="s">
        <v>16</v>
      </c>
      <c r="C36" s="4" t="s">
        <v>16</v>
      </c>
      <c r="D36" s="4">
        <v>0</v>
      </c>
      <c r="E36" s="4">
        <v>1</v>
      </c>
    </row>
    <row r="37" spans="1:5">
      <c r="A37" s="4">
        <v>36</v>
      </c>
      <c r="B37" s="4" t="s">
        <v>16</v>
      </c>
      <c r="C37" s="4" t="s">
        <v>16</v>
      </c>
      <c r="D37" s="4">
        <v>0</v>
      </c>
      <c r="E37" s="4">
        <v>1</v>
      </c>
    </row>
    <row r="38" spans="1:5">
      <c r="A38" s="4">
        <v>37</v>
      </c>
      <c r="B38" s="4" t="s">
        <v>16</v>
      </c>
      <c r="C38" s="4" t="s">
        <v>16</v>
      </c>
      <c r="D38" s="4">
        <v>0</v>
      </c>
      <c r="E38" s="4">
        <v>1</v>
      </c>
    </row>
    <row r="39" spans="1:5">
      <c r="A39" s="4">
        <v>38</v>
      </c>
      <c r="B39" s="4" t="s">
        <v>16</v>
      </c>
      <c r="C39" s="4" t="s">
        <v>16</v>
      </c>
      <c r="D39" s="4">
        <v>0</v>
      </c>
      <c r="E39" s="4">
        <v>1</v>
      </c>
    </row>
    <row r="40" spans="1:5">
      <c r="A40" s="4">
        <v>39</v>
      </c>
      <c r="B40" s="4" t="s">
        <v>16</v>
      </c>
      <c r="C40" s="4" t="s">
        <v>16</v>
      </c>
      <c r="D40" s="4">
        <v>0</v>
      </c>
      <c r="E40" s="4">
        <v>1</v>
      </c>
    </row>
    <row r="41" spans="1:5">
      <c r="A41" s="4">
        <v>40</v>
      </c>
      <c r="B41" s="4" t="s">
        <v>16</v>
      </c>
      <c r="C41" s="4" t="s">
        <v>16</v>
      </c>
      <c r="D41" s="4">
        <v>0</v>
      </c>
      <c r="E41" s="4">
        <v>1</v>
      </c>
    </row>
    <row r="42" spans="1:5">
      <c r="A42" s="4">
        <v>41</v>
      </c>
      <c r="B42" s="4" t="s">
        <v>16</v>
      </c>
      <c r="C42" s="4" t="s">
        <v>16</v>
      </c>
      <c r="D42" s="4">
        <v>0</v>
      </c>
      <c r="E42" s="4">
        <v>1</v>
      </c>
    </row>
    <row r="43" spans="1:5">
      <c r="A43" s="4">
        <v>42</v>
      </c>
      <c r="B43" s="4" t="s">
        <v>16</v>
      </c>
      <c r="C43" s="4" t="s">
        <v>16</v>
      </c>
      <c r="D43" s="4">
        <v>0</v>
      </c>
      <c r="E43" s="4">
        <v>1</v>
      </c>
    </row>
    <row r="44" spans="1:5">
      <c r="A44" s="4">
        <v>43</v>
      </c>
      <c r="B44" s="4" t="s">
        <v>16</v>
      </c>
      <c r="C44" s="4" t="s">
        <v>16</v>
      </c>
      <c r="D44" s="4">
        <v>0</v>
      </c>
      <c r="E44" s="4">
        <v>1</v>
      </c>
    </row>
    <row r="45" spans="1:5">
      <c r="A45" s="4">
        <v>44</v>
      </c>
      <c r="B45" s="4" t="s">
        <v>16</v>
      </c>
      <c r="C45" s="4" t="s">
        <v>16</v>
      </c>
      <c r="D45" s="4">
        <v>0</v>
      </c>
      <c r="E45" s="4">
        <v>1</v>
      </c>
    </row>
    <row r="46" spans="1:5">
      <c r="A46" s="4">
        <v>45</v>
      </c>
      <c r="B46" s="4" t="s">
        <v>16</v>
      </c>
      <c r="C46" s="4" t="s">
        <v>16</v>
      </c>
      <c r="D46" s="4">
        <v>0</v>
      </c>
      <c r="E46" s="4">
        <v>1</v>
      </c>
    </row>
    <row r="47" spans="1:5">
      <c r="A47" s="4">
        <v>46</v>
      </c>
      <c r="B47" s="4" t="s">
        <v>16</v>
      </c>
      <c r="C47" s="4" t="s">
        <v>16</v>
      </c>
      <c r="D47" s="4">
        <v>0</v>
      </c>
      <c r="E47" s="4">
        <v>1</v>
      </c>
    </row>
    <row r="48" spans="1:5">
      <c r="A48" s="4">
        <v>47</v>
      </c>
      <c r="B48" s="4" t="s">
        <v>16</v>
      </c>
      <c r="C48" s="4" t="s">
        <v>16</v>
      </c>
      <c r="D48" s="4">
        <v>0</v>
      </c>
      <c r="E48" s="4">
        <v>1</v>
      </c>
    </row>
    <row r="49" spans="1:5">
      <c r="A49" s="4">
        <v>48</v>
      </c>
      <c r="B49" s="4" t="s">
        <v>16</v>
      </c>
      <c r="C49" s="4" t="s">
        <v>16</v>
      </c>
      <c r="D49" s="4">
        <v>0</v>
      </c>
      <c r="E49" s="4">
        <v>1</v>
      </c>
    </row>
    <row r="50" spans="1:5">
      <c r="A50" s="4">
        <v>49</v>
      </c>
      <c r="B50" s="4" t="s">
        <v>16</v>
      </c>
      <c r="C50" s="4" t="s">
        <v>16</v>
      </c>
      <c r="D50" s="4">
        <v>0</v>
      </c>
      <c r="E50" s="4">
        <v>1</v>
      </c>
    </row>
    <row r="51" spans="1:5">
      <c r="A51" s="4">
        <v>50</v>
      </c>
      <c r="B51" s="4" t="s">
        <v>16</v>
      </c>
      <c r="C51" s="4" t="s">
        <v>16</v>
      </c>
      <c r="D51" s="4">
        <v>0</v>
      </c>
      <c r="E51" s="4">
        <v>1</v>
      </c>
    </row>
    <row r="52" spans="1:5">
      <c r="A52" s="4">
        <v>51</v>
      </c>
      <c r="B52" s="4" t="s">
        <v>16</v>
      </c>
      <c r="C52" s="4" t="s">
        <v>16</v>
      </c>
      <c r="D52" s="4">
        <v>0</v>
      </c>
      <c r="E52" s="4">
        <v>1</v>
      </c>
    </row>
    <row r="53" spans="1:5">
      <c r="A53" s="4">
        <v>52</v>
      </c>
      <c r="B53" s="4" t="s">
        <v>16</v>
      </c>
      <c r="C53" s="4" t="s">
        <v>16</v>
      </c>
      <c r="D53" s="4">
        <v>0</v>
      </c>
      <c r="E53" s="4">
        <v>1</v>
      </c>
    </row>
    <row r="54" spans="1:5">
      <c r="A54" s="4">
        <v>53</v>
      </c>
      <c r="B54" s="4" t="s">
        <v>16</v>
      </c>
      <c r="C54" s="4" t="s">
        <v>16</v>
      </c>
      <c r="D54" s="4">
        <v>0</v>
      </c>
      <c r="E54" s="4">
        <v>1</v>
      </c>
    </row>
    <row r="55" spans="1:5">
      <c r="A55" s="4">
        <v>54</v>
      </c>
      <c r="B55" s="4" t="s">
        <v>16</v>
      </c>
      <c r="C55" s="4" t="s">
        <v>16</v>
      </c>
      <c r="D55" s="4">
        <v>0</v>
      </c>
      <c r="E55" s="4">
        <v>1</v>
      </c>
    </row>
    <row r="56" spans="1:5">
      <c r="A56" s="4">
        <v>55</v>
      </c>
      <c r="B56" s="4" t="s">
        <v>16</v>
      </c>
      <c r="C56" s="4" t="s">
        <v>16</v>
      </c>
      <c r="D56" s="4">
        <v>0</v>
      </c>
      <c r="E56" s="4">
        <v>1</v>
      </c>
    </row>
    <row r="57" spans="1:5">
      <c r="A57" s="4">
        <v>56</v>
      </c>
      <c r="B57" s="4" t="s">
        <v>16</v>
      </c>
      <c r="C57" s="4" t="s">
        <v>16</v>
      </c>
      <c r="D57" s="4">
        <v>0</v>
      </c>
      <c r="E57" s="4">
        <v>1</v>
      </c>
    </row>
    <row r="58" spans="1:5">
      <c r="A58" s="4">
        <v>57</v>
      </c>
      <c r="B58" s="4" t="s">
        <v>16</v>
      </c>
      <c r="C58" s="4" t="s">
        <v>16</v>
      </c>
      <c r="D58" s="4">
        <v>0</v>
      </c>
      <c r="E58" s="4">
        <v>1</v>
      </c>
    </row>
    <row r="59" spans="1:5">
      <c r="A59" s="4">
        <v>58</v>
      </c>
      <c r="B59" s="4" t="s">
        <v>16</v>
      </c>
      <c r="C59" s="4" t="s">
        <v>16</v>
      </c>
      <c r="D59" s="4">
        <v>0</v>
      </c>
      <c r="E59" s="4">
        <v>1</v>
      </c>
    </row>
    <row r="60" spans="1:5">
      <c r="A60" s="4">
        <v>59</v>
      </c>
      <c r="B60" s="4" t="s">
        <v>16</v>
      </c>
      <c r="C60" s="4" t="s">
        <v>16</v>
      </c>
      <c r="D60" s="4">
        <v>0</v>
      </c>
      <c r="E60" s="4">
        <v>1</v>
      </c>
    </row>
    <row r="61" spans="1:5">
      <c r="A61" s="4">
        <v>60</v>
      </c>
      <c r="B61" s="4" t="s">
        <v>16</v>
      </c>
      <c r="C61" s="4" t="s">
        <v>16</v>
      </c>
      <c r="D61" s="4">
        <v>0</v>
      </c>
      <c r="E61" s="4">
        <v>1</v>
      </c>
    </row>
    <row r="62" spans="1:5">
      <c r="A62" s="4">
        <v>61</v>
      </c>
      <c r="B62" s="4" t="s">
        <v>16</v>
      </c>
      <c r="C62" s="4" t="s">
        <v>16</v>
      </c>
      <c r="D62" s="4">
        <v>0</v>
      </c>
      <c r="E62" s="4">
        <v>1</v>
      </c>
    </row>
    <row r="63" spans="1:5">
      <c r="A63" s="4">
        <v>62</v>
      </c>
      <c r="B63" s="4" t="s">
        <v>16</v>
      </c>
      <c r="C63" s="4" t="s">
        <v>16</v>
      </c>
      <c r="D63" s="4">
        <v>0</v>
      </c>
      <c r="E63" s="4">
        <v>1</v>
      </c>
    </row>
    <row r="64" spans="1:5">
      <c r="A64" s="7">
        <v>63</v>
      </c>
      <c r="B64" s="7" t="s">
        <v>16</v>
      </c>
      <c r="C64" s="7" t="s">
        <v>16</v>
      </c>
      <c r="D64" s="7">
        <v>0</v>
      </c>
      <c r="E64" s="7">
        <v>1</v>
      </c>
    </row>
    <row r="65" spans="1:5">
      <c r="A65" s="4">
        <v>64</v>
      </c>
      <c r="B65" s="4" t="s">
        <v>16</v>
      </c>
      <c r="C65" s="4" t="s">
        <v>16</v>
      </c>
      <c r="D65" s="4">
        <v>0</v>
      </c>
      <c r="E65" s="4">
        <v>1</v>
      </c>
    </row>
    <row r="66" spans="1:5">
      <c r="A66" s="4">
        <v>65</v>
      </c>
      <c r="B66" s="4" t="s">
        <v>16</v>
      </c>
      <c r="C66" s="4" t="s">
        <v>16</v>
      </c>
      <c r="D66" s="4">
        <v>0</v>
      </c>
      <c r="E66" s="4">
        <v>1</v>
      </c>
    </row>
    <row r="67" spans="1:5">
      <c r="A67" s="4">
        <v>66</v>
      </c>
      <c r="B67" s="4" t="s">
        <v>16</v>
      </c>
      <c r="C67" s="4" t="s">
        <v>16</v>
      </c>
      <c r="D67" s="4">
        <v>0</v>
      </c>
      <c r="E67" s="4">
        <v>1</v>
      </c>
    </row>
    <row r="68" spans="1:5">
      <c r="A68" s="4">
        <v>67</v>
      </c>
      <c r="B68" s="4" t="s">
        <v>16</v>
      </c>
      <c r="C68" s="4" t="s">
        <v>16</v>
      </c>
      <c r="D68" s="4">
        <v>0</v>
      </c>
      <c r="E68" s="4">
        <v>1</v>
      </c>
    </row>
    <row r="69" spans="1:5">
      <c r="A69" s="4">
        <v>68</v>
      </c>
      <c r="B69" s="4" t="s">
        <v>16</v>
      </c>
      <c r="C69" s="4" t="s">
        <v>16</v>
      </c>
      <c r="D69" s="4">
        <v>0</v>
      </c>
      <c r="E69" s="4">
        <v>1</v>
      </c>
    </row>
    <row r="70" spans="1:5">
      <c r="A70" s="4">
        <v>69</v>
      </c>
      <c r="B70" s="4" t="s">
        <v>16</v>
      </c>
      <c r="C70" s="4" t="s">
        <v>16</v>
      </c>
      <c r="D70" s="4">
        <v>0</v>
      </c>
      <c r="E70" s="4">
        <v>1</v>
      </c>
    </row>
    <row r="71" spans="1:5">
      <c r="A71" s="4">
        <v>70</v>
      </c>
      <c r="B71" s="4" t="s">
        <v>16</v>
      </c>
      <c r="C71" s="4" t="s">
        <v>16</v>
      </c>
      <c r="D71" s="4">
        <v>1.4E-2</v>
      </c>
      <c r="E71" s="4">
        <v>0.98599999999999999</v>
      </c>
    </row>
    <row r="72" spans="1:5">
      <c r="A72" s="4">
        <v>71</v>
      </c>
      <c r="B72" s="4" t="s">
        <v>16</v>
      </c>
      <c r="C72" s="4" t="s">
        <v>16</v>
      </c>
      <c r="D72" s="4">
        <v>0</v>
      </c>
      <c r="E72" s="4">
        <v>1</v>
      </c>
    </row>
    <row r="73" spans="1:5">
      <c r="A73" s="4">
        <v>72</v>
      </c>
      <c r="B73" s="4" t="s">
        <v>16</v>
      </c>
      <c r="C73" s="4" t="s">
        <v>16</v>
      </c>
      <c r="D73" s="4">
        <v>0</v>
      </c>
      <c r="E73" s="4">
        <v>1</v>
      </c>
    </row>
    <row r="74" spans="1:5">
      <c r="A74" s="4">
        <v>73</v>
      </c>
      <c r="B74" s="4" t="s">
        <v>16</v>
      </c>
      <c r="C74" s="4" t="s">
        <v>16</v>
      </c>
      <c r="D74" s="4">
        <v>0</v>
      </c>
      <c r="E74" s="4">
        <v>1</v>
      </c>
    </row>
    <row r="75" spans="1:5">
      <c r="A75" s="4">
        <v>74</v>
      </c>
      <c r="B75" s="4" t="s">
        <v>16</v>
      </c>
      <c r="C75" s="4" t="s">
        <v>16</v>
      </c>
      <c r="D75" s="4">
        <v>0</v>
      </c>
      <c r="E75" s="4">
        <v>1</v>
      </c>
    </row>
    <row r="76" spans="1:5">
      <c r="A76" s="4">
        <v>75</v>
      </c>
      <c r="B76" s="4" t="s">
        <v>16</v>
      </c>
      <c r="C76" s="4" t="s">
        <v>16</v>
      </c>
      <c r="D76" s="4">
        <v>0</v>
      </c>
      <c r="E76" s="4">
        <v>1</v>
      </c>
    </row>
    <row r="77" spans="1:5">
      <c r="A77" s="4">
        <v>76</v>
      </c>
      <c r="B77" s="4" t="s">
        <v>16</v>
      </c>
      <c r="C77" s="4" t="s">
        <v>16</v>
      </c>
      <c r="D77" s="4">
        <v>0</v>
      </c>
      <c r="E77" s="4">
        <v>1</v>
      </c>
    </row>
    <row r="78" spans="1:5">
      <c r="A78" s="4">
        <v>77</v>
      </c>
      <c r="B78" s="4" t="s">
        <v>16</v>
      </c>
      <c r="C78" s="4" t="s">
        <v>16</v>
      </c>
      <c r="D78" s="4">
        <v>0</v>
      </c>
      <c r="E78" s="4">
        <v>1</v>
      </c>
    </row>
    <row r="79" spans="1:5">
      <c r="A79" s="4">
        <v>78</v>
      </c>
      <c r="B79" s="4" t="s">
        <v>16</v>
      </c>
      <c r="C79" s="4" t="s">
        <v>16</v>
      </c>
      <c r="D79" s="4">
        <v>0</v>
      </c>
      <c r="E79" s="4">
        <v>1</v>
      </c>
    </row>
    <row r="80" spans="1:5">
      <c r="A80" s="4">
        <v>79</v>
      </c>
      <c r="B80" s="4" t="s">
        <v>16</v>
      </c>
      <c r="C80" s="4" t="s">
        <v>16</v>
      </c>
      <c r="D80" s="4">
        <v>0</v>
      </c>
      <c r="E80" s="4">
        <v>1</v>
      </c>
    </row>
    <row r="81" spans="1:5">
      <c r="A81" s="4">
        <v>80</v>
      </c>
      <c r="B81" s="4" t="s">
        <v>16</v>
      </c>
      <c r="C81" s="4" t="s">
        <v>16</v>
      </c>
      <c r="D81" s="4">
        <v>0</v>
      </c>
      <c r="E81" s="4">
        <v>1</v>
      </c>
    </row>
    <row r="82" spans="1:5">
      <c r="A82" s="4">
        <v>81</v>
      </c>
      <c r="B82" s="4" t="s">
        <v>16</v>
      </c>
      <c r="C82" s="4" t="s">
        <v>16</v>
      </c>
      <c r="D82" s="4">
        <v>0</v>
      </c>
      <c r="E82" s="4">
        <v>1</v>
      </c>
    </row>
    <row r="83" spans="1:5">
      <c r="A83" s="4">
        <v>82</v>
      </c>
      <c r="B83" s="4" t="s">
        <v>16</v>
      </c>
      <c r="C83" s="4" t="s">
        <v>16</v>
      </c>
      <c r="D83" s="4">
        <v>0</v>
      </c>
      <c r="E83" s="4">
        <v>1</v>
      </c>
    </row>
    <row r="84" spans="1:5">
      <c r="A84" s="4">
        <v>83</v>
      </c>
      <c r="B84" s="4" t="s">
        <v>16</v>
      </c>
      <c r="C84" s="4" t="s">
        <v>16</v>
      </c>
      <c r="D84" s="4">
        <v>0</v>
      </c>
      <c r="E84" s="4">
        <v>1</v>
      </c>
    </row>
    <row r="85" spans="1:5">
      <c r="A85" s="4">
        <v>84</v>
      </c>
      <c r="B85" s="4" t="s">
        <v>16</v>
      </c>
      <c r="C85" s="4" t="s">
        <v>16</v>
      </c>
      <c r="D85" s="4">
        <v>0</v>
      </c>
      <c r="E85" s="4">
        <v>1</v>
      </c>
    </row>
    <row r="86" spans="1:5">
      <c r="A86" s="4">
        <v>85</v>
      </c>
      <c r="B86" s="4" t="s">
        <v>16</v>
      </c>
      <c r="C86" s="4" t="s">
        <v>16</v>
      </c>
      <c r="D86" s="4">
        <v>0</v>
      </c>
      <c r="E86" s="4">
        <v>1</v>
      </c>
    </row>
    <row r="87" spans="1:5">
      <c r="A87" s="4">
        <v>86</v>
      </c>
      <c r="B87" s="4" t="s">
        <v>16</v>
      </c>
      <c r="C87" s="4" t="s">
        <v>16</v>
      </c>
      <c r="D87" s="4">
        <v>0</v>
      </c>
      <c r="E87" s="4">
        <v>1</v>
      </c>
    </row>
    <row r="88" spans="1:5">
      <c r="A88" s="4">
        <v>87</v>
      </c>
      <c r="B88" s="4" t="s">
        <v>16</v>
      </c>
      <c r="C88" s="4" t="s">
        <v>16</v>
      </c>
      <c r="D88" s="4">
        <v>0</v>
      </c>
      <c r="E88" s="4">
        <v>1</v>
      </c>
    </row>
    <row r="89" spans="1:5">
      <c r="A89" s="4">
        <v>88</v>
      </c>
      <c r="B89" s="4" t="s">
        <v>16</v>
      </c>
      <c r="C89" s="4" t="s">
        <v>16</v>
      </c>
      <c r="D89" s="4">
        <v>0</v>
      </c>
      <c r="E89" s="4">
        <v>1</v>
      </c>
    </row>
    <row r="90" spans="1:5">
      <c r="A90" s="4">
        <v>89</v>
      </c>
      <c r="B90" s="4" t="s">
        <v>16</v>
      </c>
      <c r="C90" s="4" t="s">
        <v>16</v>
      </c>
      <c r="D90" s="4">
        <v>0</v>
      </c>
      <c r="E90" s="4">
        <v>1</v>
      </c>
    </row>
    <row r="91" spans="1:5">
      <c r="A91" s="4">
        <v>90</v>
      </c>
      <c r="B91" s="4" t="s">
        <v>16</v>
      </c>
      <c r="C91" s="4" t="s">
        <v>16</v>
      </c>
      <c r="D91" s="4">
        <v>0</v>
      </c>
      <c r="E91" s="4">
        <v>1</v>
      </c>
    </row>
    <row r="92" spans="1:5">
      <c r="A92" s="4">
        <v>91</v>
      </c>
      <c r="B92" s="4" t="s">
        <v>16</v>
      </c>
      <c r="C92" s="4" t="s">
        <v>16</v>
      </c>
      <c r="D92" s="4">
        <v>0</v>
      </c>
      <c r="E92" s="4">
        <v>1</v>
      </c>
    </row>
    <row r="93" spans="1:5">
      <c r="A93" s="4">
        <v>92</v>
      </c>
      <c r="B93" s="4" t="s">
        <v>16</v>
      </c>
      <c r="C93" s="4" t="s">
        <v>16</v>
      </c>
      <c r="D93" s="4">
        <v>0</v>
      </c>
      <c r="E93" s="4">
        <v>1</v>
      </c>
    </row>
    <row r="94" spans="1:5">
      <c r="A94" s="4">
        <v>93</v>
      </c>
      <c r="B94" s="4" t="s">
        <v>16</v>
      </c>
      <c r="C94" s="4" t="s">
        <v>16</v>
      </c>
      <c r="D94" s="4">
        <v>0</v>
      </c>
      <c r="E94" s="4">
        <v>1</v>
      </c>
    </row>
    <row r="95" spans="1:5">
      <c r="A95" s="4">
        <v>94</v>
      </c>
      <c r="B95" s="4" t="s">
        <v>16</v>
      </c>
      <c r="C95" s="4" t="s">
        <v>16</v>
      </c>
      <c r="D95" s="4">
        <v>0</v>
      </c>
      <c r="E95" s="4">
        <v>1</v>
      </c>
    </row>
    <row r="96" spans="1:5">
      <c r="A96" s="4">
        <v>95</v>
      </c>
      <c r="B96" s="4" t="s">
        <v>16</v>
      </c>
      <c r="C96" s="4" t="s">
        <v>16</v>
      </c>
      <c r="D96" s="4">
        <v>0</v>
      </c>
      <c r="E96" s="4">
        <v>1</v>
      </c>
    </row>
    <row r="97" spans="1:5">
      <c r="A97" s="4">
        <v>96</v>
      </c>
      <c r="B97" s="4" t="s">
        <v>16</v>
      </c>
      <c r="C97" s="4" t="s">
        <v>16</v>
      </c>
      <c r="D97" s="4">
        <v>0</v>
      </c>
      <c r="E97" s="4">
        <v>1</v>
      </c>
    </row>
    <row r="98" spans="1:5">
      <c r="A98" s="4">
        <v>97</v>
      </c>
      <c r="B98" s="4" t="s">
        <v>16</v>
      </c>
      <c r="C98" s="4" t="s">
        <v>16</v>
      </c>
      <c r="D98" s="4">
        <v>0</v>
      </c>
      <c r="E98" s="4">
        <v>1</v>
      </c>
    </row>
    <row r="99" spans="1:5">
      <c r="A99" s="4">
        <v>98</v>
      </c>
      <c r="B99" s="4" t="s">
        <v>16</v>
      </c>
      <c r="C99" s="4" t="s">
        <v>16</v>
      </c>
      <c r="D99" s="4">
        <v>0</v>
      </c>
      <c r="E99" s="4">
        <v>1</v>
      </c>
    </row>
    <row r="100" spans="1:5">
      <c r="A100" s="4">
        <v>99</v>
      </c>
      <c r="B100" s="4" t="s">
        <v>16</v>
      </c>
      <c r="C100" s="4" t="s">
        <v>16</v>
      </c>
      <c r="D100" s="4">
        <v>0</v>
      </c>
      <c r="E100" s="4">
        <v>1</v>
      </c>
    </row>
    <row r="101" spans="1:5">
      <c r="A101" s="4">
        <v>100</v>
      </c>
      <c r="B101" s="4" t="s">
        <v>16</v>
      </c>
      <c r="C101" s="4" t="s">
        <v>16</v>
      </c>
      <c r="D101" s="4">
        <v>0</v>
      </c>
      <c r="E101" s="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101"/>
  <sheetViews>
    <sheetView workbookViewId="0">
      <pane ySplit="1" topLeftCell="A9" activePane="bottomLeft" state="frozen"/>
      <selection pane="bottomLeft" activeCell="B27" sqref="B27"/>
    </sheetView>
  </sheetViews>
  <sheetFormatPr baseColWidth="10" defaultRowHeight="16"/>
  <sheetData>
    <row r="1" spans="1:14">
      <c r="A1" t="s">
        <v>55</v>
      </c>
      <c r="B1" t="s">
        <v>6</v>
      </c>
      <c r="C1" t="s">
        <v>116</v>
      </c>
      <c r="D1" t="s">
        <v>34</v>
      </c>
      <c r="E1" t="s">
        <v>51</v>
      </c>
      <c r="F1" t="s">
        <v>59</v>
      </c>
      <c r="G1" t="s">
        <v>22</v>
      </c>
      <c r="H1" t="s">
        <v>26</v>
      </c>
      <c r="I1" t="s">
        <v>60</v>
      </c>
      <c r="J1" t="s">
        <v>38</v>
      </c>
      <c r="K1" t="s">
        <v>61</v>
      </c>
      <c r="L1" t="s">
        <v>62</v>
      </c>
      <c r="M1" t="s">
        <v>31</v>
      </c>
      <c r="N1" t="s">
        <v>18</v>
      </c>
    </row>
    <row r="2" spans="1:14">
      <c r="A2">
        <v>1</v>
      </c>
      <c r="B2" t="s">
        <v>18</v>
      </c>
      <c r="C2" t="s">
        <v>18</v>
      </c>
      <c r="D2">
        <v>0</v>
      </c>
      <c r="E2">
        <v>0</v>
      </c>
      <c r="F2">
        <v>0</v>
      </c>
      <c r="G2">
        <v>0.19</v>
      </c>
      <c r="H2">
        <v>0</v>
      </c>
      <c r="I2">
        <v>0</v>
      </c>
      <c r="J2">
        <v>7.0000000000000007E-2</v>
      </c>
      <c r="K2">
        <v>0</v>
      </c>
      <c r="L2">
        <v>0</v>
      </c>
      <c r="M2">
        <v>0.03</v>
      </c>
      <c r="N2">
        <v>0.71</v>
      </c>
    </row>
    <row r="3" spans="1:14">
      <c r="A3">
        <v>2</v>
      </c>
      <c r="B3" t="s">
        <v>18</v>
      </c>
      <c r="C3" t="s">
        <v>18</v>
      </c>
      <c r="D3">
        <v>0</v>
      </c>
      <c r="E3">
        <v>0</v>
      </c>
      <c r="F3">
        <v>0</v>
      </c>
      <c r="G3">
        <v>0.16</v>
      </c>
      <c r="H3">
        <v>0.08</v>
      </c>
      <c r="I3">
        <v>0.02</v>
      </c>
      <c r="J3">
        <v>0.06</v>
      </c>
      <c r="K3">
        <v>0.03</v>
      </c>
      <c r="L3">
        <v>0</v>
      </c>
      <c r="M3">
        <v>0</v>
      </c>
      <c r="N3">
        <v>0.65</v>
      </c>
    </row>
    <row r="4" spans="1:14">
      <c r="A4">
        <v>3</v>
      </c>
      <c r="B4" t="s">
        <v>18</v>
      </c>
      <c r="C4" t="s">
        <v>18</v>
      </c>
      <c r="D4">
        <v>0</v>
      </c>
      <c r="E4">
        <v>0.42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0.03</v>
      </c>
      <c r="M4">
        <v>0</v>
      </c>
      <c r="N4">
        <v>0.55000000000000004</v>
      </c>
    </row>
    <row r="5" spans="1:14">
      <c r="A5">
        <v>4</v>
      </c>
      <c r="B5" t="s">
        <v>18</v>
      </c>
      <c r="C5" t="s">
        <v>18</v>
      </c>
      <c r="D5">
        <v>0</v>
      </c>
      <c r="E5">
        <v>0</v>
      </c>
      <c r="F5">
        <v>0</v>
      </c>
      <c r="G5">
        <v>0.03</v>
      </c>
      <c r="H5">
        <v>0.23</v>
      </c>
      <c r="I5">
        <v>0</v>
      </c>
      <c r="J5">
        <v>0.04</v>
      </c>
      <c r="K5">
        <v>0</v>
      </c>
      <c r="L5">
        <v>0</v>
      </c>
      <c r="M5">
        <v>0</v>
      </c>
      <c r="N5">
        <v>0.7</v>
      </c>
    </row>
    <row r="6" spans="1:14">
      <c r="A6">
        <v>5</v>
      </c>
      <c r="B6" t="s">
        <v>18</v>
      </c>
      <c r="C6" t="s">
        <v>18</v>
      </c>
      <c r="D6">
        <v>0</v>
      </c>
      <c r="E6">
        <v>0</v>
      </c>
      <c r="F6">
        <v>0</v>
      </c>
      <c r="G6">
        <v>0.28000000000000003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0.72</v>
      </c>
    </row>
    <row r="7" spans="1:14">
      <c r="A7">
        <v>6</v>
      </c>
      <c r="B7" t="s">
        <v>18</v>
      </c>
      <c r="C7" t="s">
        <v>18</v>
      </c>
      <c r="D7">
        <v>0</v>
      </c>
      <c r="E7">
        <v>0</v>
      </c>
      <c r="F7">
        <v>0</v>
      </c>
      <c r="G7">
        <v>0</v>
      </c>
      <c r="H7">
        <v>0.01</v>
      </c>
      <c r="I7">
        <v>0.03</v>
      </c>
      <c r="J7">
        <v>0.01</v>
      </c>
      <c r="K7">
        <v>0</v>
      </c>
      <c r="L7">
        <v>0</v>
      </c>
      <c r="M7">
        <v>0</v>
      </c>
      <c r="N7">
        <v>0.95</v>
      </c>
    </row>
    <row r="8" spans="1:14">
      <c r="A8">
        <v>7</v>
      </c>
      <c r="B8" t="s">
        <v>18</v>
      </c>
      <c r="C8" t="s">
        <v>18</v>
      </c>
      <c r="D8">
        <v>0</v>
      </c>
      <c r="E8">
        <v>0</v>
      </c>
      <c r="F8">
        <v>0</v>
      </c>
      <c r="G8">
        <v>0</v>
      </c>
      <c r="H8">
        <v>0.01</v>
      </c>
      <c r="I8">
        <v>0.03</v>
      </c>
      <c r="J8">
        <v>0.01</v>
      </c>
      <c r="K8">
        <v>0</v>
      </c>
      <c r="L8">
        <v>0</v>
      </c>
      <c r="M8">
        <v>0</v>
      </c>
      <c r="N8">
        <v>0.95</v>
      </c>
    </row>
    <row r="9" spans="1:14">
      <c r="A9">
        <v>8</v>
      </c>
      <c r="B9" t="s">
        <v>18</v>
      </c>
      <c r="C9" t="s">
        <v>18</v>
      </c>
      <c r="D9">
        <v>0</v>
      </c>
      <c r="E9">
        <v>0.01</v>
      </c>
      <c r="F9">
        <v>0</v>
      </c>
      <c r="G9">
        <v>0</v>
      </c>
      <c r="H9">
        <v>0.25</v>
      </c>
      <c r="I9">
        <v>0</v>
      </c>
      <c r="J9">
        <v>0</v>
      </c>
      <c r="K9">
        <v>0</v>
      </c>
      <c r="L9">
        <v>0</v>
      </c>
      <c r="M9">
        <v>0</v>
      </c>
      <c r="N9">
        <v>0.74</v>
      </c>
    </row>
    <row r="10" spans="1:14">
      <c r="A10">
        <v>9</v>
      </c>
      <c r="B10" t="s">
        <v>18</v>
      </c>
      <c r="C10" t="s">
        <v>18</v>
      </c>
      <c r="D10">
        <v>0</v>
      </c>
      <c r="E10">
        <v>0.01</v>
      </c>
      <c r="F10">
        <v>0</v>
      </c>
      <c r="G10">
        <v>0</v>
      </c>
      <c r="H10">
        <v>0.22</v>
      </c>
      <c r="I10">
        <v>0</v>
      </c>
      <c r="J10">
        <v>0</v>
      </c>
      <c r="K10">
        <v>0</v>
      </c>
      <c r="L10">
        <v>0</v>
      </c>
      <c r="M10">
        <v>0</v>
      </c>
      <c r="N10">
        <v>0.77</v>
      </c>
    </row>
    <row r="11" spans="1:14">
      <c r="A11">
        <v>10</v>
      </c>
      <c r="B11" t="s">
        <v>18</v>
      </c>
      <c r="C11" t="s">
        <v>18</v>
      </c>
      <c r="D11">
        <v>0</v>
      </c>
      <c r="E11">
        <v>0.06</v>
      </c>
      <c r="F11">
        <v>0</v>
      </c>
      <c r="G11">
        <v>0</v>
      </c>
      <c r="H11">
        <v>0.01</v>
      </c>
      <c r="I11">
        <v>0</v>
      </c>
      <c r="J11">
        <v>0</v>
      </c>
      <c r="K11">
        <v>0</v>
      </c>
      <c r="L11">
        <v>0</v>
      </c>
      <c r="M11">
        <v>0</v>
      </c>
      <c r="N11">
        <v>0.93</v>
      </c>
    </row>
    <row r="12" spans="1:14">
      <c r="A12">
        <v>11</v>
      </c>
      <c r="B12" t="s">
        <v>18</v>
      </c>
      <c r="C12" t="s">
        <v>18</v>
      </c>
      <c r="D12">
        <v>0</v>
      </c>
      <c r="E12">
        <v>0</v>
      </c>
      <c r="F12">
        <v>0.01</v>
      </c>
      <c r="G12">
        <v>0</v>
      </c>
      <c r="H12">
        <v>0</v>
      </c>
      <c r="I12">
        <v>0</v>
      </c>
      <c r="J12">
        <v>0</v>
      </c>
      <c r="K12">
        <v>0</v>
      </c>
      <c r="L12">
        <v>0.03</v>
      </c>
      <c r="M12">
        <v>0</v>
      </c>
      <c r="N12">
        <v>0.96</v>
      </c>
    </row>
    <row r="13" spans="1:14">
      <c r="A13">
        <v>12</v>
      </c>
      <c r="B13" t="s">
        <v>18</v>
      </c>
      <c r="C13" t="s">
        <v>18</v>
      </c>
      <c r="D13">
        <v>0</v>
      </c>
      <c r="E13">
        <v>0</v>
      </c>
      <c r="F13">
        <v>0</v>
      </c>
      <c r="G13">
        <v>0.01</v>
      </c>
      <c r="H13">
        <v>0.15</v>
      </c>
      <c r="I13">
        <v>0.1</v>
      </c>
      <c r="J13">
        <v>0.1</v>
      </c>
      <c r="K13">
        <v>0</v>
      </c>
      <c r="L13">
        <v>0.01</v>
      </c>
      <c r="M13">
        <v>0</v>
      </c>
      <c r="N13">
        <v>0.63</v>
      </c>
    </row>
    <row r="14" spans="1:14">
      <c r="A14">
        <v>13</v>
      </c>
      <c r="B14" t="s">
        <v>18</v>
      </c>
      <c r="C14" t="s">
        <v>18</v>
      </c>
      <c r="D14">
        <v>0</v>
      </c>
      <c r="E14">
        <v>0</v>
      </c>
      <c r="F14">
        <v>0</v>
      </c>
      <c r="G14">
        <v>0</v>
      </c>
      <c r="H14">
        <v>0.01</v>
      </c>
      <c r="I14">
        <v>0.11</v>
      </c>
      <c r="J14">
        <v>0.04</v>
      </c>
      <c r="K14">
        <v>0</v>
      </c>
      <c r="L14">
        <v>0</v>
      </c>
      <c r="M14">
        <v>0</v>
      </c>
      <c r="N14">
        <v>0.84</v>
      </c>
    </row>
    <row r="15" spans="1:14">
      <c r="A15">
        <v>14</v>
      </c>
      <c r="B15" t="s">
        <v>18</v>
      </c>
      <c r="C15" t="s">
        <v>18</v>
      </c>
      <c r="D15">
        <v>0</v>
      </c>
      <c r="E15">
        <v>0</v>
      </c>
      <c r="F15">
        <v>0.01</v>
      </c>
      <c r="G15">
        <v>0</v>
      </c>
      <c r="H15">
        <v>0</v>
      </c>
      <c r="I15">
        <v>0</v>
      </c>
      <c r="J15">
        <v>0</v>
      </c>
      <c r="K15">
        <v>0</v>
      </c>
      <c r="L15">
        <v>0.03</v>
      </c>
      <c r="M15">
        <v>0</v>
      </c>
      <c r="N15">
        <v>0.96</v>
      </c>
    </row>
    <row r="16" spans="1:14">
      <c r="A16">
        <v>15</v>
      </c>
      <c r="B16" t="s">
        <v>18</v>
      </c>
      <c r="C16" t="s">
        <v>18</v>
      </c>
      <c r="D16">
        <v>0</v>
      </c>
      <c r="E16">
        <v>0</v>
      </c>
      <c r="F16">
        <v>0</v>
      </c>
      <c r="G16">
        <v>0</v>
      </c>
      <c r="H16">
        <v>0.2</v>
      </c>
      <c r="I16">
        <v>0</v>
      </c>
      <c r="J16">
        <v>0</v>
      </c>
      <c r="K16">
        <v>0</v>
      </c>
      <c r="L16">
        <v>0</v>
      </c>
      <c r="M16">
        <v>0</v>
      </c>
      <c r="N16">
        <v>0.8</v>
      </c>
    </row>
    <row r="17" spans="1:14">
      <c r="A17">
        <v>16</v>
      </c>
      <c r="B17" t="s">
        <v>18</v>
      </c>
      <c r="C17" t="s">
        <v>18</v>
      </c>
      <c r="D17">
        <v>0</v>
      </c>
      <c r="E17">
        <v>0.12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0.01</v>
      </c>
      <c r="M17">
        <v>0</v>
      </c>
      <c r="N17">
        <v>0.87</v>
      </c>
    </row>
    <row r="18" spans="1:14">
      <c r="A18">
        <v>17</v>
      </c>
      <c r="B18" t="s">
        <v>18</v>
      </c>
      <c r="C18" t="s">
        <v>18</v>
      </c>
      <c r="D18">
        <v>0</v>
      </c>
      <c r="E18">
        <v>0</v>
      </c>
      <c r="F18">
        <v>0</v>
      </c>
      <c r="G18">
        <v>0</v>
      </c>
      <c r="H18">
        <v>0.17</v>
      </c>
      <c r="I18">
        <v>0</v>
      </c>
      <c r="J18">
        <v>0</v>
      </c>
      <c r="K18">
        <v>0</v>
      </c>
      <c r="L18">
        <v>0</v>
      </c>
      <c r="M18">
        <v>0</v>
      </c>
      <c r="N18">
        <v>0.83</v>
      </c>
    </row>
    <row r="19" spans="1:14">
      <c r="A19">
        <v>18</v>
      </c>
      <c r="B19" t="s">
        <v>18</v>
      </c>
      <c r="C19" t="s">
        <v>22</v>
      </c>
      <c r="D19">
        <v>0</v>
      </c>
      <c r="E19">
        <v>0</v>
      </c>
      <c r="F19">
        <v>0</v>
      </c>
      <c r="G19">
        <v>0.54</v>
      </c>
      <c r="H19">
        <v>0.11</v>
      </c>
      <c r="I19">
        <v>0.01</v>
      </c>
      <c r="J19">
        <v>0.2</v>
      </c>
      <c r="K19">
        <v>0.02</v>
      </c>
      <c r="L19">
        <v>0.01</v>
      </c>
      <c r="M19">
        <v>0</v>
      </c>
      <c r="N19">
        <v>0.11</v>
      </c>
    </row>
    <row r="20" spans="1:14">
      <c r="A20">
        <v>19</v>
      </c>
      <c r="B20" t="s">
        <v>18</v>
      </c>
      <c r="C20" t="s">
        <v>26</v>
      </c>
      <c r="D20">
        <v>0</v>
      </c>
      <c r="E20">
        <v>0.38</v>
      </c>
      <c r="F20">
        <v>0</v>
      </c>
      <c r="G20">
        <v>0</v>
      </c>
      <c r="H20">
        <v>0.54</v>
      </c>
      <c r="I20">
        <v>0</v>
      </c>
      <c r="J20">
        <v>0.05</v>
      </c>
      <c r="K20">
        <v>0</v>
      </c>
      <c r="L20">
        <v>0</v>
      </c>
      <c r="M20">
        <v>0</v>
      </c>
      <c r="N20">
        <v>0.03</v>
      </c>
    </row>
    <row r="21" spans="1:14">
      <c r="A21">
        <v>20</v>
      </c>
      <c r="B21" t="s">
        <v>18</v>
      </c>
      <c r="C21" t="s">
        <v>18</v>
      </c>
      <c r="D21">
        <v>0</v>
      </c>
      <c r="E21">
        <v>0</v>
      </c>
      <c r="F21">
        <v>0</v>
      </c>
      <c r="G21">
        <v>0.36</v>
      </c>
      <c r="H21">
        <v>0.01</v>
      </c>
      <c r="I21">
        <v>0</v>
      </c>
      <c r="J21">
        <v>0</v>
      </c>
      <c r="K21">
        <v>0</v>
      </c>
      <c r="L21">
        <v>0</v>
      </c>
      <c r="M21">
        <v>0</v>
      </c>
      <c r="N21">
        <v>0.63</v>
      </c>
    </row>
    <row r="22" spans="1:14">
      <c r="A22">
        <v>21</v>
      </c>
      <c r="B22" t="s">
        <v>18</v>
      </c>
      <c r="C22" t="s">
        <v>18</v>
      </c>
      <c r="D22">
        <v>0.2</v>
      </c>
      <c r="E22">
        <v>0</v>
      </c>
      <c r="F22">
        <v>0</v>
      </c>
      <c r="G22">
        <v>0</v>
      </c>
      <c r="H22">
        <v>0.01</v>
      </c>
      <c r="I22">
        <v>0</v>
      </c>
      <c r="J22">
        <v>0.13</v>
      </c>
      <c r="K22">
        <v>0</v>
      </c>
      <c r="L22">
        <v>0</v>
      </c>
      <c r="M22">
        <v>0.01</v>
      </c>
      <c r="N22">
        <v>0.65</v>
      </c>
    </row>
    <row r="23" spans="1:14">
      <c r="A23">
        <v>22</v>
      </c>
      <c r="B23" t="s">
        <v>18</v>
      </c>
      <c r="C23" t="s">
        <v>18</v>
      </c>
      <c r="D23">
        <v>0</v>
      </c>
      <c r="E23">
        <v>0</v>
      </c>
      <c r="F23">
        <v>0</v>
      </c>
      <c r="G23">
        <v>0.25</v>
      </c>
      <c r="H23">
        <v>0</v>
      </c>
      <c r="I23">
        <v>0</v>
      </c>
      <c r="J23">
        <v>0.08</v>
      </c>
      <c r="K23">
        <v>0</v>
      </c>
      <c r="L23">
        <v>0</v>
      </c>
      <c r="M23">
        <v>0</v>
      </c>
      <c r="N23">
        <v>0.67</v>
      </c>
    </row>
    <row r="24" spans="1:14">
      <c r="A24">
        <v>23</v>
      </c>
      <c r="B24" t="s">
        <v>26</v>
      </c>
      <c r="C24" t="s">
        <v>26</v>
      </c>
      <c r="D24">
        <v>0</v>
      </c>
      <c r="E24">
        <v>0</v>
      </c>
      <c r="F24">
        <v>0</v>
      </c>
      <c r="G24">
        <v>0.06</v>
      </c>
      <c r="H24">
        <v>0.68</v>
      </c>
      <c r="I24">
        <v>0</v>
      </c>
      <c r="J24">
        <v>0.06</v>
      </c>
      <c r="K24">
        <v>0</v>
      </c>
      <c r="L24">
        <v>0</v>
      </c>
      <c r="M24">
        <v>0</v>
      </c>
      <c r="N24">
        <v>0.2</v>
      </c>
    </row>
    <row r="25" spans="1:14">
      <c r="A25">
        <v>24</v>
      </c>
      <c r="B25" t="s">
        <v>26</v>
      </c>
      <c r="C25" t="s">
        <v>26</v>
      </c>
      <c r="D25">
        <v>0</v>
      </c>
      <c r="E25">
        <v>0</v>
      </c>
      <c r="F25">
        <v>0</v>
      </c>
      <c r="G25">
        <v>0.25</v>
      </c>
      <c r="H25">
        <v>0.66</v>
      </c>
      <c r="I25">
        <v>0</v>
      </c>
      <c r="J25">
        <v>0.01</v>
      </c>
      <c r="K25">
        <v>0</v>
      </c>
      <c r="L25">
        <v>0</v>
      </c>
      <c r="M25">
        <v>0</v>
      </c>
      <c r="N25">
        <v>0.08</v>
      </c>
    </row>
    <row r="26" spans="1:14">
      <c r="A26">
        <v>25</v>
      </c>
      <c r="B26" t="s">
        <v>18</v>
      </c>
      <c r="C26" t="s">
        <v>18</v>
      </c>
      <c r="D26">
        <v>0</v>
      </c>
      <c r="E26">
        <v>0</v>
      </c>
      <c r="F26">
        <v>0</v>
      </c>
      <c r="G26">
        <v>0</v>
      </c>
      <c r="H26">
        <v>0.1</v>
      </c>
      <c r="I26">
        <v>0</v>
      </c>
      <c r="J26">
        <v>0</v>
      </c>
      <c r="K26">
        <v>0</v>
      </c>
      <c r="L26">
        <v>0</v>
      </c>
      <c r="M26">
        <v>0.03</v>
      </c>
      <c r="N26">
        <v>0.87</v>
      </c>
    </row>
    <row r="27" spans="1:14">
      <c r="A27" s="9">
        <v>26</v>
      </c>
      <c r="B27" s="9" t="s">
        <v>18</v>
      </c>
      <c r="C27" s="9" t="s">
        <v>18</v>
      </c>
      <c r="D27" s="9">
        <v>0</v>
      </c>
      <c r="E27" s="9">
        <v>0</v>
      </c>
      <c r="F27" s="9">
        <v>0</v>
      </c>
      <c r="G27" s="9">
        <v>0.01</v>
      </c>
      <c r="H27" s="9">
        <v>0.03</v>
      </c>
      <c r="I27" s="9">
        <v>0</v>
      </c>
      <c r="J27" s="9">
        <v>0.01</v>
      </c>
      <c r="K27" s="9">
        <v>0</v>
      </c>
      <c r="L27" s="9">
        <v>0</v>
      </c>
      <c r="M27" s="9">
        <v>0.02</v>
      </c>
      <c r="N27" s="9">
        <v>0.93</v>
      </c>
    </row>
    <row r="28" spans="1:14">
      <c r="A28">
        <v>27</v>
      </c>
      <c r="B28" t="s">
        <v>26</v>
      </c>
      <c r="C28" t="s">
        <v>26</v>
      </c>
      <c r="D28">
        <v>0</v>
      </c>
      <c r="E28">
        <v>0</v>
      </c>
      <c r="F28">
        <v>0</v>
      </c>
      <c r="G28">
        <v>0.16</v>
      </c>
      <c r="H28">
        <v>0.75</v>
      </c>
      <c r="I28">
        <v>0.01</v>
      </c>
      <c r="J28">
        <v>0</v>
      </c>
      <c r="K28">
        <v>0</v>
      </c>
      <c r="L28">
        <v>0</v>
      </c>
      <c r="M28">
        <v>0</v>
      </c>
      <c r="N28">
        <v>0.08</v>
      </c>
    </row>
    <row r="29" spans="1:14">
      <c r="A29">
        <v>28</v>
      </c>
      <c r="B29" t="s">
        <v>26</v>
      </c>
      <c r="C29" t="s">
        <v>26</v>
      </c>
      <c r="D29">
        <v>0</v>
      </c>
      <c r="E29">
        <v>0</v>
      </c>
      <c r="F29">
        <v>0</v>
      </c>
      <c r="G29">
        <v>0.43</v>
      </c>
      <c r="H29">
        <v>0.56999999999999995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18</v>
      </c>
      <c r="C30" t="s">
        <v>18</v>
      </c>
      <c r="D30">
        <v>0</v>
      </c>
      <c r="E30">
        <v>0</v>
      </c>
      <c r="F30">
        <v>0</v>
      </c>
      <c r="G30">
        <v>0</v>
      </c>
      <c r="H30">
        <v>0.05</v>
      </c>
      <c r="I30">
        <v>0</v>
      </c>
      <c r="J30">
        <v>0</v>
      </c>
      <c r="K30">
        <v>0</v>
      </c>
      <c r="L30">
        <v>0</v>
      </c>
      <c r="M30">
        <v>0</v>
      </c>
      <c r="N30">
        <v>0.95</v>
      </c>
    </row>
    <row r="31" spans="1:14">
      <c r="A31">
        <v>30</v>
      </c>
      <c r="B31" t="s">
        <v>18</v>
      </c>
      <c r="C31" t="s">
        <v>18</v>
      </c>
      <c r="D31">
        <v>0</v>
      </c>
      <c r="E31">
        <v>0</v>
      </c>
      <c r="F31">
        <v>0</v>
      </c>
      <c r="G31">
        <v>0</v>
      </c>
      <c r="H31">
        <v>0.12</v>
      </c>
      <c r="I31">
        <v>0</v>
      </c>
      <c r="J31">
        <v>0.01</v>
      </c>
      <c r="K31">
        <v>0</v>
      </c>
      <c r="L31">
        <v>0</v>
      </c>
      <c r="M31">
        <v>0</v>
      </c>
      <c r="N31">
        <v>0.87</v>
      </c>
    </row>
    <row r="32" spans="1:14">
      <c r="A32">
        <v>31</v>
      </c>
      <c r="B32" t="s">
        <v>18</v>
      </c>
      <c r="C32" t="s">
        <v>18</v>
      </c>
      <c r="D32">
        <v>0</v>
      </c>
      <c r="E32">
        <v>0</v>
      </c>
      <c r="F32">
        <v>0</v>
      </c>
      <c r="G32">
        <v>0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0.98</v>
      </c>
    </row>
    <row r="33" spans="1:14">
      <c r="A33">
        <v>32</v>
      </c>
      <c r="B33" t="s">
        <v>18</v>
      </c>
      <c r="C33" t="s">
        <v>18</v>
      </c>
      <c r="D33">
        <v>0</v>
      </c>
      <c r="E33">
        <v>0</v>
      </c>
      <c r="F33">
        <v>0</v>
      </c>
      <c r="G33">
        <v>0</v>
      </c>
      <c r="H33">
        <v>0.02</v>
      </c>
      <c r="I33">
        <v>0</v>
      </c>
      <c r="J33">
        <v>0</v>
      </c>
      <c r="K33">
        <v>0</v>
      </c>
      <c r="L33">
        <v>0</v>
      </c>
      <c r="M33">
        <v>0</v>
      </c>
      <c r="N33">
        <v>0.98</v>
      </c>
    </row>
    <row r="34" spans="1:14">
      <c r="A34">
        <v>33</v>
      </c>
      <c r="B34" t="s">
        <v>18</v>
      </c>
      <c r="C34" t="s">
        <v>18</v>
      </c>
      <c r="D34">
        <v>0</v>
      </c>
      <c r="E34">
        <v>0</v>
      </c>
      <c r="F34">
        <v>0</v>
      </c>
      <c r="G34">
        <v>0.01</v>
      </c>
      <c r="H34">
        <v>0.05</v>
      </c>
      <c r="I34">
        <v>0</v>
      </c>
      <c r="J34">
        <v>0.01</v>
      </c>
      <c r="K34">
        <v>0</v>
      </c>
      <c r="L34">
        <v>0</v>
      </c>
      <c r="M34">
        <v>0</v>
      </c>
      <c r="N34">
        <v>0.93</v>
      </c>
    </row>
    <row r="35" spans="1:14">
      <c r="A35">
        <v>34</v>
      </c>
      <c r="B35" t="s">
        <v>18</v>
      </c>
      <c r="C35" t="s">
        <v>18</v>
      </c>
      <c r="D35">
        <v>0</v>
      </c>
      <c r="E35">
        <v>0</v>
      </c>
      <c r="F35">
        <v>0</v>
      </c>
      <c r="G35">
        <v>0</v>
      </c>
      <c r="H35">
        <v>0.01</v>
      </c>
      <c r="I35">
        <v>0</v>
      </c>
      <c r="J35">
        <v>0</v>
      </c>
      <c r="K35">
        <v>0</v>
      </c>
      <c r="L35">
        <v>0</v>
      </c>
      <c r="M35">
        <v>0</v>
      </c>
      <c r="N35">
        <v>0.99</v>
      </c>
    </row>
    <row r="36" spans="1:14">
      <c r="A36">
        <v>35</v>
      </c>
      <c r="B36" t="s">
        <v>26</v>
      </c>
      <c r="C36" t="s">
        <v>26</v>
      </c>
      <c r="D36">
        <v>0</v>
      </c>
      <c r="E36">
        <v>0</v>
      </c>
      <c r="F36">
        <v>0</v>
      </c>
      <c r="G36">
        <v>0.01</v>
      </c>
      <c r="H36">
        <v>0.81</v>
      </c>
      <c r="I36">
        <v>0</v>
      </c>
      <c r="J36">
        <v>0.03</v>
      </c>
      <c r="K36">
        <v>0</v>
      </c>
      <c r="L36">
        <v>0</v>
      </c>
      <c r="M36">
        <v>0</v>
      </c>
      <c r="N36">
        <v>0.15</v>
      </c>
    </row>
    <row r="37" spans="1:14">
      <c r="A37">
        <v>36</v>
      </c>
      <c r="B37" t="s">
        <v>26</v>
      </c>
      <c r="C37" t="s">
        <v>26</v>
      </c>
      <c r="D37">
        <v>0</v>
      </c>
      <c r="E37">
        <v>0</v>
      </c>
      <c r="F37">
        <v>0</v>
      </c>
      <c r="G37">
        <v>0.02</v>
      </c>
      <c r="H37">
        <v>0.87</v>
      </c>
      <c r="I37">
        <v>0</v>
      </c>
      <c r="J37">
        <v>0.04</v>
      </c>
      <c r="K37">
        <v>0</v>
      </c>
      <c r="L37">
        <v>0</v>
      </c>
      <c r="M37">
        <v>0</v>
      </c>
      <c r="N37">
        <v>7.0000000000000007E-2</v>
      </c>
    </row>
    <row r="38" spans="1:14">
      <c r="A38">
        <v>37</v>
      </c>
      <c r="B38" t="s">
        <v>18</v>
      </c>
      <c r="C38" t="s">
        <v>18</v>
      </c>
      <c r="D38">
        <v>0</v>
      </c>
      <c r="E38">
        <v>0</v>
      </c>
      <c r="F38">
        <v>0</v>
      </c>
      <c r="G38">
        <v>0.03</v>
      </c>
      <c r="H38">
        <v>0.02</v>
      </c>
      <c r="I38">
        <v>0</v>
      </c>
      <c r="J38">
        <v>0.01</v>
      </c>
      <c r="K38">
        <v>0</v>
      </c>
      <c r="L38">
        <v>0</v>
      </c>
      <c r="M38">
        <v>0</v>
      </c>
      <c r="N38">
        <v>0.94</v>
      </c>
    </row>
    <row r="39" spans="1:14">
      <c r="A39">
        <v>38</v>
      </c>
      <c r="B39" t="s">
        <v>18</v>
      </c>
      <c r="C39" t="s">
        <v>18</v>
      </c>
      <c r="D39">
        <v>0</v>
      </c>
      <c r="E39">
        <v>0</v>
      </c>
      <c r="F39">
        <v>0</v>
      </c>
      <c r="G39">
        <v>0.11</v>
      </c>
      <c r="H39">
        <v>0</v>
      </c>
      <c r="I39">
        <v>0</v>
      </c>
      <c r="J39">
        <v>0.01</v>
      </c>
      <c r="K39">
        <v>0</v>
      </c>
      <c r="L39">
        <v>0</v>
      </c>
      <c r="M39">
        <v>0</v>
      </c>
      <c r="N39">
        <v>0.88</v>
      </c>
    </row>
    <row r="40" spans="1:14">
      <c r="A40">
        <v>39</v>
      </c>
      <c r="B40" t="s">
        <v>18</v>
      </c>
      <c r="C40" t="s">
        <v>18</v>
      </c>
      <c r="D40">
        <v>0</v>
      </c>
      <c r="E40">
        <v>0</v>
      </c>
      <c r="F40">
        <v>0</v>
      </c>
      <c r="G40">
        <v>0</v>
      </c>
      <c r="H40">
        <v>0.06</v>
      </c>
      <c r="I40">
        <v>0</v>
      </c>
      <c r="J40">
        <v>0.01</v>
      </c>
      <c r="K40">
        <v>0</v>
      </c>
      <c r="L40">
        <v>0</v>
      </c>
      <c r="M40">
        <v>0</v>
      </c>
      <c r="N40">
        <v>0.93</v>
      </c>
    </row>
    <row r="41" spans="1:14">
      <c r="A41">
        <v>40</v>
      </c>
      <c r="B41" t="s">
        <v>18</v>
      </c>
      <c r="C41" t="s">
        <v>18</v>
      </c>
      <c r="D41">
        <v>0</v>
      </c>
      <c r="E41">
        <v>0</v>
      </c>
      <c r="F41">
        <v>0</v>
      </c>
      <c r="G41">
        <v>0.01</v>
      </c>
      <c r="H41">
        <v>0.06</v>
      </c>
      <c r="I41">
        <v>0</v>
      </c>
      <c r="J41">
        <v>0.01</v>
      </c>
      <c r="K41">
        <v>0</v>
      </c>
      <c r="L41">
        <v>0</v>
      </c>
      <c r="M41">
        <v>0</v>
      </c>
      <c r="N41">
        <v>0.92</v>
      </c>
    </row>
    <row r="42" spans="1:14">
      <c r="A42">
        <v>41</v>
      </c>
      <c r="B42" t="s">
        <v>18</v>
      </c>
      <c r="C42" t="s">
        <v>18</v>
      </c>
      <c r="D42">
        <v>0</v>
      </c>
      <c r="E42">
        <v>0</v>
      </c>
      <c r="F42">
        <v>0</v>
      </c>
      <c r="G42">
        <v>0</v>
      </c>
      <c r="H42">
        <v>0.32</v>
      </c>
      <c r="I42">
        <v>0</v>
      </c>
      <c r="J42">
        <v>0.06</v>
      </c>
      <c r="K42">
        <v>0</v>
      </c>
      <c r="L42">
        <v>0</v>
      </c>
      <c r="M42">
        <v>0</v>
      </c>
      <c r="N42">
        <v>0.62</v>
      </c>
    </row>
    <row r="43" spans="1:14">
      <c r="A43">
        <v>42</v>
      </c>
      <c r="B43" t="s">
        <v>18</v>
      </c>
      <c r="C43" t="s">
        <v>18</v>
      </c>
      <c r="D43">
        <v>0</v>
      </c>
      <c r="E43">
        <v>0</v>
      </c>
      <c r="F43">
        <v>0</v>
      </c>
      <c r="G43">
        <v>0</v>
      </c>
      <c r="H43">
        <v>0.02</v>
      </c>
      <c r="I43">
        <v>0</v>
      </c>
      <c r="J43">
        <v>0.09</v>
      </c>
      <c r="K43">
        <v>0</v>
      </c>
      <c r="L43">
        <v>0</v>
      </c>
      <c r="M43">
        <v>0</v>
      </c>
      <c r="N43">
        <v>0.89</v>
      </c>
    </row>
    <row r="44" spans="1:14">
      <c r="A44">
        <v>43</v>
      </c>
      <c r="B44" t="s">
        <v>18</v>
      </c>
      <c r="C44" t="s">
        <v>18</v>
      </c>
      <c r="D44">
        <v>0</v>
      </c>
      <c r="E44">
        <v>0</v>
      </c>
      <c r="F44">
        <v>0</v>
      </c>
      <c r="G44">
        <v>0.03</v>
      </c>
      <c r="H44">
        <v>0.01</v>
      </c>
      <c r="I44">
        <v>0</v>
      </c>
      <c r="J44">
        <v>0.03</v>
      </c>
      <c r="K44">
        <v>0</v>
      </c>
      <c r="L44">
        <v>0</v>
      </c>
      <c r="M44">
        <v>0</v>
      </c>
      <c r="N44">
        <v>0.93</v>
      </c>
    </row>
    <row r="45" spans="1:14">
      <c r="A45">
        <v>44</v>
      </c>
      <c r="B45" t="s">
        <v>18</v>
      </c>
      <c r="C45" t="s">
        <v>18</v>
      </c>
      <c r="D45">
        <v>0</v>
      </c>
      <c r="E45">
        <v>0</v>
      </c>
      <c r="F45">
        <v>0</v>
      </c>
      <c r="G45">
        <v>0</v>
      </c>
      <c r="H45">
        <v>0.01</v>
      </c>
      <c r="I45">
        <v>0</v>
      </c>
      <c r="J45">
        <v>0.01</v>
      </c>
      <c r="K45">
        <v>0</v>
      </c>
      <c r="L45">
        <v>0</v>
      </c>
      <c r="M45">
        <v>0</v>
      </c>
      <c r="N45">
        <v>0.98</v>
      </c>
    </row>
    <row r="46" spans="1:14">
      <c r="A46">
        <v>45</v>
      </c>
      <c r="B46" t="s">
        <v>18</v>
      </c>
      <c r="C46" t="s">
        <v>18</v>
      </c>
      <c r="D46">
        <v>0</v>
      </c>
      <c r="E46">
        <v>0</v>
      </c>
      <c r="F46">
        <v>0</v>
      </c>
      <c r="G46">
        <v>0</v>
      </c>
      <c r="H46">
        <v>0.15</v>
      </c>
      <c r="I46">
        <v>0</v>
      </c>
      <c r="J46">
        <v>0</v>
      </c>
      <c r="K46">
        <v>0</v>
      </c>
      <c r="L46">
        <v>0</v>
      </c>
      <c r="M46">
        <v>0</v>
      </c>
      <c r="N46">
        <v>0.85</v>
      </c>
    </row>
    <row r="47" spans="1:14">
      <c r="A47">
        <v>46</v>
      </c>
      <c r="B47" t="s">
        <v>18</v>
      </c>
      <c r="C47" t="s">
        <v>18</v>
      </c>
      <c r="D47">
        <v>0</v>
      </c>
      <c r="E47">
        <v>0</v>
      </c>
      <c r="F47">
        <v>0</v>
      </c>
      <c r="G47">
        <v>0</v>
      </c>
      <c r="H47">
        <v>0.05</v>
      </c>
      <c r="I47">
        <v>0</v>
      </c>
      <c r="J47">
        <v>0</v>
      </c>
      <c r="K47">
        <v>0</v>
      </c>
      <c r="L47">
        <v>0</v>
      </c>
      <c r="M47">
        <v>0</v>
      </c>
      <c r="N47">
        <v>0.95</v>
      </c>
    </row>
    <row r="48" spans="1:14">
      <c r="A48">
        <v>47</v>
      </c>
      <c r="B48" t="s">
        <v>18</v>
      </c>
      <c r="C48" t="s">
        <v>18</v>
      </c>
      <c r="D48">
        <v>0</v>
      </c>
      <c r="E48">
        <v>0</v>
      </c>
      <c r="F48">
        <v>0</v>
      </c>
      <c r="G48">
        <v>0</v>
      </c>
      <c r="H48">
        <v>0.01</v>
      </c>
      <c r="I48">
        <v>0</v>
      </c>
      <c r="J48">
        <v>0</v>
      </c>
      <c r="K48">
        <v>0</v>
      </c>
      <c r="L48">
        <v>0</v>
      </c>
      <c r="M48">
        <v>0.01</v>
      </c>
      <c r="N48">
        <v>0.98</v>
      </c>
    </row>
    <row r="49" spans="1:14">
      <c r="A49">
        <v>48</v>
      </c>
      <c r="B49" t="s">
        <v>18</v>
      </c>
      <c r="C49" t="s">
        <v>18</v>
      </c>
      <c r="D49">
        <v>0</v>
      </c>
      <c r="E49">
        <v>0</v>
      </c>
      <c r="F49">
        <v>0</v>
      </c>
      <c r="G49">
        <v>0</v>
      </c>
      <c r="H49">
        <v>0.05</v>
      </c>
      <c r="I49">
        <v>0</v>
      </c>
      <c r="J49">
        <v>0</v>
      </c>
      <c r="K49">
        <v>0</v>
      </c>
      <c r="L49">
        <v>0</v>
      </c>
      <c r="M49">
        <v>0.01</v>
      </c>
      <c r="N49">
        <v>0.94</v>
      </c>
    </row>
    <row r="50" spans="1:14">
      <c r="A50">
        <v>49</v>
      </c>
      <c r="B50" t="s">
        <v>18</v>
      </c>
      <c r="C50" t="s">
        <v>18</v>
      </c>
      <c r="D50">
        <v>0</v>
      </c>
      <c r="E50">
        <v>0</v>
      </c>
      <c r="F50">
        <v>0</v>
      </c>
      <c r="G50">
        <v>0</v>
      </c>
      <c r="H50">
        <v>0.01</v>
      </c>
      <c r="I50">
        <v>0</v>
      </c>
      <c r="J50">
        <v>0.01</v>
      </c>
      <c r="K50">
        <v>0</v>
      </c>
      <c r="L50">
        <v>0</v>
      </c>
      <c r="M50">
        <v>0.02</v>
      </c>
      <c r="N50">
        <v>0.96</v>
      </c>
    </row>
    <row r="51" spans="1:14">
      <c r="A51">
        <v>50</v>
      </c>
      <c r="B51" t="s">
        <v>18</v>
      </c>
      <c r="C51" t="s">
        <v>18</v>
      </c>
      <c r="D51">
        <v>0</v>
      </c>
      <c r="E51">
        <v>0</v>
      </c>
      <c r="F51">
        <v>0</v>
      </c>
      <c r="G51">
        <v>0</v>
      </c>
      <c r="H51">
        <v>0.01</v>
      </c>
      <c r="I51">
        <v>0</v>
      </c>
      <c r="J51">
        <v>0.01</v>
      </c>
      <c r="K51">
        <v>0</v>
      </c>
      <c r="L51">
        <v>0</v>
      </c>
      <c r="M51">
        <v>0</v>
      </c>
      <c r="N51">
        <v>0.98</v>
      </c>
    </row>
    <row r="52" spans="1:14">
      <c r="A52">
        <v>51</v>
      </c>
      <c r="B52" t="s">
        <v>18</v>
      </c>
      <c r="C52" t="s">
        <v>18</v>
      </c>
      <c r="D52">
        <v>0</v>
      </c>
      <c r="E52">
        <v>0</v>
      </c>
      <c r="F52">
        <v>0</v>
      </c>
      <c r="G52">
        <v>0</v>
      </c>
      <c r="H52">
        <v>0.01</v>
      </c>
      <c r="I52">
        <v>0</v>
      </c>
      <c r="J52">
        <v>0</v>
      </c>
      <c r="K52">
        <v>0</v>
      </c>
      <c r="L52">
        <v>0</v>
      </c>
      <c r="M52">
        <v>0</v>
      </c>
      <c r="N52">
        <v>0.99</v>
      </c>
    </row>
    <row r="53" spans="1:14">
      <c r="A53">
        <v>52</v>
      </c>
      <c r="B53" t="s">
        <v>18</v>
      </c>
      <c r="C53" t="s">
        <v>18</v>
      </c>
      <c r="D53">
        <v>0</v>
      </c>
      <c r="E53">
        <v>0</v>
      </c>
      <c r="F53">
        <v>0</v>
      </c>
      <c r="G53">
        <v>0.15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0.85</v>
      </c>
    </row>
    <row r="54" spans="1:14">
      <c r="A54">
        <v>53</v>
      </c>
      <c r="B54" t="s">
        <v>18</v>
      </c>
      <c r="C54" t="s">
        <v>18</v>
      </c>
      <c r="D54">
        <v>0</v>
      </c>
      <c r="E54">
        <v>0</v>
      </c>
      <c r="F54">
        <v>0</v>
      </c>
      <c r="G54">
        <v>0.14000000000000001</v>
      </c>
      <c r="H54">
        <v>0</v>
      </c>
      <c r="I54">
        <v>0</v>
      </c>
      <c r="J54">
        <v>0</v>
      </c>
      <c r="K54">
        <v>0</v>
      </c>
      <c r="L54">
        <v>0</v>
      </c>
      <c r="M54">
        <v>0.01</v>
      </c>
      <c r="N54">
        <v>0.85</v>
      </c>
    </row>
    <row r="55" spans="1:14">
      <c r="A55">
        <v>54</v>
      </c>
      <c r="B55" t="s">
        <v>18</v>
      </c>
      <c r="C55" t="s">
        <v>31</v>
      </c>
      <c r="D55">
        <v>7.0000000000000007E-2</v>
      </c>
      <c r="E55">
        <v>0</v>
      </c>
      <c r="F55">
        <v>0</v>
      </c>
      <c r="G55">
        <v>0</v>
      </c>
      <c r="H55">
        <v>0.08</v>
      </c>
      <c r="I55">
        <v>0</v>
      </c>
      <c r="J55">
        <v>0.23</v>
      </c>
      <c r="K55">
        <v>0</v>
      </c>
      <c r="L55">
        <v>0</v>
      </c>
      <c r="M55">
        <v>0.62</v>
      </c>
      <c r="N55">
        <v>0</v>
      </c>
    </row>
    <row r="56" spans="1:14">
      <c r="A56">
        <v>55</v>
      </c>
      <c r="B56" t="s">
        <v>18</v>
      </c>
      <c r="C56" t="s">
        <v>34</v>
      </c>
      <c r="D56">
        <v>0.54</v>
      </c>
      <c r="E56">
        <v>0</v>
      </c>
      <c r="F56">
        <v>0</v>
      </c>
      <c r="G56">
        <v>0</v>
      </c>
      <c r="H56">
        <v>0.28999999999999998</v>
      </c>
      <c r="I56">
        <v>0</v>
      </c>
      <c r="J56">
        <v>0.15</v>
      </c>
      <c r="K56">
        <v>0</v>
      </c>
      <c r="L56">
        <v>0</v>
      </c>
      <c r="M56">
        <v>0.02</v>
      </c>
      <c r="N56">
        <v>0</v>
      </c>
    </row>
    <row r="57" spans="1:14">
      <c r="A57">
        <v>56</v>
      </c>
      <c r="B57" t="s">
        <v>18</v>
      </c>
      <c r="C57" t="s">
        <v>31</v>
      </c>
      <c r="D57">
        <v>7.0000000000000007E-2</v>
      </c>
      <c r="E57">
        <v>0</v>
      </c>
      <c r="F57">
        <v>0</v>
      </c>
      <c r="G57">
        <v>0</v>
      </c>
      <c r="H57">
        <v>0.08</v>
      </c>
      <c r="I57">
        <v>0</v>
      </c>
      <c r="J57">
        <v>0.24</v>
      </c>
      <c r="K57">
        <v>0</v>
      </c>
      <c r="L57">
        <v>0</v>
      </c>
      <c r="M57">
        <v>0.61</v>
      </c>
      <c r="N57">
        <v>0</v>
      </c>
    </row>
    <row r="58" spans="1:14">
      <c r="A58">
        <v>57</v>
      </c>
      <c r="B58" t="s">
        <v>18</v>
      </c>
      <c r="C58" t="s">
        <v>34</v>
      </c>
      <c r="D58">
        <v>0.56000000000000005</v>
      </c>
      <c r="E58">
        <v>0</v>
      </c>
      <c r="F58">
        <v>0</v>
      </c>
      <c r="G58">
        <v>0</v>
      </c>
      <c r="H58">
        <v>0.27</v>
      </c>
      <c r="I58">
        <v>0</v>
      </c>
      <c r="J58">
        <v>0.15</v>
      </c>
      <c r="K58">
        <v>0</v>
      </c>
      <c r="L58">
        <v>0</v>
      </c>
      <c r="M58">
        <v>0.02</v>
      </c>
      <c r="N58">
        <v>0</v>
      </c>
    </row>
    <row r="59" spans="1:14">
      <c r="A59">
        <v>58</v>
      </c>
      <c r="B59" t="s">
        <v>18</v>
      </c>
      <c r="C59" t="s">
        <v>18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0.01</v>
      </c>
      <c r="K59">
        <v>0</v>
      </c>
      <c r="L59">
        <v>0</v>
      </c>
      <c r="M59">
        <v>0</v>
      </c>
      <c r="N59">
        <v>0.99</v>
      </c>
    </row>
    <row r="60" spans="1:14">
      <c r="A60">
        <v>59</v>
      </c>
      <c r="B60" t="s">
        <v>18</v>
      </c>
      <c r="C60" t="s">
        <v>18</v>
      </c>
      <c r="D60">
        <v>0</v>
      </c>
      <c r="E60">
        <v>0</v>
      </c>
      <c r="F60">
        <v>0</v>
      </c>
      <c r="G60">
        <v>0.03</v>
      </c>
      <c r="H60">
        <v>0</v>
      </c>
      <c r="I60">
        <v>0</v>
      </c>
      <c r="J60">
        <v>0.02</v>
      </c>
      <c r="K60">
        <v>0</v>
      </c>
      <c r="L60">
        <v>0</v>
      </c>
      <c r="M60">
        <v>0</v>
      </c>
      <c r="N60">
        <v>0.95</v>
      </c>
    </row>
    <row r="61" spans="1:14">
      <c r="A61">
        <v>60</v>
      </c>
      <c r="B61" t="s">
        <v>18</v>
      </c>
      <c r="C61" t="s">
        <v>18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0.01</v>
      </c>
      <c r="K61">
        <v>0</v>
      </c>
      <c r="L61">
        <v>0</v>
      </c>
      <c r="M61">
        <v>0</v>
      </c>
      <c r="N61">
        <v>0.99</v>
      </c>
    </row>
    <row r="62" spans="1:14">
      <c r="A62">
        <v>61</v>
      </c>
      <c r="B62" t="s">
        <v>18</v>
      </c>
      <c r="C62" t="s">
        <v>18</v>
      </c>
      <c r="D62">
        <v>0</v>
      </c>
      <c r="E62">
        <v>0</v>
      </c>
      <c r="F62">
        <v>0</v>
      </c>
      <c r="G62">
        <v>0.03</v>
      </c>
      <c r="H62">
        <v>0</v>
      </c>
      <c r="I62">
        <v>0</v>
      </c>
      <c r="J62">
        <v>0.02</v>
      </c>
      <c r="K62">
        <v>0</v>
      </c>
      <c r="L62">
        <v>0</v>
      </c>
      <c r="M62">
        <v>0</v>
      </c>
      <c r="N62">
        <v>0.95</v>
      </c>
    </row>
    <row r="63" spans="1:14">
      <c r="A63">
        <v>62</v>
      </c>
      <c r="B63" t="s">
        <v>18</v>
      </c>
      <c r="C63" t="s">
        <v>18</v>
      </c>
      <c r="D63">
        <v>0</v>
      </c>
      <c r="E63">
        <v>0.15</v>
      </c>
      <c r="F63">
        <v>0</v>
      </c>
      <c r="G63">
        <v>0.02</v>
      </c>
      <c r="H63">
        <v>0.08</v>
      </c>
      <c r="I63">
        <v>0</v>
      </c>
      <c r="J63">
        <v>0</v>
      </c>
      <c r="K63">
        <v>0</v>
      </c>
      <c r="L63">
        <v>0</v>
      </c>
      <c r="M63">
        <v>7.0000000000000007E-2</v>
      </c>
      <c r="N63">
        <v>0.68</v>
      </c>
    </row>
    <row r="64" spans="1:14">
      <c r="A64" s="6">
        <v>63</v>
      </c>
      <c r="B64" s="6" t="s">
        <v>18</v>
      </c>
      <c r="C64" s="6" t="s">
        <v>18</v>
      </c>
      <c r="D64" s="6">
        <v>0</v>
      </c>
      <c r="E64" s="6">
        <v>0.04</v>
      </c>
      <c r="F64" s="6">
        <v>0</v>
      </c>
      <c r="G64" s="6">
        <v>0.04</v>
      </c>
      <c r="H64" s="6">
        <v>0.27</v>
      </c>
      <c r="I64" s="6">
        <v>0</v>
      </c>
      <c r="J64" s="6">
        <v>0.05</v>
      </c>
      <c r="K64" s="6">
        <v>0</v>
      </c>
      <c r="L64" s="6">
        <v>0</v>
      </c>
      <c r="M64" s="6">
        <v>0.05</v>
      </c>
      <c r="N64" s="6">
        <v>0.55000000000000004</v>
      </c>
    </row>
    <row r="65" spans="1:14">
      <c r="A65">
        <v>64</v>
      </c>
      <c r="B65" t="s">
        <v>18</v>
      </c>
      <c r="C65" t="s">
        <v>38</v>
      </c>
      <c r="D65">
        <v>0.02</v>
      </c>
      <c r="E65">
        <v>0.05</v>
      </c>
      <c r="F65">
        <v>0</v>
      </c>
      <c r="G65">
        <v>0.04</v>
      </c>
      <c r="H65">
        <v>0.22</v>
      </c>
      <c r="I65">
        <v>0</v>
      </c>
      <c r="J65">
        <v>0.34</v>
      </c>
      <c r="K65">
        <v>0</v>
      </c>
      <c r="L65">
        <v>0</v>
      </c>
      <c r="M65">
        <v>7.0000000000000007E-2</v>
      </c>
      <c r="N65">
        <v>0.26</v>
      </c>
    </row>
    <row r="66" spans="1:14">
      <c r="A66">
        <v>65</v>
      </c>
      <c r="B66" t="s">
        <v>18</v>
      </c>
      <c r="C66" t="s">
        <v>26</v>
      </c>
      <c r="D66">
        <v>0.04</v>
      </c>
      <c r="E66">
        <v>0</v>
      </c>
      <c r="F66">
        <v>0</v>
      </c>
      <c r="G66">
        <v>0</v>
      </c>
      <c r="H66">
        <v>0.35</v>
      </c>
      <c r="I66">
        <v>0.08</v>
      </c>
      <c r="J66">
        <v>0.35</v>
      </c>
      <c r="K66">
        <v>0</v>
      </c>
      <c r="L66">
        <v>0</v>
      </c>
      <c r="M66">
        <v>0.18</v>
      </c>
      <c r="N66">
        <v>0</v>
      </c>
    </row>
    <row r="67" spans="1:14">
      <c r="A67">
        <v>66</v>
      </c>
      <c r="B67" t="s">
        <v>18</v>
      </c>
      <c r="C67" t="s">
        <v>38</v>
      </c>
      <c r="D67">
        <v>0</v>
      </c>
      <c r="E67">
        <v>0.15</v>
      </c>
      <c r="F67">
        <v>0</v>
      </c>
      <c r="G67">
        <v>0</v>
      </c>
      <c r="H67">
        <v>0.28000000000000003</v>
      </c>
      <c r="I67">
        <v>0.01</v>
      </c>
      <c r="J67">
        <v>0.36</v>
      </c>
      <c r="K67">
        <v>0</v>
      </c>
      <c r="L67">
        <v>0</v>
      </c>
      <c r="M67">
        <v>0.2</v>
      </c>
      <c r="N67">
        <v>0</v>
      </c>
    </row>
    <row r="68" spans="1:14">
      <c r="A68">
        <v>67</v>
      </c>
      <c r="B68" t="s">
        <v>18</v>
      </c>
      <c r="C68" t="s">
        <v>38</v>
      </c>
      <c r="D68">
        <v>0.13</v>
      </c>
      <c r="E68">
        <v>0.09</v>
      </c>
      <c r="F68">
        <v>0</v>
      </c>
      <c r="G68">
        <v>0</v>
      </c>
      <c r="H68">
        <v>0.24</v>
      </c>
      <c r="I68">
        <v>0</v>
      </c>
      <c r="J68">
        <v>0.31</v>
      </c>
      <c r="K68">
        <v>0</v>
      </c>
      <c r="L68">
        <v>0</v>
      </c>
      <c r="M68">
        <v>0.23</v>
      </c>
      <c r="N68">
        <v>0</v>
      </c>
    </row>
    <row r="69" spans="1:14">
      <c r="A69">
        <v>68</v>
      </c>
      <c r="B69" t="s">
        <v>18</v>
      </c>
      <c r="C69" t="s">
        <v>31</v>
      </c>
      <c r="D69">
        <v>0.01</v>
      </c>
      <c r="E69">
        <v>0.01</v>
      </c>
      <c r="F69">
        <v>0</v>
      </c>
      <c r="G69">
        <v>0</v>
      </c>
      <c r="H69">
        <v>0.25</v>
      </c>
      <c r="I69">
        <v>0.01</v>
      </c>
      <c r="J69">
        <v>0.15</v>
      </c>
      <c r="K69">
        <v>0</v>
      </c>
      <c r="L69">
        <v>0</v>
      </c>
      <c r="M69">
        <v>0.56999999999999995</v>
      </c>
      <c r="N69">
        <v>0</v>
      </c>
    </row>
    <row r="70" spans="1:14">
      <c r="A70">
        <v>69</v>
      </c>
      <c r="B70" t="s">
        <v>18</v>
      </c>
      <c r="C70" t="s">
        <v>22</v>
      </c>
      <c r="D70">
        <v>0.01</v>
      </c>
      <c r="E70">
        <v>0.01</v>
      </c>
      <c r="F70">
        <v>0</v>
      </c>
      <c r="G70">
        <v>0.56999999999999995</v>
      </c>
      <c r="H70">
        <v>0.21</v>
      </c>
      <c r="I70">
        <v>0</v>
      </c>
      <c r="J70">
        <v>0.04</v>
      </c>
      <c r="K70">
        <v>0</v>
      </c>
      <c r="L70">
        <v>0</v>
      </c>
      <c r="M70">
        <v>0</v>
      </c>
      <c r="N70">
        <v>0.16</v>
      </c>
    </row>
    <row r="71" spans="1:14">
      <c r="A71">
        <v>70</v>
      </c>
      <c r="B71" t="s">
        <v>18</v>
      </c>
      <c r="C71" t="s">
        <v>18</v>
      </c>
      <c r="D71">
        <v>0.01</v>
      </c>
      <c r="E71">
        <v>0.03</v>
      </c>
      <c r="F71">
        <v>0</v>
      </c>
      <c r="G71">
        <v>0.16</v>
      </c>
      <c r="H71">
        <v>0.19</v>
      </c>
      <c r="I71">
        <v>0.01</v>
      </c>
      <c r="J71">
        <v>0.05</v>
      </c>
      <c r="K71">
        <v>0</v>
      </c>
      <c r="L71">
        <v>0</v>
      </c>
      <c r="M71">
        <v>0</v>
      </c>
      <c r="N71">
        <v>0.55000000000000004</v>
      </c>
    </row>
    <row r="72" spans="1:14">
      <c r="A72">
        <v>71</v>
      </c>
      <c r="B72" t="s">
        <v>18</v>
      </c>
      <c r="C72" t="s">
        <v>18</v>
      </c>
      <c r="D72">
        <v>0</v>
      </c>
      <c r="E72">
        <v>0</v>
      </c>
      <c r="F72">
        <v>0</v>
      </c>
      <c r="G72">
        <v>0.2</v>
      </c>
      <c r="H72">
        <v>0.01</v>
      </c>
      <c r="I72">
        <v>0</v>
      </c>
      <c r="J72">
        <v>0.11</v>
      </c>
      <c r="K72">
        <v>0</v>
      </c>
      <c r="L72">
        <v>0</v>
      </c>
      <c r="M72">
        <v>0</v>
      </c>
      <c r="N72">
        <v>0.68</v>
      </c>
    </row>
    <row r="73" spans="1:14">
      <c r="A73">
        <v>72</v>
      </c>
      <c r="B73" t="s">
        <v>18</v>
      </c>
      <c r="C73" t="s">
        <v>18</v>
      </c>
      <c r="D73">
        <v>0</v>
      </c>
      <c r="E73">
        <v>0.01</v>
      </c>
      <c r="F73">
        <v>0</v>
      </c>
      <c r="G73">
        <v>0.21</v>
      </c>
      <c r="H73">
        <v>0</v>
      </c>
      <c r="I73">
        <v>0</v>
      </c>
      <c r="J73">
        <v>0.1</v>
      </c>
      <c r="K73">
        <v>0</v>
      </c>
      <c r="L73">
        <v>0</v>
      </c>
      <c r="M73">
        <v>0</v>
      </c>
      <c r="N73">
        <v>0.68</v>
      </c>
    </row>
    <row r="74" spans="1:14">
      <c r="A74">
        <v>73</v>
      </c>
      <c r="B74" t="s">
        <v>18</v>
      </c>
      <c r="C74" t="s">
        <v>18</v>
      </c>
      <c r="D74">
        <v>0</v>
      </c>
      <c r="E74">
        <v>0</v>
      </c>
      <c r="F74">
        <v>0</v>
      </c>
      <c r="G74">
        <v>0.02</v>
      </c>
      <c r="H74">
        <v>0.03</v>
      </c>
      <c r="I74">
        <v>0</v>
      </c>
      <c r="J74">
        <v>0</v>
      </c>
      <c r="K74">
        <v>0</v>
      </c>
      <c r="L74">
        <v>0</v>
      </c>
      <c r="M74">
        <v>0</v>
      </c>
      <c r="N74">
        <v>0.95</v>
      </c>
    </row>
    <row r="75" spans="1:14">
      <c r="A75">
        <v>74</v>
      </c>
      <c r="B75" t="s">
        <v>18</v>
      </c>
      <c r="C75" t="s">
        <v>18</v>
      </c>
      <c r="D75">
        <v>0</v>
      </c>
      <c r="E75">
        <v>0</v>
      </c>
      <c r="F75">
        <v>0</v>
      </c>
      <c r="G75">
        <v>0</v>
      </c>
      <c r="H75">
        <v>0.06</v>
      </c>
      <c r="I75">
        <v>0</v>
      </c>
      <c r="J75">
        <v>0</v>
      </c>
      <c r="K75">
        <v>0</v>
      </c>
      <c r="L75">
        <v>0</v>
      </c>
      <c r="M75">
        <v>0</v>
      </c>
      <c r="N75">
        <v>0.94</v>
      </c>
    </row>
    <row r="76" spans="1:14">
      <c r="A76">
        <v>75</v>
      </c>
      <c r="B76" t="s">
        <v>18</v>
      </c>
      <c r="C76" t="s">
        <v>18</v>
      </c>
      <c r="D76">
        <v>0</v>
      </c>
      <c r="E76">
        <v>0</v>
      </c>
      <c r="F76">
        <v>0</v>
      </c>
      <c r="G76">
        <v>0</v>
      </c>
      <c r="H76">
        <v>0.19</v>
      </c>
      <c r="I76">
        <v>0</v>
      </c>
      <c r="J76">
        <v>0</v>
      </c>
      <c r="K76">
        <v>0</v>
      </c>
      <c r="L76">
        <v>0</v>
      </c>
      <c r="M76">
        <v>0</v>
      </c>
      <c r="N76">
        <v>0.81</v>
      </c>
    </row>
    <row r="77" spans="1:14">
      <c r="A77">
        <v>76</v>
      </c>
      <c r="B77" t="s">
        <v>18</v>
      </c>
      <c r="C77" t="s">
        <v>18</v>
      </c>
      <c r="D77">
        <v>0</v>
      </c>
      <c r="E77">
        <v>0</v>
      </c>
      <c r="F77">
        <v>0</v>
      </c>
      <c r="G77">
        <v>0.02</v>
      </c>
      <c r="H77">
        <v>0.06</v>
      </c>
      <c r="I77">
        <v>0</v>
      </c>
      <c r="J77">
        <v>0.05</v>
      </c>
      <c r="K77">
        <v>0</v>
      </c>
      <c r="L77">
        <v>0</v>
      </c>
      <c r="M77">
        <v>0</v>
      </c>
      <c r="N77">
        <v>0.87</v>
      </c>
    </row>
    <row r="78" spans="1:14">
      <c r="A78">
        <v>77</v>
      </c>
      <c r="B78" t="s">
        <v>34</v>
      </c>
      <c r="C78" t="s">
        <v>34</v>
      </c>
      <c r="D78">
        <v>0.69</v>
      </c>
      <c r="E78">
        <v>0.06</v>
      </c>
      <c r="F78">
        <v>0</v>
      </c>
      <c r="G78">
        <v>0</v>
      </c>
      <c r="H78">
        <v>0.1</v>
      </c>
      <c r="I78">
        <v>0</v>
      </c>
      <c r="J78">
        <v>0.03</v>
      </c>
      <c r="K78">
        <v>0</v>
      </c>
      <c r="L78">
        <v>0</v>
      </c>
      <c r="M78">
        <v>0.12</v>
      </c>
      <c r="N78">
        <v>0</v>
      </c>
    </row>
    <row r="79" spans="1:14">
      <c r="A79">
        <v>78</v>
      </c>
      <c r="B79" t="s">
        <v>18</v>
      </c>
      <c r="C79" t="s">
        <v>18</v>
      </c>
      <c r="D79">
        <v>0.02</v>
      </c>
      <c r="E79">
        <v>0</v>
      </c>
      <c r="F79">
        <v>0</v>
      </c>
      <c r="G79">
        <v>0.02</v>
      </c>
      <c r="H79">
        <v>0.01</v>
      </c>
      <c r="I79">
        <v>0</v>
      </c>
      <c r="J79">
        <v>0.01</v>
      </c>
      <c r="K79">
        <v>0</v>
      </c>
      <c r="L79">
        <v>0</v>
      </c>
      <c r="M79">
        <v>0</v>
      </c>
      <c r="N79">
        <v>0.94</v>
      </c>
    </row>
    <row r="80" spans="1:14">
      <c r="A80">
        <v>79</v>
      </c>
      <c r="B80" t="s">
        <v>18</v>
      </c>
      <c r="C80" t="s">
        <v>18</v>
      </c>
      <c r="D80">
        <v>0.01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0.01</v>
      </c>
      <c r="N80">
        <v>0.98</v>
      </c>
    </row>
    <row r="81" spans="1:14">
      <c r="A81">
        <v>80</v>
      </c>
      <c r="B81" t="s">
        <v>18</v>
      </c>
      <c r="C81" t="s">
        <v>18</v>
      </c>
      <c r="D81">
        <v>7.0000000000000007E-2</v>
      </c>
      <c r="E81">
        <v>0</v>
      </c>
      <c r="F81">
        <v>0</v>
      </c>
      <c r="G81">
        <v>0.16</v>
      </c>
      <c r="H81">
        <v>0</v>
      </c>
      <c r="I81">
        <v>0</v>
      </c>
      <c r="J81">
        <v>0.03</v>
      </c>
      <c r="K81">
        <v>0</v>
      </c>
      <c r="L81">
        <v>0</v>
      </c>
      <c r="M81">
        <v>0</v>
      </c>
      <c r="N81">
        <v>0.74</v>
      </c>
    </row>
    <row r="82" spans="1:14">
      <c r="A82">
        <v>81</v>
      </c>
      <c r="B82" t="s">
        <v>18</v>
      </c>
      <c r="C82" t="s">
        <v>18</v>
      </c>
      <c r="D82">
        <v>0.08</v>
      </c>
      <c r="E82">
        <v>0</v>
      </c>
      <c r="F82">
        <v>0</v>
      </c>
      <c r="G82">
        <v>0.13</v>
      </c>
      <c r="H82">
        <v>0</v>
      </c>
      <c r="I82">
        <v>0</v>
      </c>
      <c r="J82">
        <v>0.12</v>
      </c>
      <c r="K82">
        <v>0</v>
      </c>
      <c r="L82">
        <v>0</v>
      </c>
      <c r="M82">
        <v>0</v>
      </c>
      <c r="N82">
        <v>0.67</v>
      </c>
    </row>
    <row r="83" spans="1:14">
      <c r="A83">
        <v>82</v>
      </c>
      <c r="B83" t="s">
        <v>18</v>
      </c>
      <c r="C83" t="s">
        <v>18</v>
      </c>
      <c r="D83">
        <v>0.05</v>
      </c>
      <c r="E83">
        <v>0</v>
      </c>
      <c r="F83">
        <v>0</v>
      </c>
      <c r="G83">
        <v>0</v>
      </c>
      <c r="H83">
        <v>0.04</v>
      </c>
      <c r="I83">
        <v>0</v>
      </c>
      <c r="J83">
        <v>0.03</v>
      </c>
      <c r="K83">
        <v>0</v>
      </c>
      <c r="L83">
        <v>0</v>
      </c>
      <c r="M83">
        <v>0</v>
      </c>
      <c r="N83">
        <v>0.88</v>
      </c>
    </row>
    <row r="84" spans="1:14">
      <c r="A84">
        <v>83</v>
      </c>
      <c r="B84" t="s">
        <v>18</v>
      </c>
      <c r="C84" t="s">
        <v>18</v>
      </c>
      <c r="D84">
        <v>0.05</v>
      </c>
      <c r="E84">
        <v>0</v>
      </c>
      <c r="F84">
        <v>0</v>
      </c>
      <c r="G84">
        <v>0</v>
      </c>
      <c r="H84">
        <v>0</v>
      </c>
      <c r="I84">
        <v>0</v>
      </c>
      <c r="J84">
        <v>0.01</v>
      </c>
      <c r="K84">
        <v>0</v>
      </c>
      <c r="L84">
        <v>0</v>
      </c>
      <c r="M84">
        <v>0.01</v>
      </c>
      <c r="N84">
        <v>0.93</v>
      </c>
    </row>
    <row r="85" spans="1:14">
      <c r="A85">
        <v>84</v>
      </c>
      <c r="B85" t="s">
        <v>18</v>
      </c>
      <c r="C85" t="s">
        <v>18</v>
      </c>
      <c r="D85">
        <v>0.03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0.97</v>
      </c>
    </row>
    <row r="86" spans="1:14">
      <c r="A86">
        <v>85</v>
      </c>
      <c r="B86" t="s">
        <v>18</v>
      </c>
      <c r="C86" t="s">
        <v>18</v>
      </c>
      <c r="D86">
        <v>0.04</v>
      </c>
      <c r="E86">
        <v>0</v>
      </c>
      <c r="F86">
        <v>0</v>
      </c>
      <c r="G86">
        <v>0</v>
      </c>
      <c r="H86">
        <v>0.04</v>
      </c>
      <c r="I86">
        <v>0</v>
      </c>
      <c r="J86">
        <v>0.01</v>
      </c>
      <c r="K86">
        <v>0</v>
      </c>
      <c r="L86">
        <v>0</v>
      </c>
      <c r="M86">
        <v>0</v>
      </c>
      <c r="N86">
        <v>0.91</v>
      </c>
    </row>
    <row r="87" spans="1:14">
      <c r="A87">
        <v>86</v>
      </c>
      <c r="B87" t="s">
        <v>18</v>
      </c>
      <c r="C87" t="s">
        <v>18</v>
      </c>
      <c r="D87">
        <v>0.05</v>
      </c>
      <c r="E87">
        <v>0</v>
      </c>
      <c r="F87">
        <v>0</v>
      </c>
      <c r="G87">
        <v>0</v>
      </c>
      <c r="H87">
        <v>0.01</v>
      </c>
      <c r="I87">
        <v>0</v>
      </c>
      <c r="J87">
        <v>0.01</v>
      </c>
      <c r="K87">
        <v>0</v>
      </c>
      <c r="L87">
        <v>0</v>
      </c>
      <c r="M87">
        <v>0.01</v>
      </c>
      <c r="N87">
        <v>0.92</v>
      </c>
    </row>
    <row r="88" spans="1:14">
      <c r="A88">
        <v>87</v>
      </c>
      <c r="B88" t="s">
        <v>18</v>
      </c>
      <c r="C88" t="s">
        <v>18</v>
      </c>
      <c r="D88">
        <v>0.01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0.99</v>
      </c>
    </row>
    <row r="89" spans="1:14">
      <c r="A89">
        <v>88</v>
      </c>
      <c r="B89" t="s">
        <v>18</v>
      </c>
      <c r="C89" t="s">
        <v>18</v>
      </c>
      <c r="D89">
        <v>0.02</v>
      </c>
      <c r="E89">
        <v>0</v>
      </c>
      <c r="F89">
        <v>0</v>
      </c>
      <c r="G89">
        <v>0</v>
      </c>
      <c r="H89">
        <v>0.03</v>
      </c>
      <c r="I89">
        <v>0</v>
      </c>
      <c r="J89">
        <v>0</v>
      </c>
      <c r="K89">
        <v>0</v>
      </c>
      <c r="L89">
        <v>0</v>
      </c>
      <c r="M89">
        <v>0.03</v>
      </c>
      <c r="N89">
        <v>0.92</v>
      </c>
    </row>
    <row r="90" spans="1:14">
      <c r="A90">
        <v>89</v>
      </c>
      <c r="B90" t="s">
        <v>18</v>
      </c>
      <c r="C90" t="s">
        <v>18</v>
      </c>
      <c r="D90">
        <v>0.08</v>
      </c>
      <c r="E90">
        <v>0</v>
      </c>
      <c r="F90">
        <v>0</v>
      </c>
      <c r="G90">
        <v>0</v>
      </c>
      <c r="H90">
        <v>0.06</v>
      </c>
      <c r="I90">
        <v>0</v>
      </c>
      <c r="J90">
        <v>0.01</v>
      </c>
      <c r="K90">
        <v>0</v>
      </c>
      <c r="L90">
        <v>0</v>
      </c>
      <c r="M90">
        <v>0.06</v>
      </c>
      <c r="N90">
        <v>0.79</v>
      </c>
    </row>
    <row r="91" spans="1:14">
      <c r="A91">
        <v>90</v>
      </c>
      <c r="B91" t="s">
        <v>18</v>
      </c>
      <c r="C91" t="s">
        <v>18</v>
      </c>
      <c r="D91">
        <v>0.06</v>
      </c>
      <c r="E91">
        <v>0</v>
      </c>
      <c r="F91">
        <v>0</v>
      </c>
      <c r="G91">
        <v>0.09</v>
      </c>
      <c r="H91">
        <v>0.02</v>
      </c>
      <c r="I91">
        <v>0</v>
      </c>
      <c r="J91">
        <v>0.05</v>
      </c>
      <c r="K91">
        <v>0</v>
      </c>
      <c r="L91">
        <v>0</v>
      </c>
      <c r="M91">
        <v>0</v>
      </c>
      <c r="N91">
        <v>0.78</v>
      </c>
    </row>
    <row r="92" spans="1:14">
      <c r="A92">
        <v>91</v>
      </c>
      <c r="B92" t="s">
        <v>18</v>
      </c>
      <c r="C92" t="s">
        <v>18</v>
      </c>
      <c r="D92">
        <v>0.09</v>
      </c>
      <c r="E92">
        <v>0</v>
      </c>
      <c r="F92">
        <v>0</v>
      </c>
      <c r="G92">
        <v>7.0000000000000007E-2</v>
      </c>
      <c r="H92">
        <v>0.02</v>
      </c>
      <c r="I92">
        <v>0</v>
      </c>
      <c r="J92">
        <v>0.01</v>
      </c>
      <c r="K92">
        <v>0.01</v>
      </c>
      <c r="L92">
        <v>0</v>
      </c>
      <c r="M92">
        <v>0.01</v>
      </c>
      <c r="N92">
        <v>0.79</v>
      </c>
    </row>
    <row r="93" spans="1:14">
      <c r="A93">
        <v>92</v>
      </c>
      <c r="B93" t="s">
        <v>18</v>
      </c>
      <c r="C93" t="s">
        <v>34</v>
      </c>
      <c r="D93">
        <v>0.32</v>
      </c>
      <c r="E93">
        <v>0.05</v>
      </c>
      <c r="F93">
        <v>0</v>
      </c>
      <c r="G93">
        <v>0</v>
      </c>
      <c r="H93">
        <v>0.16</v>
      </c>
      <c r="I93">
        <v>0</v>
      </c>
      <c r="J93">
        <v>0.23</v>
      </c>
      <c r="K93">
        <v>0</v>
      </c>
      <c r="L93">
        <v>0</v>
      </c>
      <c r="M93">
        <v>0.24</v>
      </c>
      <c r="N93">
        <v>0</v>
      </c>
    </row>
    <row r="94" spans="1:14">
      <c r="A94">
        <v>93</v>
      </c>
      <c r="B94" t="s">
        <v>26</v>
      </c>
      <c r="C94" t="s">
        <v>26</v>
      </c>
      <c r="D94">
        <v>0</v>
      </c>
      <c r="E94">
        <v>0.02</v>
      </c>
      <c r="F94">
        <v>0</v>
      </c>
      <c r="G94">
        <v>0.01</v>
      </c>
      <c r="H94">
        <v>0.82</v>
      </c>
      <c r="I94">
        <v>0</v>
      </c>
      <c r="J94">
        <v>0.01</v>
      </c>
      <c r="K94">
        <v>0.02</v>
      </c>
      <c r="L94">
        <v>0</v>
      </c>
      <c r="M94">
        <v>0.12</v>
      </c>
      <c r="N94">
        <v>0</v>
      </c>
    </row>
    <row r="95" spans="1:14">
      <c r="A95">
        <v>94</v>
      </c>
      <c r="B95" t="s">
        <v>31</v>
      </c>
      <c r="C95" t="s">
        <v>31</v>
      </c>
      <c r="D95">
        <v>0</v>
      </c>
      <c r="E95">
        <v>0</v>
      </c>
      <c r="F95">
        <v>0</v>
      </c>
      <c r="G95">
        <v>0</v>
      </c>
      <c r="H95">
        <v>0.18</v>
      </c>
      <c r="I95">
        <v>0</v>
      </c>
      <c r="J95">
        <v>0.01</v>
      </c>
      <c r="K95">
        <v>0</v>
      </c>
      <c r="L95">
        <v>0</v>
      </c>
      <c r="M95">
        <v>0.8</v>
      </c>
      <c r="N95">
        <v>0.01</v>
      </c>
    </row>
    <row r="96" spans="1:14">
      <c r="A96">
        <v>95</v>
      </c>
      <c r="B96" t="s">
        <v>31</v>
      </c>
      <c r="C96" t="s">
        <v>31</v>
      </c>
      <c r="D96">
        <v>0.01</v>
      </c>
      <c r="E96">
        <v>0</v>
      </c>
      <c r="F96">
        <v>0</v>
      </c>
      <c r="G96">
        <v>0</v>
      </c>
      <c r="H96">
        <v>0.05</v>
      </c>
      <c r="I96">
        <v>0</v>
      </c>
      <c r="J96">
        <v>0</v>
      </c>
      <c r="K96">
        <v>0</v>
      </c>
      <c r="L96">
        <v>0</v>
      </c>
      <c r="M96">
        <v>0.93</v>
      </c>
      <c r="N96">
        <v>0.01</v>
      </c>
    </row>
    <row r="97" spans="1:14">
      <c r="A97">
        <v>96</v>
      </c>
      <c r="B97" t="s">
        <v>22</v>
      </c>
      <c r="C97" t="s">
        <v>22</v>
      </c>
      <c r="D97">
        <v>0</v>
      </c>
      <c r="E97">
        <v>0</v>
      </c>
      <c r="F97">
        <v>0</v>
      </c>
      <c r="G97">
        <v>0.89</v>
      </c>
      <c r="H97">
        <v>0</v>
      </c>
      <c r="I97">
        <v>0</v>
      </c>
      <c r="J97">
        <v>0.01</v>
      </c>
      <c r="K97">
        <v>0</v>
      </c>
      <c r="L97">
        <v>0</v>
      </c>
      <c r="M97">
        <v>0</v>
      </c>
      <c r="N97">
        <v>0.1</v>
      </c>
    </row>
    <row r="98" spans="1:14">
      <c r="A98">
        <v>97</v>
      </c>
      <c r="B98" t="s">
        <v>26</v>
      </c>
      <c r="C98" t="s">
        <v>26</v>
      </c>
      <c r="D98">
        <v>0.01</v>
      </c>
      <c r="E98">
        <v>7.0000000000000007E-2</v>
      </c>
      <c r="F98">
        <v>0</v>
      </c>
      <c r="G98">
        <v>0</v>
      </c>
      <c r="H98">
        <v>0.66</v>
      </c>
      <c r="I98">
        <v>0.02</v>
      </c>
      <c r="J98">
        <v>0.05</v>
      </c>
      <c r="K98">
        <v>0</v>
      </c>
      <c r="L98">
        <v>0</v>
      </c>
      <c r="M98">
        <v>0.13</v>
      </c>
      <c r="N98">
        <v>0.06</v>
      </c>
    </row>
    <row r="99" spans="1:14">
      <c r="A99">
        <v>98</v>
      </c>
      <c r="B99" t="s">
        <v>26</v>
      </c>
      <c r="C99" t="s">
        <v>26</v>
      </c>
      <c r="D99">
        <v>0.01</v>
      </c>
      <c r="E99">
        <v>0.01</v>
      </c>
      <c r="F99">
        <v>0</v>
      </c>
      <c r="G99">
        <v>0</v>
      </c>
      <c r="H99">
        <v>0.9</v>
      </c>
      <c r="I99">
        <v>0</v>
      </c>
      <c r="J99">
        <v>0.05</v>
      </c>
      <c r="K99">
        <v>0</v>
      </c>
      <c r="L99">
        <v>0</v>
      </c>
      <c r="M99">
        <v>0.03</v>
      </c>
      <c r="N99">
        <v>0</v>
      </c>
    </row>
    <row r="100" spans="1:14">
      <c r="A100">
        <v>99</v>
      </c>
      <c r="B100" t="s">
        <v>26</v>
      </c>
      <c r="C100" t="s">
        <v>26</v>
      </c>
      <c r="D100">
        <v>0.1</v>
      </c>
      <c r="E100">
        <v>0</v>
      </c>
      <c r="F100">
        <v>0</v>
      </c>
      <c r="G100">
        <v>0.05</v>
      </c>
      <c r="H100">
        <v>0.83</v>
      </c>
      <c r="I100">
        <v>0</v>
      </c>
      <c r="J100">
        <v>0.02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51</v>
      </c>
      <c r="C101" t="s">
        <v>51</v>
      </c>
      <c r="D101">
        <v>0.03</v>
      </c>
      <c r="E101">
        <v>0.84</v>
      </c>
      <c r="F101">
        <v>0</v>
      </c>
      <c r="G101">
        <v>0</v>
      </c>
      <c r="H101">
        <v>0.09</v>
      </c>
      <c r="I101">
        <v>0</v>
      </c>
      <c r="J101">
        <v>0.04</v>
      </c>
      <c r="K101">
        <v>0</v>
      </c>
      <c r="L101">
        <v>0</v>
      </c>
      <c r="M101">
        <v>0</v>
      </c>
      <c r="N101">
        <v>0</v>
      </c>
    </row>
  </sheetData>
  <autoFilter ref="A1:N1" xr:uid="{00000000-0009-0000-0000-000003000000}">
    <sortState xmlns:xlrd2="http://schemas.microsoft.com/office/spreadsheetml/2017/richdata2" ref="A2:N101">
      <sortCondition ref="A1:A10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B101"/>
  <sheetViews>
    <sheetView topLeftCell="A9" workbookViewId="0">
      <selection activeCell="B27" sqref="B27"/>
    </sheetView>
  </sheetViews>
  <sheetFormatPr baseColWidth="10" defaultRowHeight="16"/>
  <sheetData>
    <row r="1" spans="1:28">
      <c r="A1" t="s">
        <v>55</v>
      </c>
      <c r="B1" t="s">
        <v>9</v>
      </c>
      <c r="C1" t="s">
        <v>117</v>
      </c>
      <c r="D1" t="s">
        <v>63</v>
      </c>
      <c r="E1" t="s">
        <v>64</v>
      </c>
      <c r="F1" t="s">
        <v>35</v>
      </c>
      <c r="G1" t="s">
        <v>27</v>
      </c>
      <c r="H1" t="s">
        <v>65</v>
      </c>
      <c r="I1" t="s">
        <v>66</v>
      </c>
      <c r="J1" t="s">
        <v>67</v>
      </c>
      <c r="K1" t="s">
        <v>29</v>
      </c>
      <c r="L1" t="s">
        <v>52</v>
      </c>
      <c r="M1" t="s">
        <v>68</v>
      </c>
      <c r="N1" t="s">
        <v>32</v>
      </c>
      <c r="O1" t="s">
        <v>69</v>
      </c>
      <c r="P1" t="s">
        <v>70</v>
      </c>
      <c r="Q1" t="s">
        <v>39</v>
      </c>
      <c r="R1" t="s">
        <v>71</v>
      </c>
      <c r="S1" t="s">
        <v>72</v>
      </c>
      <c r="T1" t="s">
        <v>48</v>
      </c>
      <c r="U1" t="s">
        <v>24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78</v>
      </c>
      <c r="AB1" t="s">
        <v>19</v>
      </c>
    </row>
    <row r="2" spans="1:28">
      <c r="A2">
        <v>1</v>
      </c>
      <c r="B2" t="s">
        <v>19</v>
      </c>
      <c r="C2" t="s">
        <v>19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0.42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0.57999999999999996</v>
      </c>
    </row>
    <row r="3" spans="1:28">
      <c r="A3">
        <v>2</v>
      </c>
      <c r="B3" t="s">
        <v>19</v>
      </c>
      <c r="C3" t="s">
        <v>19</v>
      </c>
      <c r="D3">
        <v>0</v>
      </c>
      <c r="E3">
        <v>0</v>
      </c>
      <c r="F3">
        <v>0.02</v>
      </c>
      <c r="G3">
        <v>0</v>
      </c>
      <c r="H3">
        <v>0</v>
      </c>
      <c r="I3">
        <v>0</v>
      </c>
      <c r="J3">
        <v>0</v>
      </c>
      <c r="K3">
        <v>0.21</v>
      </c>
      <c r="L3">
        <v>0</v>
      </c>
      <c r="M3">
        <v>0</v>
      </c>
      <c r="N3">
        <v>0</v>
      </c>
      <c r="O3">
        <v>0</v>
      </c>
      <c r="P3">
        <v>0.01</v>
      </c>
      <c r="Q3">
        <v>0</v>
      </c>
      <c r="R3">
        <v>0</v>
      </c>
      <c r="S3">
        <v>0</v>
      </c>
      <c r="T3">
        <v>0</v>
      </c>
      <c r="U3">
        <v>0.04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0.72</v>
      </c>
    </row>
    <row r="4" spans="1:28">
      <c r="A4">
        <v>3</v>
      </c>
      <c r="B4" t="s">
        <v>19</v>
      </c>
      <c r="C4" t="s">
        <v>19</v>
      </c>
      <c r="D4">
        <v>0.02</v>
      </c>
      <c r="E4">
        <v>0</v>
      </c>
      <c r="F4">
        <v>0.01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0.97</v>
      </c>
    </row>
    <row r="5" spans="1:28">
      <c r="A5">
        <v>4</v>
      </c>
      <c r="B5" t="s">
        <v>19</v>
      </c>
      <c r="C5" t="s">
        <v>19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0.01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0.99</v>
      </c>
    </row>
    <row r="6" spans="1:28">
      <c r="A6">
        <v>5</v>
      </c>
      <c r="B6" t="s">
        <v>19</v>
      </c>
      <c r="C6" t="s">
        <v>19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0.26</v>
      </c>
      <c r="L6">
        <v>0</v>
      </c>
      <c r="M6">
        <v>0</v>
      </c>
      <c r="N6">
        <v>0</v>
      </c>
      <c r="O6">
        <v>0.01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0.01</v>
      </c>
      <c r="W6">
        <v>0</v>
      </c>
      <c r="X6">
        <v>0</v>
      </c>
      <c r="Y6">
        <v>0</v>
      </c>
      <c r="Z6">
        <v>0</v>
      </c>
      <c r="AA6">
        <v>0</v>
      </c>
      <c r="AB6">
        <v>0.72</v>
      </c>
    </row>
    <row r="7" spans="1:28">
      <c r="A7">
        <v>6</v>
      </c>
      <c r="B7" t="s">
        <v>19</v>
      </c>
      <c r="C7" t="s">
        <v>19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0.01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0.99</v>
      </c>
    </row>
    <row r="8" spans="1:28">
      <c r="A8">
        <v>7</v>
      </c>
      <c r="B8" t="s">
        <v>19</v>
      </c>
      <c r="C8" t="s">
        <v>19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0.01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0.99</v>
      </c>
    </row>
    <row r="9" spans="1:28">
      <c r="A9">
        <v>8</v>
      </c>
      <c r="B9" t="s">
        <v>19</v>
      </c>
      <c r="C9" t="s">
        <v>19</v>
      </c>
      <c r="D9">
        <v>0.02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0.01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0.97</v>
      </c>
    </row>
    <row r="10" spans="1:28">
      <c r="A10">
        <v>9</v>
      </c>
      <c r="B10" t="s">
        <v>19</v>
      </c>
      <c r="C10" t="s">
        <v>19</v>
      </c>
      <c r="D10">
        <v>0.02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0.01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0.97</v>
      </c>
    </row>
    <row r="11" spans="1:28">
      <c r="A11">
        <v>10</v>
      </c>
      <c r="B11" t="s">
        <v>19</v>
      </c>
      <c r="C11" t="s">
        <v>19</v>
      </c>
      <c r="D11">
        <v>0.02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0.01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0.97</v>
      </c>
    </row>
    <row r="12" spans="1:28">
      <c r="A12">
        <v>11</v>
      </c>
      <c r="B12" t="s">
        <v>19</v>
      </c>
      <c r="C12" t="s">
        <v>19</v>
      </c>
      <c r="D12">
        <v>0</v>
      </c>
      <c r="E12">
        <v>0</v>
      </c>
      <c r="F12">
        <v>0.01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0.01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0.98</v>
      </c>
    </row>
    <row r="13" spans="1:28">
      <c r="A13">
        <v>12</v>
      </c>
      <c r="B13" t="s">
        <v>19</v>
      </c>
      <c r="C13" t="s">
        <v>19</v>
      </c>
      <c r="D13">
        <v>0</v>
      </c>
      <c r="E13">
        <v>0</v>
      </c>
      <c r="F13">
        <v>0.01</v>
      </c>
      <c r="G13">
        <v>0</v>
      </c>
      <c r="H13">
        <v>0</v>
      </c>
      <c r="I13">
        <v>0</v>
      </c>
      <c r="J13">
        <v>0</v>
      </c>
      <c r="K13">
        <v>0.04</v>
      </c>
      <c r="L13">
        <v>0</v>
      </c>
      <c r="M13">
        <v>0</v>
      </c>
      <c r="N13">
        <v>0</v>
      </c>
      <c r="O13">
        <v>0</v>
      </c>
      <c r="P13">
        <v>0.01</v>
      </c>
      <c r="Q13">
        <v>0</v>
      </c>
      <c r="R13">
        <v>0</v>
      </c>
      <c r="S13">
        <v>0</v>
      </c>
      <c r="T13">
        <v>0</v>
      </c>
      <c r="U13">
        <v>0.01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0.93</v>
      </c>
    </row>
    <row r="14" spans="1:28">
      <c r="A14">
        <v>13</v>
      </c>
      <c r="B14" t="s">
        <v>19</v>
      </c>
      <c r="C14" t="s">
        <v>19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0.12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0.88</v>
      </c>
    </row>
    <row r="15" spans="1:28">
      <c r="A15">
        <v>14</v>
      </c>
      <c r="B15" t="s">
        <v>19</v>
      </c>
      <c r="C15" t="s">
        <v>19</v>
      </c>
      <c r="D15">
        <v>0</v>
      </c>
      <c r="E15">
        <v>0</v>
      </c>
      <c r="F15">
        <v>0.01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0.01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0.98</v>
      </c>
    </row>
    <row r="16" spans="1:28">
      <c r="A16">
        <v>15</v>
      </c>
      <c r="B16" t="s">
        <v>19</v>
      </c>
      <c r="C16" t="s">
        <v>19</v>
      </c>
      <c r="D16">
        <v>0</v>
      </c>
      <c r="E16">
        <v>0</v>
      </c>
      <c r="F16">
        <v>0.01</v>
      </c>
      <c r="G16">
        <v>0</v>
      </c>
      <c r="H16">
        <v>0</v>
      </c>
      <c r="I16">
        <v>0</v>
      </c>
      <c r="J16">
        <v>0</v>
      </c>
      <c r="K16">
        <v>0.13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0.86</v>
      </c>
    </row>
    <row r="17" spans="1:28">
      <c r="A17">
        <v>16</v>
      </c>
      <c r="B17" t="s">
        <v>19</v>
      </c>
      <c r="C17" t="s">
        <v>19</v>
      </c>
      <c r="D17">
        <v>0.01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0.01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0.98</v>
      </c>
    </row>
    <row r="18" spans="1:28">
      <c r="A18">
        <v>17</v>
      </c>
      <c r="B18" t="s">
        <v>19</v>
      </c>
      <c r="C18" t="s">
        <v>19</v>
      </c>
      <c r="D18">
        <v>0</v>
      </c>
      <c r="E18">
        <v>0</v>
      </c>
      <c r="F18">
        <v>0.02</v>
      </c>
      <c r="G18">
        <v>0</v>
      </c>
      <c r="H18">
        <v>0</v>
      </c>
      <c r="I18">
        <v>0</v>
      </c>
      <c r="J18">
        <v>0</v>
      </c>
      <c r="K18">
        <v>0.19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0.79</v>
      </c>
    </row>
    <row r="19" spans="1:28">
      <c r="A19">
        <v>18</v>
      </c>
      <c r="B19" t="s">
        <v>19</v>
      </c>
      <c r="C19" t="s">
        <v>24</v>
      </c>
      <c r="D19">
        <v>0.01</v>
      </c>
      <c r="E19">
        <v>0</v>
      </c>
      <c r="F19">
        <v>0.01</v>
      </c>
      <c r="G19">
        <v>0</v>
      </c>
      <c r="H19">
        <v>0</v>
      </c>
      <c r="I19">
        <v>0</v>
      </c>
      <c r="J19">
        <v>0</v>
      </c>
      <c r="K19">
        <v>0</v>
      </c>
      <c r="L19">
        <v>0.08</v>
      </c>
      <c r="M19">
        <v>0</v>
      </c>
      <c r="N19">
        <v>0</v>
      </c>
      <c r="O19">
        <v>0.01</v>
      </c>
      <c r="P19">
        <v>0.04</v>
      </c>
      <c r="Q19">
        <v>0.02</v>
      </c>
      <c r="R19">
        <v>0</v>
      </c>
      <c r="S19">
        <v>0</v>
      </c>
      <c r="T19">
        <v>0</v>
      </c>
      <c r="U19">
        <v>0.8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0.03</v>
      </c>
    </row>
    <row r="20" spans="1:28">
      <c r="A20">
        <v>19</v>
      </c>
      <c r="B20" t="s">
        <v>19</v>
      </c>
      <c r="C20" t="s">
        <v>27</v>
      </c>
      <c r="D20">
        <v>0</v>
      </c>
      <c r="E20">
        <v>0</v>
      </c>
      <c r="F20">
        <v>0</v>
      </c>
      <c r="G20">
        <v>0.97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0.03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</row>
    <row r="21" spans="1:28">
      <c r="A21">
        <v>20</v>
      </c>
      <c r="B21" t="s">
        <v>19</v>
      </c>
      <c r="C21" t="s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0.38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0.62</v>
      </c>
    </row>
    <row r="22" spans="1:28">
      <c r="A22">
        <v>21</v>
      </c>
      <c r="B22" t="s">
        <v>19</v>
      </c>
      <c r="C22" t="s">
        <v>19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0.32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0.01</v>
      </c>
      <c r="Y22">
        <v>0</v>
      </c>
      <c r="Z22">
        <v>0</v>
      </c>
      <c r="AA22">
        <v>0</v>
      </c>
      <c r="AB22">
        <v>0.67</v>
      </c>
    </row>
    <row r="23" spans="1:28">
      <c r="A23">
        <v>22</v>
      </c>
      <c r="B23" t="s">
        <v>19</v>
      </c>
      <c r="C23" t="s">
        <v>19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0.34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0.66</v>
      </c>
    </row>
    <row r="24" spans="1:28">
      <c r="A24">
        <v>23</v>
      </c>
      <c r="B24" t="s">
        <v>27</v>
      </c>
      <c r="C24" t="s">
        <v>27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:28">
      <c r="A25">
        <v>24</v>
      </c>
      <c r="B25" t="s">
        <v>27</v>
      </c>
      <c r="C25" t="s">
        <v>27</v>
      </c>
      <c r="D25">
        <v>0</v>
      </c>
      <c r="E25">
        <v>0</v>
      </c>
      <c r="F25">
        <v>0</v>
      </c>
      <c r="G25">
        <v>0.99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0.01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:28">
      <c r="A26">
        <v>25</v>
      </c>
      <c r="B26" t="s">
        <v>29</v>
      </c>
      <c r="C26" t="s">
        <v>29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</row>
    <row r="27" spans="1:28">
      <c r="A27" s="9">
        <v>26</v>
      </c>
      <c r="B27" s="9" t="s">
        <v>29</v>
      </c>
      <c r="C27" s="9" t="s">
        <v>29</v>
      </c>
      <c r="D27" s="9">
        <v>0</v>
      </c>
      <c r="E27" s="9">
        <v>0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0.98</v>
      </c>
      <c r="L27" s="9">
        <v>0</v>
      </c>
      <c r="M27" s="9">
        <v>0</v>
      </c>
      <c r="N27" s="9">
        <v>0</v>
      </c>
      <c r="O27" s="9">
        <v>0</v>
      </c>
      <c r="P27" s="9">
        <v>0</v>
      </c>
      <c r="Q27" s="9">
        <v>0</v>
      </c>
      <c r="R27" s="9">
        <v>0</v>
      </c>
      <c r="S27" s="9">
        <v>0</v>
      </c>
      <c r="T27" s="9">
        <v>0</v>
      </c>
      <c r="U27" s="9">
        <v>0</v>
      </c>
      <c r="V27" s="9">
        <v>0</v>
      </c>
      <c r="W27" s="9">
        <v>0</v>
      </c>
      <c r="X27" s="9">
        <v>0</v>
      </c>
      <c r="Y27" s="9">
        <v>0</v>
      </c>
      <c r="Z27" s="9">
        <v>0</v>
      </c>
      <c r="AA27" s="9">
        <v>0</v>
      </c>
      <c r="AB27" s="9">
        <v>0.02</v>
      </c>
    </row>
    <row r="28" spans="1:28">
      <c r="A28">
        <v>27</v>
      </c>
      <c r="B28" t="s">
        <v>27</v>
      </c>
      <c r="C28" t="s">
        <v>27</v>
      </c>
      <c r="D28">
        <v>0</v>
      </c>
      <c r="E28">
        <v>0</v>
      </c>
      <c r="F28">
        <v>0</v>
      </c>
      <c r="G28">
        <v>0.99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0.01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</row>
    <row r="29" spans="1:28">
      <c r="A29">
        <v>28</v>
      </c>
      <c r="B29" t="s">
        <v>27</v>
      </c>
      <c r="C29" t="s">
        <v>27</v>
      </c>
      <c r="D29">
        <v>0</v>
      </c>
      <c r="E29">
        <v>0</v>
      </c>
      <c r="F29">
        <v>0</v>
      </c>
      <c r="G29">
        <v>0.99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0.01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</row>
    <row r="30" spans="1:28">
      <c r="A30">
        <v>29</v>
      </c>
      <c r="B30" t="s">
        <v>29</v>
      </c>
      <c r="C30" t="s">
        <v>29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</row>
    <row r="31" spans="1:28">
      <c r="A31">
        <v>30</v>
      </c>
      <c r="B31" t="s">
        <v>29</v>
      </c>
      <c r="C31" t="s">
        <v>29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</row>
    <row r="32" spans="1:28">
      <c r="A32">
        <v>31</v>
      </c>
      <c r="B32" t="s">
        <v>29</v>
      </c>
      <c r="C32" t="s">
        <v>29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</row>
    <row r="33" spans="1:28">
      <c r="A33">
        <v>32</v>
      </c>
      <c r="B33" t="s">
        <v>29</v>
      </c>
      <c r="C33" t="s">
        <v>29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</row>
    <row r="34" spans="1:28">
      <c r="A34">
        <v>33</v>
      </c>
      <c r="B34" t="s">
        <v>29</v>
      </c>
      <c r="C34" t="s">
        <v>29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</row>
    <row r="35" spans="1:28">
      <c r="A35">
        <v>34</v>
      </c>
      <c r="B35" t="s">
        <v>29</v>
      </c>
      <c r="C35" t="s">
        <v>29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</row>
    <row r="36" spans="1:28">
      <c r="A36">
        <v>35</v>
      </c>
      <c r="B36" t="s">
        <v>27</v>
      </c>
      <c r="C36" t="s">
        <v>27</v>
      </c>
      <c r="D36">
        <v>0</v>
      </c>
      <c r="E36">
        <v>0</v>
      </c>
      <c r="F36">
        <v>0</v>
      </c>
      <c r="G36">
        <v>0.98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0.02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>
      <c r="A37">
        <v>36</v>
      </c>
      <c r="B37" t="s">
        <v>27</v>
      </c>
      <c r="C37" t="s">
        <v>27</v>
      </c>
      <c r="D37">
        <v>0</v>
      </c>
      <c r="E37">
        <v>0</v>
      </c>
      <c r="F37">
        <v>0</v>
      </c>
      <c r="G37">
        <v>0.96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0.04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>
      <c r="A38">
        <v>37</v>
      </c>
      <c r="B38" t="s">
        <v>29</v>
      </c>
      <c r="C38" t="s">
        <v>29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>
      <c r="A39">
        <v>38</v>
      </c>
      <c r="B39" t="s">
        <v>29</v>
      </c>
      <c r="C39" t="s">
        <v>29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0.99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0.01</v>
      </c>
    </row>
    <row r="40" spans="1:28">
      <c r="A40">
        <v>39</v>
      </c>
      <c r="B40" t="s">
        <v>29</v>
      </c>
      <c r="C40" t="s">
        <v>29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0.99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0.01</v>
      </c>
    </row>
    <row r="41" spans="1:28">
      <c r="A41">
        <v>40</v>
      </c>
      <c r="B41" t="s">
        <v>29</v>
      </c>
      <c r="C41" t="s">
        <v>29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0.99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0.01</v>
      </c>
    </row>
    <row r="42" spans="1:28">
      <c r="A42">
        <v>41</v>
      </c>
      <c r="B42" t="s">
        <v>29</v>
      </c>
      <c r="C42" t="s">
        <v>29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0.99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0.01</v>
      </c>
    </row>
    <row r="43" spans="1:28">
      <c r="A43">
        <v>42</v>
      </c>
      <c r="B43" t="s">
        <v>29</v>
      </c>
      <c r="C43" t="s">
        <v>29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>
      <c r="A44">
        <v>43</v>
      </c>
      <c r="B44" t="s">
        <v>29</v>
      </c>
      <c r="C44" t="s">
        <v>29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>
      <c r="A45">
        <v>44</v>
      </c>
      <c r="B45" t="s">
        <v>29</v>
      </c>
      <c r="C45" t="s">
        <v>29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>
      <c r="A46">
        <v>45</v>
      </c>
      <c r="B46" t="s">
        <v>29</v>
      </c>
      <c r="C46" t="s">
        <v>29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>
      <c r="A47">
        <v>46</v>
      </c>
      <c r="B47" t="s">
        <v>29</v>
      </c>
      <c r="C47" t="s">
        <v>29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>
      <c r="A48">
        <v>47</v>
      </c>
      <c r="B48" t="s">
        <v>29</v>
      </c>
      <c r="C48" t="s">
        <v>29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>
      <c r="A49">
        <v>48</v>
      </c>
      <c r="B49" t="s">
        <v>29</v>
      </c>
      <c r="C49" t="s">
        <v>29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>
      <c r="A50">
        <v>49</v>
      </c>
      <c r="B50" t="s">
        <v>29</v>
      </c>
      <c r="C50" t="s">
        <v>29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>
      <c r="A51">
        <v>50</v>
      </c>
      <c r="B51" t="s">
        <v>29</v>
      </c>
      <c r="C51" t="s">
        <v>29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1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>
      <c r="A52">
        <v>51</v>
      </c>
      <c r="B52" t="s">
        <v>29</v>
      </c>
      <c r="C52" t="s">
        <v>29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>
      <c r="A53">
        <v>52</v>
      </c>
      <c r="B53" t="s">
        <v>29</v>
      </c>
      <c r="C53" t="s">
        <v>29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>
      <c r="A54">
        <v>53</v>
      </c>
      <c r="B54" t="s">
        <v>29</v>
      </c>
      <c r="C54" t="s">
        <v>29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0.98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0.02</v>
      </c>
    </row>
    <row r="55" spans="1:28">
      <c r="A55">
        <v>54</v>
      </c>
      <c r="B55" t="s">
        <v>122</v>
      </c>
      <c r="C55" t="s">
        <v>32</v>
      </c>
      <c r="D55">
        <v>0</v>
      </c>
      <c r="E55">
        <v>0.28000000000000003</v>
      </c>
      <c r="F55">
        <v>0</v>
      </c>
      <c r="G55">
        <v>0</v>
      </c>
      <c r="H55">
        <v>0.01</v>
      </c>
      <c r="I55">
        <v>0</v>
      </c>
      <c r="J55">
        <v>0</v>
      </c>
      <c r="K55">
        <v>0</v>
      </c>
      <c r="L55">
        <v>0</v>
      </c>
      <c r="M55">
        <v>0.02</v>
      </c>
      <c r="N55">
        <v>0.67</v>
      </c>
      <c r="O55">
        <v>0</v>
      </c>
      <c r="P55">
        <v>0</v>
      </c>
      <c r="Q55">
        <v>0</v>
      </c>
      <c r="R55">
        <v>0</v>
      </c>
      <c r="S55">
        <v>0</v>
      </c>
      <c r="T55">
        <v>0.02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>
      <c r="A56">
        <v>55</v>
      </c>
      <c r="B56" t="s">
        <v>122</v>
      </c>
      <c r="C56" t="s">
        <v>35</v>
      </c>
      <c r="D56">
        <v>0</v>
      </c>
      <c r="E56">
        <v>0</v>
      </c>
      <c r="F56">
        <v>0.94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0.06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>
      <c r="A57">
        <v>56</v>
      </c>
      <c r="B57" t="s">
        <v>122</v>
      </c>
      <c r="C57" t="s">
        <v>32</v>
      </c>
      <c r="D57">
        <v>0</v>
      </c>
      <c r="E57">
        <v>0.28000000000000003</v>
      </c>
      <c r="F57">
        <v>0</v>
      </c>
      <c r="G57">
        <v>0</v>
      </c>
      <c r="H57">
        <v>0.01</v>
      </c>
      <c r="I57">
        <v>0</v>
      </c>
      <c r="J57">
        <v>0</v>
      </c>
      <c r="K57">
        <v>0</v>
      </c>
      <c r="L57">
        <v>0</v>
      </c>
      <c r="M57">
        <v>0.02</v>
      </c>
      <c r="N57">
        <v>0.67</v>
      </c>
      <c r="O57">
        <v>0</v>
      </c>
      <c r="P57">
        <v>0</v>
      </c>
      <c r="Q57">
        <v>0</v>
      </c>
      <c r="R57">
        <v>0</v>
      </c>
      <c r="S57">
        <v>0</v>
      </c>
      <c r="T57">
        <v>0.02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>
      <c r="A58">
        <v>57</v>
      </c>
      <c r="B58" t="s">
        <v>122</v>
      </c>
      <c r="C58" t="s">
        <v>35</v>
      </c>
      <c r="D58">
        <v>0</v>
      </c>
      <c r="E58">
        <v>0</v>
      </c>
      <c r="F58">
        <v>0.95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0.05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>
      <c r="A59">
        <v>58</v>
      </c>
      <c r="B59" t="s">
        <v>29</v>
      </c>
      <c r="C59" t="s">
        <v>29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>
      <c r="A60">
        <v>59</v>
      </c>
      <c r="B60" t="s">
        <v>29</v>
      </c>
      <c r="C60" t="s">
        <v>29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0.99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0.01</v>
      </c>
    </row>
    <row r="61" spans="1:28">
      <c r="A61">
        <v>60</v>
      </c>
      <c r="B61" t="s">
        <v>29</v>
      </c>
      <c r="C61" t="s">
        <v>29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>
      <c r="A62">
        <v>61</v>
      </c>
      <c r="B62" t="s">
        <v>29</v>
      </c>
      <c r="C62" t="s">
        <v>29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0.99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0.01</v>
      </c>
    </row>
    <row r="63" spans="1:28">
      <c r="A63">
        <v>62</v>
      </c>
      <c r="B63" t="s">
        <v>122</v>
      </c>
      <c r="C63" t="s">
        <v>29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>
      <c r="A64" s="6">
        <v>63</v>
      </c>
      <c r="B64" s="6" t="s">
        <v>122</v>
      </c>
      <c r="C64" s="6" t="s">
        <v>29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0.98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0.02</v>
      </c>
    </row>
    <row r="65" spans="1:28">
      <c r="A65">
        <v>64</v>
      </c>
      <c r="B65" t="s">
        <v>122</v>
      </c>
      <c r="C65" t="s">
        <v>39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>
      <c r="A66">
        <v>65</v>
      </c>
      <c r="B66" t="s">
        <v>121</v>
      </c>
      <c r="C66" t="s">
        <v>27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>
      <c r="A67">
        <v>66</v>
      </c>
      <c r="B67" t="s">
        <v>121</v>
      </c>
      <c r="C67" t="s">
        <v>39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>
      <c r="A68">
        <v>67</v>
      </c>
      <c r="B68" t="s">
        <v>121</v>
      </c>
      <c r="C68" t="s">
        <v>39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>
      <c r="A69">
        <v>68</v>
      </c>
      <c r="B69" t="s">
        <v>121</v>
      </c>
      <c r="C69" t="s">
        <v>32</v>
      </c>
      <c r="D69">
        <v>0</v>
      </c>
      <c r="E69">
        <v>0.02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0.22</v>
      </c>
      <c r="N69">
        <v>0.74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0.02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>
      <c r="A70">
        <v>69</v>
      </c>
      <c r="B70" t="s">
        <v>120</v>
      </c>
      <c r="C70" t="s">
        <v>24</v>
      </c>
      <c r="D70">
        <v>0</v>
      </c>
      <c r="E70">
        <v>0</v>
      </c>
      <c r="F70">
        <v>0.01</v>
      </c>
      <c r="G70">
        <v>0</v>
      </c>
      <c r="H70">
        <v>0</v>
      </c>
      <c r="I70">
        <v>0</v>
      </c>
      <c r="J70">
        <v>0</v>
      </c>
      <c r="K70">
        <v>0.02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0.67</v>
      </c>
      <c r="V70">
        <v>0</v>
      </c>
      <c r="W70">
        <v>0</v>
      </c>
      <c r="X70">
        <v>0.3</v>
      </c>
      <c r="Y70">
        <v>0</v>
      </c>
      <c r="Z70">
        <v>0</v>
      </c>
      <c r="AA70">
        <v>0</v>
      </c>
      <c r="AB70">
        <v>0</v>
      </c>
    </row>
    <row r="71" spans="1:28">
      <c r="A71">
        <v>70</v>
      </c>
      <c r="B71" t="s">
        <v>120</v>
      </c>
      <c r="C71" t="s">
        <v>29</v>
      </c>
      <c r="D71">
        <v>0</v>
      </c>
      <c r="E71">
        <v>0</v>
      </c>
      <c r="F71">
        <v>0.01</v>
      </c>
      <c r="G71">
        <v>0</v>
      </c>
      <c r="H71">
        <v>0</v>
      </c>
      <c r="I71">
        <v>0</v>
      </c>
      <c r="J71">
        <v>0</v>
      </c>
      <c r="K71">
        <v>0.84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0.15</v>
      </c>
    </row>
    <row r="72" spans="1:28">
      <c r="A72">
        <v>71</v>
      </c>
      <c r="B72" t="s">
        <v>120</v>
      </c>
      <c r="C72" t="s">
        <v>29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0.93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7.0000000000000007E-2</v>
      </c>
    </row>
    <row r="73" spans="1:28">
      <c r="A73">
        <v>72</v>
      </c>
      <c r="B73" t="s">
        <v>120</v>
      </c>
      <c r="C73" t="s">
        <v>29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0.91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0.01</v>
      </c>
      <c r="AB73">
        <v>0.08</v>
      </c>
    </row>
    <row r="74" spans="1:28">
      <c r="A74">
        <v>73</v>
      </c>
      <c r="B74" t="s">
        <v>29</v>
      </c>
      <c r="C74" t="s">
        <v>29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</row>
    <row r="75" spans="1:28">
      <c r="A75">
        <v>74</v>
      </c>
      <c r="B75" t="s">
        <v>29</v>
      </c>
      <c r="C75" t="s">
        <v>29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</row>
    <row r="76" spans="1:28">
      <c r="A76">
        <v>75</v>
      </c>
      <c r="B76" t="s">
        <v>29</v>
      </c>
      <c r="C76" t="s">
        <v>29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0.99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0.01</v>
      </c>
    </row>
    <row r="77" spans="1:28">
      <c r="A77">
        <v>76</v>
      </c>
      <c r="B77" t="s">
        <v>29</v>
      </c>
      <c r="C77" t="s">
        <v>29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0.98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0.02</v>
      </c>
    </row>
    <row r="78" spans="1:28">
      <c r="A78">
        <v>77</v>
      </c>
      <c r="B78" t="s">
        <v>35</v>
      </c>
      <c r="C78" t="s">
        <v>35</v>
      </c>
      <c r="D78">
        <v>0</v>
      </c>
      <c r="E78">
        <v>0</v>
      </c>
      <c r="F78">
        <v>0.85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0.15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>
      <c r="A79">
        <v>78</v>
      </c>
      <c r="B79" t="s">
        <v>29</v>
      </c>
      <c r="C79" t="s">
        <v>29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1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>
      <c r="A80">
        <v>79</v>
      </c>
      <c r="B80" t="s">
        <v>29</v>
      </c>
      <c r="C80" t="s">
        <v>29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>
      <c r="A81">
        <v>80</v>
      </c>
      <c r="B81" t="s">
        <v>29</v>
      </c>
      <c r="C81" t="s">
        <v>29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>
      <c r="A82">
        <v>81</v>
      </c>
      <c r="B82" t="s">
        <v>29</v>
      </c>
      <c r="C82" t="s">
        <v>29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1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  <row r="83" spans="1:28">
      <c r="A83">
        <v>82</v>
      </c>
      <c r="B83" t="s">
        <v>29</v>
      </c>
      <c r="C83" t="s">
        <v>29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0.91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0.09</v>
      </c>
    </row>
    <row r="84" spans="1:28">
      <c r="A84">
        <v>83</v>
      </c>
      <c r="B84" t="s">
        <v>29</v>
      </c>
      <c r="C84" t="s">
        <v>29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</row>
    <row r="85" spans="1:28">
      <c r="A85">
        <v>84</v>
      </c>
      <c r="B85" t="s">
        <v>29</v>
      </c>
      <c r="C85" t="s">
        <v>29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1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</row>
    <row r="86" spans="1:28">
      <c r="A86">
        <v>85</v>
      </c>
      <c r="B86" t="s">
        <v>29</v>
      </c>
      <c r="C86" t="s">
        <v>29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0.91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0.09</v>
      </c>
    </row>
    <row r="87" spans="1:28">
      <c r="A87">
        <v>86</v>
      </c>
      <c r="B87" t="s">
        <v>29</v>
      </c>
      <c r="C87" t="s">
        <v>29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</row>
    <row r="88" spans="1:28">
      <c r="A88">
        <v>87</v>
      </c>
      <c r="B88" t="s">
        <v>29</v>
      </c>
      <c r="C88" t="s">
        <v>29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1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</row>
    <row r="89" spans="1:28">
      <c r="A89">
        <v>88</v>
      </c>
      <c r="B89" t="s">
        <v>29</v>
      </c>
      <c r="C89" t="s">
        <v>29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0.98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0.02</v>
      </c>
      <c r="X89">
        <v>0</v>
      </c>
      <c r="Y89">
        <v>0</v>
      </c>
      <c r="Z89">
        <v>0</v>
      </c>
      <c r="AA89">
        <v>0</v>
      </c>
      <c r="AB89">
        <v>0</v>
      </c>
    </row>
    <row r="90" spans="1:28">
      <c r="A90">
        <v>89</v>
      </c>
      <c r="B90" t="s">
        <v>29</v>
      </c>
      <c r="C90" t="s">
        <v>29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1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</row>
    <row r="91" spans="1:28">
      <c r="A91">
        <v>90</v>
      </c>
      <c r="B91" t="s">
        <v>29</v>
      </c>
      <c r="C91" t="s">
        <v>29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1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</row>
    <row r="92" spans="1:28">
      <c r="A92">
        <v>91</v>
      </c>
      <c r="B92" t="s">
        <v>29</v>
      </c>
      <c r="C92" t="s">
        <v>29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1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</row>
    <row r="93" spans="1:28">
      <c r="A93">
        <v>92</v>
      </c>
      <c r="B93" t="s">
        <v>121</v>
      </c>
      <c r="C93" t="s">
        <v>35</v>
      </c>
      <c r="D93">
        <v>0</v>
      </c>
      <c r="E93">
        <v>0</v>
      </c>
      <c r="F93">
        <v>0.82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0.18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</row>
    <row r="94" spans="1:28">
      <c r="A94">
        <v>93</v>
      </c>
      <c r="B94" t="s">
        <v>27</v>
      </c>
      <c r="C94" t="s">
        <v>27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</row>
    <row r="95" spans="1:28">
      <c r="A95">
        <v>94</v>
      </c>
      <c r="B95" t="s">
        <v>48</v>
      </c>
      <c r="C95" t="s">
        <v>48</v>
      </c>
      <c r="D95">
        <v>0</v>
      </c>
      <c r="E95">
        <v>0</v>
      </c>
      <c r="F95">
        <v>0</v>
      </c>
      <c r="G95">
        <v>0</v>
      </c>
      <c r="H95">
        <v>0.02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0.97</v>
      </c>
      <c r="U95">
        <v>0</v>
      </c>
      <c r="V95">
        <v>0</v>
      </c>
      <c r="W95">
        <v>0</v>
      </c>
      <c r="X95">
        <v>0</v>
      </c>
      <c r="Y95">
        <v>0.01</v>
      </c>
      <c r="Z95">
        <v>0</v>
      </c>
      <c r="AA95">
        <v>0</v>
      </c>
      <c r="AB95">
        <v>0</v>
      </c>
    </row>
    <row r="96" spans="1:28">
      <c r="A96">
        <v>95</v>
      </c>
      <c r="B96" t="s">
        <v>48</v>
      </c>
      <c r="C96" t="s">
        <v>48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</row>
    <row r="97" spans="1:28">
      <c r="A97">
        <v>96</v>
      </c>
      <c r="B97" t="s">
        <v>24</v>
      </c>
      <c r="C97" t="s">
        <v>24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1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</row>
    <row r="98" spans="1:28">
      <c r="A98">
        <v>97</v>
      </c>
      <c r="B98" t="s">
        <v>27</v>
      </c>
      <c r="C98" t="s">
        <v>27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</row>
    <row r="99" spans="1:28">
      <c r="A99">
        <v>98</v>
      </c>
      <c r="B99" t="s">
        <v>27</v>
      </c>
      <c r="C99" t="s">
        <v>27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</row>
    <row r="100" spans="1:28">
      <c r="A100">
        <v>99</v>
      </c>
      <c r="B100" t="s">
        <v>27</v>
      </c>
      <c r="C100" t="s">
        <v>27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8">
      <c r="A101">
        <v>100</v>
      </c>
      <c r="B101" t="s">
        <v>52</v>
      </c>
      <c r="C101" t="s">
        <v>52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0.04</v>
      </c>
      <c r="J101">
        <v>0</v>
      </c>
      <c r="K101">
        <v>0</v>
      </c>
      <c r="L101">
        <v>0.96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</sheetData>
  <autoFilter ref="A1:AB1" xr:uid="{00000000-0009-0000-0000-000004000000}">
    <sortState xmlns:xlrd2="http://schemas.microsoft.com/office/spreadsheetml/2017/richdata2" ref="A2:AB101">
      <sortCondition ref="A1:A10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E101"/>
  <sheetViews>
    <sheetView tabSelected="1" workbookViewId="0">
      <selection activeCell="B27" sqref="B27"/>
    </sheetView>
  </sheetViews>
  <sheetFormatPr baseColWidth="10" defaultRowHeight="16"/>
  <sheetData>
    <row r="1" spans="1:57">
      <c r="A1" t="s">
        <v>55</v>
      </c>
      <c r="B1" t="s">
        <v>12</v>
      </c>
      <c r="C1" t="s">
        <v>118</v>
      </c>
      <c r="D1" t="s">
        <v>42</v>
      </c>
      <c r="E1" t="s">
        <v>79</v>
      </c>
      <c r="F1" t="s">
        <v>80</v>
      </c>
      <c r="G1" t="s">
        <v>28</v>
      </c>
      <c r="H1" t="s">
        <v>36</v>
      </c>
      <c r="I1" t="s">
        <v>81</v>
      </c>
      <c r="J1" t="s">
        <v>82</v>
      </c>
      <c r="K1" t="s">
        <v>45</v>
      </c>
      <c r="L1" t="s">
        <v>83</v>
      </c>
      <c r="M1" t="s">
        <v>84</v>
      </c>
      <c r="N1" t="s">
        <v>85</v>
      </c>
      <c r="O1" t="s">
        <v>40</v>
      </c>
      <c r="P1" t="s">
        <v>41</v>
      </c>
      <c r="Q1" t="s">
        <v>86</v>
      </c>
      <c r="R1" t="s">
        <v>87</v>
      </c>
      <c r="S1" t="s">
        <v>88</v>
      </c>
      <c r="T1" t="s">
        <v>89</v>
      </c>
      <c r="U1" t="s">
        <v>90</v>
      </c>
      <c r="V1" t="s">
        <v>91</v>
      </c>
      <c r="W1" t="s">
        <v>92</v>
      </c>
      <c r="X1" t="s">
        <v>47</v>
      </c>
      <c r="Y1" t="s">
        <v>46</v>
      </c>
      <c r="Z1" t="s">
        <v>30</v>
      </c>
      <c r="AA1" t="s">
        <v>53</v>
      </c>
      <c r="AB1" t="s">
        <v>93</v>
      </c>
      <c r="AC1" t="s">
        <v>94</v>
      </c>
      <c r="AD1" t="s">
        <v>95</v>
      </c>
      <c r="AE1" t="s">
        <v>96</v>
      </c>
      <c r="AF1" t="s">
        <v>97</v>
      </c>
      <c r="AG1" t="s">
        <v>20</v>
      </c>
      <c r="AH1" t="s">
        <v>98</v>
      </c>
      <c r="AI1" t="s">
        <v>99</v>
      </c>
      <c r="AJ1" t="s">
        <v>33</v>
      </c>
      <c r="AK1" t="s">
        <v>43</v>
      </c>
      <c r="AL1" t="s">
        <v>100</v>
      </c>
      <c r="AM1" t="s">
        <v>37</v>
      </c>
      <c r="AN1" t="s">
        <v>101</v>
      </c>
      <c r="AO1" t="s">
        <v>102</v>
      </c>
      <c r="AP1" t="s">
        <v>103</v>
      </c>
      <c r="AQ1" t="s">
        <v>49</v>
      </c>
      <c r="AR1" t="s">
        <v>104</v>
      </c>
      <c r="AS1" t="s">
        <v>44</v>
      </c>
      <c r="AT1" t="s">
        <v>25</v>
      </c>
      <c r="AU1" t="s">
        <v>105</v>
      </c>
      <c r="AV1" t="s">
        <v>106</v>
      </c>
      <c r="AW1" t="s">
        <v>107</v>
      </c>
      <c r="AX1" t="s">
        <v>108</v>
      </c>
      <c r="AY1" t="s">
        <v>109</v>
      </c>
      <c r="AZ1" t="s">
        <v>110</v>
      </c>
      <c r="BA1" t="s">
        <v>111</v>
      </c>
      <c r="BB1" t="s">
        <v>112</v>
      </c>
      <c r="BC1" t="s">
        <v>113</v>
      </c>
      <c r="BD1" t="s">
        <v>50</v>
      </c>
      <c r="BE1" t="s">
        <v>119</v>
      </c>
    </row>
    <row r="2" spans="1:57">
      <c r="A2">
        <v>1</v>
      </c>
      <c r="B2" t="s">
        <v>20</v>
      </c>
      <c r="C2" t="s">
        <v>20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2E-3</v>
      </c>
      <c r="L2">
        <v>1E-3</v>
      </c>
      <c r="M2">
        <v>3.0000000000000001E-3</v>
      </c>
      <c r="N2">
        <v>1E-3</v>
      </c>
      <c r="O2">
        <v>0</v>
      </c>
      <c r="P2">
        <v>0</v>
      </c>
      <c r="Q2">
        <v>2E-3</v>
      </c>
      <c r="R2">
        <v>0</v>
      </c>
      <c r="S2">
        <v>0</v>
      </c>
      <c r="T2">
        <v>2E-3</v>
      </c>
      <c r="U2">
        <v>1E-3</v>
      </c>
      <c r="V2">
        <v>0</v>
      </c>
      <c r="W2">
        <v>1E-3</v>
      </c>
      <c r="X2">
        <v>0</v>
      </c>
      <c r="Y2">
        <v>0</v>
      </c>
      <c r="Z2">
        <v>1.2999999999999999E-2</v>
      </c>
      <c r="AA2">
        <v>3.0000000000000001E-3</v>
      </c>
      <c r="AB2">
        <v>3.0000000000000001E-3</v>
      </c>
      <c r="AC2">
        <v>7.0000000000000001E-3</v>
      </c>
      <c r="AD2">
        <v>0</v>
      </c>
      <c r="AE2">
        <v>1E-3</v>
      </c>
      <c r="AF2">
        <v>0</v>
      </c>
      <c r="AG2">
        <v>0.94299999999999995</v>
      </c>
      <c r="AH2">
        <v>0</v>
      </c>
      <c r="AI2">
        <v>0</v>
      </c>
      <c r="AJ2">
        <v>1E-3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2E-3</v>
      </c>
      <c r="AR2">
        <v>2E-3</v>
      </c>
      <c r="AS2">
        <v>0</v>
      </c>
      <c r="AT2">
        <v>1E-3</v>
      </c>
      <c r="AU2">
        <v>2E-3</v>
      </c>
      <c r="AV2">
        <v>0</v>
      </c>
      <c r="AW2">
        <v>1E-3</v>
      </c>
      <c r="AX2">
        <v>0</v>
      </c>
      <c r="AY2">
        <v>0</v>
      </c>
      <c r="AZ2">
        <v>3.0000000000000001E-3</v>
      </c>
      <c r="BA2">
        <v>2E-3</v>
      </c>
      <c r="BB2">
        <v>2E-3</v>
      </c>
      <c r="BC2">
        <v>1E-3</v>
      </c>
      <c r="BD2">
        <v>0</v>
      </c>
      <c r="BE2">
        <v>0</v>
      </c>
    </row>
    <row r="3" spans="1:57">
      <c r="A3">
        <v>2</v>
      </c>
      <c r="B3" t="s">
        <v>20</v>
      </c>
      <c r="C3" t="s">
        <v>20</v>
      </c>
      <c r="D3">
        <v>0</v>
      </c>
      <c r="E3">
        <v>0</v>
      </c>
      <c r="F3">
        <v>0</v>
      </c>
      <c r="G3">
        <v>0</v>
      </c>
      <c r="H3">
        <v>3.0000000000000001E-3</v>
      </c>
      <c r="I3">
        <v>0</v>
      </c>
      <c r="J3">
        <v>0</v>
      </c>
      <c r="K3">
        <v>1E-3</v>
      </c>
      <c r="L3">
        <v>1E-3</v>
      </c>
      <c r="M3">
        <v>0</v>
      </c>
      <c r="N3">
        <v>1E-3</v>
      </c>
      <c r="O3">
        <v>0</v>
      </c>
      <c r="P3">
        <v>0</v>
      </c>
      <c r="Q3">
        <v>5.0000000000000001E-3</v>
      </c>
      <c r="R3">
        <v>0</v>
      </c>
      <c r="S3">
        <v>0</v>
      </c>
      <c r="T3">
        <v>3.0000000000000001E-3</v>
      </c>
      <c r="U3">
        <v>0</v>
      </c>
      <c r="V3">
        <v>0</v>
      </c>
      <c r="W3">
        <v>5.0000000000000001E-3</v>
      </c>
      <c r="X3">
        <v>0</v>
      </c>
      <c r="Y3">
        <v>0</v>
      </c>
      <c r="Z3">
        <v>2E-3</v>
      </c>
      <c r="AA3">
        <v>4.0000000000000001E-3</v>
      </c>
      <c r="AB3">
        <v>0</v>
      </c>
      <c r="AC3">
        <v>8.9999999999999993E-3</v>
      </c>
      <c r="AD3">
        <v>2E-3</v>
      </c>
      <c r="AE3">
        <v>1E-3</v>
      </c>
      <c r="AF3">
        <v>0</v>
      </c>
      <c r="AG3">
        <v>0.95199999999999996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1E-3</v>
      </c>
      <c r="AO3">
        <v>3.0000000000000001E-3</v>
      </c>
      <c r="AP3">
        <v>0</v>
      </c>
      <c r="AQ3">
        <v>0</v>
      </c>
      <c r="AR3">
        <v>0</v>
      </c>
      <c r="AS3">
        <v>0</v>
      </c>
      <c r="AT3">
        <v>3.0000000000000001E-3</v>
      </c>
      <c r="AU3">
        <v>0</v>
      </c>
      <c r="AV3">
        <v>0</v>
      </c>
      <c r="AW3">
        <v>0</v>
      </c>
      <c r="AX3">
        <v>0</v>
      </c>
      <c r="AY3">
        <v>1E-3</v>
      </c>
      <c r="AZ3">
        <v>0</v>
      </c>
      <c r="BA3">
        <v>0</v>
      </c>
      <c r="BB3">
        <v>3.0000000000000001E-3</v>
      </c>
      <c r="BC3">
        <v>0</v>
      </c>
      <c r="BD3">
        <v>0</v>
      </c>
      <c r="BE3">
        <v>0</v>
      </c>
    </row>
    <row r="4" spans="1:57">
      <c r="A4">
        <v>3</v>
      </c>
      <c r="B4" t="s">
        <v>20</v>
      </c>
      <c r="C4" t="s">
        <v>20</v>
      </c>
      <c r="D4">
        <v>0</v>
      </c>
      <c r="E4">
        <v>2E-3</v>
      </c>
      <c r="F4">
        <v>0</v>
      </c>
      <c r="G4">
        <v>0</v>
      </c>
      <c r="H4">
        <v>1E-3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5.0000000000000001E-3</v>
      </c>
      <c r="R4">
        <v>0</v>
      </c>
      <c r="S4">
        <v>0</v>
      </c>
      <c r="T4">
        <v>0</v>
      </c>
      <c r="U4">
        <v>0</v>
      </c>
      <c r="V4">
        <v>0</v>
      </c>
      <c r="W4">
        <v>2E-3</v>
      </c>
      <c r="X4">
        <v>0</v>
      </c>
      <c r="Y4">
        <v>0</v>
      </c>
      <c r="Z4">
        <v>0</v>
      </c>
      <c r="AA4">
        <v>0</v>
      </c>
      <c r="AB4">
        <v>8.9999999999999993E-3</v>
      </c>
      <c r="AC4">
        <v>0.01</v>
      </c>
      <c r="AD4">
        <v>0.01</v>
      </c>
      <c r="AE4">
        <v>2E-3</v>
      </c>
      <c r="AF4">
        <v>0</v>
      </c>
      <c r="AG4">
        <v>0.95599999999999996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3.0000000000000001E-3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</row>
    <row r="5" spans="1:57">
      <c r="A5">
        <v>4</v>
      </c>
      <c r="B5" t="s">
        <v>20</v>
      </c>
      <c r="C5" t="s">
        <v>20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1E-3</v>
      </c>
      <c r="U5">
        <v>0</v>
      </c>
      <c r="V5">
        <v>0</v>
      </c>
      <c r="W5">
        <v>2E-3</v>
      </c>
      <c r="X5">
        <v>0</v>
      </c>
      <c r="Y5">
        <v>0</v>
      </c>
      <c r="Z5">
        <v>0</v>
      </c>
      <c r="AA5">
        <v>0</v>
      </c>
      <c r="AB5">
        <v>6.0000000000000001E-3</v>
      </c>
      <c r="AC5">
        <v>2E-3</v>
      </c>
      <c r="AD5">
        <v>1E-3</v>
      </c>
      <c r="AE5">
        <v>0</v>
      </c>
      <c r="AF5">
        <v>0</v>
      </c>
      <c r="AG5">
        <v>0.98499999999999999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3.0000000000000001E-3</v>
      </c>
      <c r="BC5">
        <v>0</v>
      </c>
      <c r="BD5">
        <v>0</v>
      </c>
      <c r="BE5">
        <v>0</v>
      </c>
    </row>
    <row r="6" spans="1:57">
      <c r="A6">
        <v>5</v>
      </c>
      <c r="B6" t="s">
        <v>20</v>
      </c>
      <c r="C6" t="s">
        <v>20</v>
      </c>
      <c r="D6">
        <v>0</v>
      </c>
      <c r="E6">
        <v>0</v>
      </c>
      <c r="F6">
        <v>0</v>
      </c>
      <c r="G6">
        <v>0</v>
      </c>
      <c r="H6">
        <v>2E-3</v>
      </c>
      <c r="I6">
        <v>0</v>
      </c>
      <c r="J6">
        <v>0</v>
      </c>
      <c r="K6">
        <v>2E-3</v>
      </c>
      <c r="L6">
        <v>1E-3</v>
      </c>
      <c r="M6">
        <v>1E-3</v>
      </c>
      <c r="N6">
        <v>0</v>
      </c>
      <c r="O6">
        <v>0</v>
      </c>
      <c r="P6">
        <v>0</v>
      </c>
      <c r="Q6">
        <v>4.0000000000000001E-3</v>
      </c>
      <c r="R6">
        <v>0</v>
      </c>
      <c r="S6">
        <v>0</v>
      </c>
      <c r="T6">
        <v>2E-3</v>
      </c>
      <c r="U6">
        <v>0</v>
      </c>
      <c r="V6">
        <v>0</v>
      </c>
      <c r="W6">
        <v>2E-3</v>
      </c>
      <c r="X6">
        <v>0</v>
      </c>
      <c r="Y6">
        <v>0</v>
      </c>
      <c r="Z6">
        <v>8.0000000000000002E-3</v>
      </c>
      <c r="AA6">
        <v>2E-3</v>
      </c>
      <c r="AB6">
        <v>2E-3</v>
      </c>
      <c r="AC6">
        <v>2E-3</v>
      </c>
      <c r="AD6">
        <v>0</v>
      </c>
      <c r="AE6">
        <v>0</v>
      </c>
      <c r="AF6">
        <v>0</v>
      </c>
      <c r="AG6">
        <v>0.95599999999999996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2E-3</v>
      </c>
      <c r="AO6">
        <v>0</v>
      </c>
      <c r="AP6">
        <v>0</v>
      </c>
      <c r="AQ6">
        <v>0</v>
      </c>
      <c r="AR6">
        <v>0</v>
      </c>
      <c r="AS6">
        <v>6.0000000000000001E-3</v>
      </c>
      <c r="AT6">
        <v>0</v>
      </c>
      <c r="AU6">
        <v>0</v>
      </c>
      <c r="AV6">
        <v>0</v>
      </c>
      <c r="AW6">
        <v>0</v>
      </c>
      <c r="AX6">
        <v>0</v>
      </c>
      <c r="AY6">
        <v>7.0000000000000001E-3</v>
      </c>
      <c r="AZ6">
        <v>0</v>
      </c>
      <c r="BA6">
        <v>0</v>
      </c>
      <c r="BB6">
        <v>1E-3</v>
      </c>
      <c r="BC6">
        <v>0</v>
      </c>
      <c r="BD6">
        <v>0</v>
      </c>
      <c r="BE6">
        <v>0</v>
      </c>
    </row>
    <row r="7" spans="1:57">
      <c r="A7">
        <v>6</v>
      </c>
      <c r="B7" t="s">
        <v>20</v>
      </c>
      <c r="C7" t="s">
        <v>20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1E-3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1E-3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0.01</v>
      </c>
      <c r="AE7">
        <v>0</v>
      </c>
      <c r="AF7">
        <v>0</v>
      </c>
      <c r="AG7">
        <v>0.98699999999999999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1E-3</v>
      </c>
      <c r="BC7">
        <v>0</v>
      </c>
      <c r="BD7">
        <v>0</v>
      </c>
      <c r="BE7">
        <v>0</v>
      </c>
    </row>
    <row r="8" spans="1:57">
      <c r="A8">
        <v>7</v>
      </c>
      <c r="B8" t="s">
        <v>20</v>
      </c>
      <c r="C8" t="s">
        <v>20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1E-3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1E-3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0.01</v>
      </c>
      <c r="AE8">
        <v>0</v>
      </c>
      <c r="AF8">
        <v>0</v>
      </c>
      <c r="AG8">
        <v>0.98699999999999999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1E-3</v>
      </c>
      <c r="BC8">
        <v>0</v>
      </c>
      <c r="BD8">
        <v>0</v>
      </c>
      <c r="BE8">
        <v>0</v>
      </c>
    </row>
    <row r="9" spans="1:57">
      <c r="A9">
        <v>8</v>
      </c>
      <c r="B9" t="s">
        <v>20</v>
      </c>
      <c r="C9" t="s">
        <v>20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1E-3</v>
      </c>
      <c r="X9">
        <v>0</v>
      </c>
      <c r="Y9">
        <v>0</v>
      </c>
      <c r="Z9">
        <v>0</v>
      </c>
      <c r="AA9">
        <v>0</v>
      </c>
      <c r="AB9">
        <v>2E-3</v>
      </c>
      <c r="AC9">
        <v>1E-3</v>
      </c>
      <c r="AD9">
        <v>0</v>
      </c>
      <c r="AE9">
        <v>0</v>
      </c>
      <c r="AF9">
        <v>0</v>
      </c>
      <c r="AG9">
        <v>0.996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</row>
    <row r="10" spans="1:57">
      <c r="A10">
        <v>9</v>
      </c>
      <c r="B10" t="s">
        <v>20</v>
      </c>
      <c r="C10" t="s">
        <v>20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</row>
    <row r="11" spans="1:57">
      <c r="A11">
        <v>10</v>
      </c>
      <c r="B11" t="s">
        <v>20</v>
      </c>
      <c r="C11" t="s">
        <v>20</v>
      </c>
      <c r="D11">
        <v>0</v>
      </c>
      <c r="E11">
        <v>0</v>
      </c>
      <c r="F11" t="s">
        <v>119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</row>
    <row r="12" spans="1:57">
      <c r="A12">
        <v>11</v>
      </c>
      <c r="B12" t="s">
        <v>20</v>
      </c>
      <c r="C12" t="s">
        <v>20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1E-3</v>
      </c>
      <c r="R12">
        <v>0</v>
      </c>
      <c r="S12">
        <v>0</v>
      </c>
      <c r="T12">
        <v>0</v>
      </c>
      <c r="U12">
        <v>1E-3</v>
      </c>
      <c r="V12">
        <v>2E-3</v>
      </c>
      <c r="W12">
        <v>0</v>
      </c>
      <c r="X12">
        <v>0</v>
      </c>
      <c r="Y12">
        <v>0</v>
      </c>
      <c r="Z12">
        <v>0</v>
      </c>
      <c r="AA12">
        <v>0</v>
      </c>
      <c r="AB12">
        <v>3.0000000000000001E-3</v>
      </c>
      <c r="AC12">
        <v>0</v>
      </c>
      <c r="AD12">
        <v>0</v>
      </c>
      <c r="AE12">
        <v>0</v>
      </c>
      <c r="AF12">
        <v>0</v>
      </c>
      <c r="AG12">
        <v>0.98899999999999999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1E-3</v>
      </c>
      <c r="AN12">
        <v>0</v>
      </c>
      <c r="AO12">
        <v>0</v>
      </c>
      <c r="AP12">
        <v>0</v>
      </c>
      <c r="AQ12">
        <v>1E-3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1E-3</v>
      </c>
      <c r="BC12">
        <v>1E-3</v>
      </c>
      <c r="BD12">
        <v>0</v>
      </c>
      <c r="BE12">
        <v>0</v>
      </c>
    </row>
    <row r="13" spans="1:57">
      <c r="A13">
        <v>12</v>
      </c>
      <c r="B13" t="s">
        <v>20</v>
      </c>
      <c r="C13" t="s">
        <v>20</v>
      </c>
      <c r="D13">
        <v>0</v>
      </c>
      <c r="E13">
        <v>2E-3</v>
      </c>
      <c r="F13">
        <v>0</v>
      </c>
      <c r="G13">
        <v>0</v>
      </c>
      <c r="H13">
        <v>1E-3</v>
      </c>
      <c r="I13">
        <v>0</v>
      </c>
      <c r="J13">
        <v>0</v>
      </c>
      <c r="K13">
        <v>0</v>
      </c>
      <c r="L13">
        <v>3.0000000000000001E-3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1E-3</v>
      </c>
      <c r="X13">
        <v>0</v>
      </c>
      <c r="Y13">
        <v>0</v>
      </c>
      <c r="Z13">
        <v>1E-3</v>
      </c>
      <c r="AA13">
        <v>0</v>
      </c>
      <c r="AB13">
        <v>0</v>
      </c>
      <c r="AC13">
        <v>1E-3</v>
      </c>
      <c r="AD13">
        <v>1.9E-2</v>
      </c>
      <c r="AE13">
        <v>0</v>
      </c>
      <c r="AF13">
        <v>0</v>
      </c>
      <c r="AG13">
        <v>0.97099999999999997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1E-3</v>
      </c>
      <c r="BC13">
        <v>0</v>
      </c>
      <c r="BD13">
        <v>0</v>
      </c>
      <c r="BE13">
        <v>0</v>
      </c>
    </row>
    <row r="14" spans="1:57">
      <c r="A14">
        <v>13</v>
      </c>
      <c r="B14" t="s">
        <v>20</v>
      </c>
      <c r="C14" t="s">
        <v>20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1E-3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8.9999999999999993E-3</v>
      </c>
      <c r="AE14">
        <v>0</v>
      </c>
      <c r="AF14">
        <v>0</v>
      </c>
      <c r="AG14">
        <v>0.97799999999999998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1.2E-2</v>
      </c>
      <c r="BC14">
        <v>0</v>
      </c>
      <c r="BD14">
        <v>0</v>
      </c>
      <c r="BE14">
        <v>0</v>
      </c>
    </row>
    <row r="15" spans="1:57">
      <c r="A15">
        <v>14</v>
      </c>
      <c r="B15" t="s">
        <v>20</v>
      </c>
      <c r="C15" t="s">
        <v>20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1E-3</v>
      </c>
      <c r="R15">
        <v>0</v>
      </c>
      <c r="S15">
        <v>0</v>
      </c>
      <c r="T15">
        <v>0</v>
      </c>
      <c r="U15">
        <v>1E-3</v>
      </c>
      <c r="V15">
        <v>1E-3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1E-3</v>
      </c>
      <c r="AE15">
        <v>0</v>
      </c>
      <c r="AF15">
        <v>0</v>
      </c>
      <c r="AG15">
        <v>0.99099999999999999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1E-3</v>
      </c>
      <c r="AN15">
        <v>0</v>
      </c>
      <c r="AO15">
        <v>0</v>
      </c>
      <c r="AP15">
        <v>0</v>
      </c>
      <c r="AQ15">
        <v>1E-3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1E-3</v>
      </c>
      <c r="BC15">
        <v>2E-3</v>
      </c>
      <c r="BD15">
        <v>0</v>
      </c>
      <c r="BE15">
        <v>0</v>
      </c>
    </row>
    <row r="16" spans="1:57">
      <c r="A16">
        <v>15</v>
      </c>
      <c r="B16" t="s">
        <v>20</v>
      </c>
      <c r="C16" t="s">
        <v>20</v>
      </c>
      <c r="D16">
        <v>0</v>
      </c>
      <c r="E16">
        <v>0</v>
      </c>
      <c r="F16">
        <v>0</v>
      </c>
      <c r="G16">
        <v>1E-3</v>
      </c>
      <c r="H16">
        <v>1E-3</v>
      </c>
      <c r="I16">
        <v>0</v>
      </c>
      <c r="J16">
        <v>0</v>
      </c>
      <c r="K16">
        <v>0</v>
      </c>
      <c r="L16">
        <v>0</v>
      </c>
      <c r="M16">
        <v>1E-3</v>
      </c>
      <c r="N16">
        <v>0</v>
      </c>
      <c r="O16">
        <v>0</v>
      </c>
      <c r="P16">
        <v>0</v>
      </c>
      <c r="Q16">
        <v>2E-3</v>
      </c>
      <c r="R16">
        <v>0</v>
      </c>
      <c r="S16">
        <v>0</v>
      </c>
      <c r="T16">
        <v>0</v>
      </c>
      <c r="U16">
        <v>2E-3</v>
      </c>
      <c r="V16">
        <v>0</v>
      </c>
      <c r="W16">
        <v>0</v>
      </c>
      <c r="X16">
        <v>0</v>
      </c>
      <c r="Y16">
        <v>0</v>
      </c>
      <c r="Z16">
        <v>1E-3</v>
      </c>
      <c r="AA16">
        <v>0</v>
      </c>
      <c r="AB16">
        <v>6.0000000000000001E-3</v>
      </c>
      <c r="AC16">
        <v>2E-3</v>
      </c>
      <c r="AD16">
        <v>0</v>
      </c>
      <c r="AE16">
        <v>0</v>
      </c>
      <c r="AF16">
        <v>0</v>
      </c>
      <c r="AG16">
        <v>0.97899999999999998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1E-3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2E-3</v>
      </c>
      <c r="AZ16">
        <v>0</v>
      </c>
      <c r="BA16">
        <v>0</v>
      </c>
      <c r="BB16">
        <v>2E-3</v>
      </c>
      <c r="BC16">
        <v>0</v>
      </c>
      <c r="BD16">
        <v>0</v>
      </c>
      <c r="BE16">
        <v>0</v>
      </c>
    </row>
    <row r="17" spans="1:57">
      <c r="A17">
        <v>16</v>
      </c>
      <c r="B17" t="s">
        <v>20</v>
      </c>
      <c r="C17" t="s">
        <v>20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6.0000000000000001E-3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4.0000000000000001E-3</v>
      </c>
      <c r="AE17">
        <v>0</v>
      </c>
      <c r="AF17">
        <v>0</v>
      </c>
      <c r="AG17">
        <v>0.98799999999999999</v>
      </c>
      <c r="AH17">
        <v>0</v>
      </c>
      <c r="AI17">
        <v>1E-3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1E-3</v>
      </c>
      <c r="BC17">
        <v>0</v>
      </c>
      <c r="BD17">
        <v>0</v>
      </c>
      <c r="BE17">
        <v>0</v>
      </c>
    </row>
    <row r="18" spans="1:57">
      <c r="A18">
        <v>17</v>
      </c>
      <c r="B18" t="s">
        <v>20</v>
      </c>
      <c r="C18" t="s">
        <v>20</v>
      </c>
      <c r="D18">
        <v>0</v>
      </c>
      <c r="E18">
        <v>0</v>
      </c>
      <c r="F18">
        <v>0</v>
      </c>
      <c r="G18">
        <v>0</v>
      </c>
      <c r="H18">
        <v>1E-3</v>
      </c>
      <c r="I18">
        <v>0</v>
      </c>
      <c r="J18">
        <v>0</v>
      </c>
      <c r="K18">
        <v>0</v>
      </c>
      <c r="L18">
        <v>0</v>
      </c>
      <c r="M18">
        <v>1E-3</v>
      </c>
      <c r="N18">
        <v>0</v>
      </c>
      <c r="O18">
        <v>0</v>
      </c>
      <c r="P18">
        <v>0</v>
      </c>
      <c r="Q18">
        <v>1E-3</v>
      </c>
      <c r="R18">
        <v>0</v>
      </c>
      <c r="S18">
        <v>0</v>
      </c>
      <c r="T18">
        <v>0</v>
      </c>
      <c r="U18">
        <v>2E-3</v>
      </c>
      <c r="V18">
        <v>0</v>
      </c>
      <c r="W18">
        <v>0</v>
      </c>
      <c r="X18">
        <v>0</v>
      </c>
      <c r="Y18">
        <v>0</v>
      </c>
      <c r="Z18">
        <v>3.0000000000000001E-3</v>
      </c>
      <c r="AA18">
        <v>1E-3</v>
      </c>
      <c r="AB18">
        <v>6.0000000000000001E-3</v>
      </c>
      <c r="AC18">
        <v>3.0000000000000001E-3</v>
      </c>
      <c r="AD18">
        <v>3.0000000000000001E-3</v>
      </c>
      <c r="AE18">
        <v>0</v>
      </c>
      <c r="AF18">
        <v>0</v>
      </c>
      <c r="AG18">
        <v>0.97299999999999998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1E-3</v>
      </c>
      <c r="AO18">
        <v>0</v>
      </c>
      <c r="AP18">
        <v>0</v>
      </c>
      <c r="AQ18">
        <v>1E-3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1E-3</v>
      </c>
      <c r="AZ18">
        <v>1E-3</v>
      </c>
      <c r="BA18">
        <v>0</v>
      </c>
      <c r="BB18">
        <v>2E-3</v>
      </c>
      <c r="BC18">
        <v>0</v>
      </c>
      <c r="BD18">
        <v>0</v>
      </c>
      <c r="BE18">
        <v>0</v>
      </c>
    </row>
    <row r="19" spans="1:57">
      <c r="A19">
        <v>18</v>
      </c>
      <c r="B19" t="b">
        <v>0</v>
      </c>
      <c r="C19" t="s">
        <v>25</v>
      </c>
      <c r="D19">
        <v>0</v>
      </c>
      <c r="E19">
        <v>1E-3</v>
      </c>
      <c r="F19">
        <v>0</v>
      </c>
      <c r="G19">
        <v>1E-3</v>
      </c>
      <c r="H19">
        <v>8.0000000000000002E-3</v>
      </c>
      <c r="I19">
        <v>0</v>
      </c>
      <c r="J19">
        <v>0</v>
      </c>
      <c r="K19">
        <v>0</v>
      </c>
      <c r="L19">
        <v>1E-3</v>
      </c>
      <c r="M19">
        <v>0</v>
      </c>
      <c r="N19">
        <v>0</v>
      </c>
      <c r="O19">
        <v>0</v>
      </c>
      <c r="P19">
        <v>0</v>
      </c>
      <c r="Q19">
        <v>2.3E-2</v>
      </c>
      <c r="R19">
        <v>0</v>
      </c>
      <c r="S19">
        <v>0</v>
      </c>
      <c r="T19">
        <v>0</v>
      </c>
      <c r="U19">
        <v>0</v>
      </c>
      <c r="V19">
        <v>1E-3</v>
      </c>
      <c r="W19">
        <v>1E-3</v>
      </c>
      <c r="X19">
        <v>0</v>
      </c>
      <c r="Y19">
        <v>0</v>
      </c>
      <c r="Z19">
        <v>0</v>
      </c>
      <c r="AA19">
        <v>1E-3</v>
      </c>
      <c r="AB19">
        <v>0</v>
      </c>
      <c r="AC19">
        <v>3.0000000000000001E-3</v>
      </c>
      <c r="AD19">
        <v>2E-3</v>
      </c>
      <c r="AE19">
        <v>4.0000000000000001E-3</v>
      </c>
      <c r="AF19">
        <v>1E-3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4.0000000000000001E-3</v>
      </c>
      <c r="AO19">
        <v>1.2E-2</v>
      </c>
      <c r="AP19">
        <v>0</v>
      </c>
      <c r="AQ19">
        <v>0</v>
      </c>
      <c r="AR19">
        <v>0</v>
      </c>
      <c r="AS19">
        <v>1.7999999999999999E-2</v>
      </c>
      <c r="AT19">
        <v>0.91800000000000004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1E-3</v>
      </c>
      <c r="BC19">
        <v>0</v>
      </c>
      <c r="BD19">
        <v>0</v>
      </c>
      <c r="BE19">
        <v>0</v>
      </c>
    </row>
    <row r="20" spans="1:57">
      <c r="A20">
        <v>19</v>
      </c>
      <c r="B20" t="b">
        <v>0</v>
      </c>
      <c r="C20" t="s">
        <v>28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</row>
    <row r="21" spans="1:57">
      <c r="A21">
        <v>20</v>
      </c>
      <c r="B21" t="s">
        <v>20</v>
      </c>
      <c r="C21" t="s">
        <v>20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3.0000000000000001E-3</v>
      </c>
      <c r="N21">
        <v>2E-3</v>
      </c>
      <c r="O21">
        <v>0</v>
      </c>
      <c r="P21">
        <v>0</v>
      </c>
      <c r="Q21">
        <v>2E-3</v>
      </c>
      <c r="R21">
        <v>0</v>
      </c>
      <c r="S21">
        <v>0</v>
      </c>
      <c r="T21">
        <v>5.0000000000000001E-3</v>
      </c>
      <c r="U21">
        <v>0</v>
      </c>
      <c r="V21">
        <v>0</v>
      </c>
      <c r="W21">
        <v>2E-3</v>
      </c>
      <c r="X21">
        <v>0</v>
      </c>
      <c r="Y21">
        <v>0</v>
      </c>
      <c r="Z21">
        <v>8.9999999999999993E-3</v>
      </c>
      <c r="AA21">
        <v>3.0000000000000001E-3</v>
      </c>
      <c r="AB21">
        <v>3.0000000000000001E-3</v>
      </c>
      <c r="AC21">
        <v>3.0000000000000001E-3</v>
      </c>
      <c r="AD21">
        <v>0</v>
      </c>
      <c r="AE21">
        <v>0</v>
      </c>
      <c r="AF21">
        <v>0</v>
      </c>
      <c r="AG21">
        <v>0.94499999999999995</v>
      </c>
      <c r="AH21">
        <v>0</v>
      </c>
      <c r="AI21">
        <v>0</v>
      </c>
      <c r="AJ21">
        <v>2E-3</v>
      </c>
      <c r="AK21">
        <v>0</v>
      </c>
      <c r="AL21">
        <v>0</v>
      </c>
      <c r="AM21">
        <v>3.0000000000000001E-3</v>
      </c>
      <c r="AN21">
        <v>0</v>
      </c>
      <c r="AO21">
        <v>0</v>
      </c>
      <c r="AP21">
        <v>2E-3</v>
      </c>
      <c r="AQ21">
        <v>2E-3</v>
      </c>
      <c r="AR21">
        <v>1E-3</v>
      </c>
      <c r="AS21">
        <v>0</v>
      </c>
      <c r="AT21">
        <v>2E-3</v>
      </c>
      <c r="AU21">
        <v>2E-3</v>
      </c>
      <c r="AV21">
        <v>0</v>
      </c>
      <c r="AW21">
        <v>1E-3</v>
      </c>
      <c r="AX21">
        <v>0</v>
      </c>
      <c r="AY21">
        <v>0</v>
      </c>
      <c r="AZ21">
        <v>3.0000000000000001E-3</v>
      </c>
      <c r="BA21">
        <v>2E-3</v>
      </c>
      <c r="BB21">
        <v>3.0000000000000001E-3</v>
      </c>
      <c r="BC21">
        <v>0</v>
      </c>
      <c r="BD21">
        <v>0</v>
      </c>
      <c r="BE21">
        <v>0</v>
      </c>
    </row>
    <row r="22" spans="1:57">
      <c r="A22">
        <v>21</v>
      </c>
      <c r="B22" t="s">
        <v>20</v>
      </c>
      <c r="C22" t="s">
        <v>20</v>
      </c>
      <c r="D22">
        <v>0</v>
      </c>
      <c r="E22">
        <v>0</v>
      </c>
      <c r="F22">
        <v>1E-3</v>
      </c>
      <c r="G22">
        <v>0</v>
      </c>
      <c r="H22">
        <v>4.0000000000000001E-3</v>
      </c>
      <c r="I22">
        <v>7.0000000000000001E-3</v>
      </c>
      <c r="J22">
        <v>4.0000000000000001E-3</v>
      </c>
      <c r="K22">
        <v>0</v>
      </c>
      <c r="L22">
        <v>1.6E-2</v>
      </c>
      <c r="M22">
        <v>0</v>
      </c>
      <c r="N22">
        <v>1E-3</v>
      </c>
      <c r="O22">
        <v>0</v>
      </c>
      <c r="P22">
        <v>0</v>
      </c>
      <c r="Q22">
        <v>0</v>
      </c>
      <c r="R22">
        <v>1E-3</v>
      </c>
      <c r="S22">
        <v>0</v>
      </c>
      <c r="T22">
        <v>0</v>
      </c>
      <c r="U22">
        <v>0</v>
      </c>
      <c r="V22">
        <v>3.0000000000000001E-3</v>
      </c>
      <c r="W22">
        <v>5.0000000000000001E-3</v>
      </c>
      <c r="X22">
        <v>2E-3</v>
      </c>
      <c r="Y22">
        <v>2.7E-2</v>
      </c>
      <c r="Z22">
        <v>0</v>
      </c>
      <c r="AA22">
        <v>8.9999999999999993E-3</v>
      </c>
      <c r="AB22">
        <v>4.0000000000000001E-3</v>
      </c>
      <c r="AC22">
        <v>0</v>
      </c>
      <c r="AD22">
        <v>0</v>
      </c>
      <c r="AE22">
        <v>0</v>
      </c>
      <c r="AF22">
        <v>1E-3</v>
      </c>
      <c r="AG22">
        <v>0.86399999999999999</v>
      </c>
      <c r="AH22">
        <v>0</v>
      </c>
      <c r="AI22">
        <v>1E-3</v>
      </c>
      <c r="AJ22">
        <v>0.01</v>
      </c>
      <c r="AK22">
        <v>0</v>
      </c>
      <c r="AL22">
        <v>0</v>
      </c>
      <c r="AM22">
        <v>1E-3</v>
      </c>
      <c r="AN22">
        <v>0</v>
      </c>
      <c r="AO22">
        <v>0</v>
      </c>
      <c r="AP22">
        <v>3.0000000000000001E-3</v>
      </c>
      <c r="AQ22">
        <v>6.0000000000000001E-3</v>
      </c>
      <c r="AR22">
        <v>1E-3</v>
      </c>
      <c r="AS22">
        <v>0</v>
      </c>
      <c r="AT22">
        <v>0</v>
      </c>
      <c r="AU22">
        <v>8.0000000000000002E-3</v>
      </c>
      <c r="AV22">
        <v>2E-3</v>
      </c>
      <c r="AW22">
        <v>5.0000000000000001E-3</v>
      </c>
      <c r="AX22">
        <v>3.0000000000000001E-3</v>
      </c>
      <c r="AY22">
        <v>0</v>
      </c>
      <c r="AZ22">
        <v>0</v>
      </c>
      <c r="BA22">
        <v>1E-3</v>
      </c>
      <c r="BB22">
        <v>2E-3</v>
      </c>
      <c r="BC22">
        <v>0</v>
      </c>
      <c r="BD22">
        <v>0</v>
      </c>
      <c r="BE22">
        <v>8.0000000000000002E-3</v>
      </c>
    </row>
    <row r="23" spans="1:57">
      <c r="A23">
        <v>22</v>
      </c>
      <c r="B23" t="s">
        <v>20</v>
      </c>
      <c r="C23" t="s">
        <v>20</v>
      </c>
      <c r="D23">
        <v>0</v>
      </c>
      <c r="E23">
        <v>0</v>
      </c>
      <c r="F23">
        <v>0</v>
      </c>
      <c r="G23">
        <v>0</v>
      </c>
      <c r="H23">
        <v>1E-3</v>
      </c>
      <c r="I23">
        <v>3.0000000000000001E-3</v>
      </c>
      <c r="J23">
        <v>6.0000000000000001E-3</v>
      </c>
      <c r="K23">
        <v>0</v>
      </c>
      <c r="L23">
        <v>6.0000000000000001E-3</v>
      </c>
      <c r="M23">
        <v>0</v>
      </c>
      <c r="N23">
        <v>0</v>
      </c>
      <c r="O23">
        <v>0</v>
      </c>
      <c r="P23">
        <v>0</v>
      </c>
      <c r="Q23">
        <v>0</v>
      </c>
      <c r="R23">
        <v>4.0000000000000001E-3</v>
      </c>
      <c r="S23">
        <v>0</v>
      </c>
      <c r="T23">
        <v>1E-3</v>
      </c>
      <c r="U23">
        <v>0</v>
      </c>
      <c r="V23">
        <v>0</v>
      </c>
      <c r="W23">
        <v>8.0000000000000002E-3</v>
      </c>
      <c r="X23">
        <v>0</v>
      </c>
      <c r="Y23">
        <v>1.6E-2</v>
      </c>
      <c r="Z23">
        <v>0</v>
      </c>
      <c r="AA23">
        <v>3.0000000000000001E-3</v>
      </c>
      <c r="AB23">
        <v>1.0999999999999999E-2</v>
      </c>
      <c r="AC23">
        <v>0</v>
      </c>
      <c r="AD23">
        <v>0</v>
      </c>
      <c r="AE23">
        <v>0</v>
      </c>
      <c r="AF23">
        <v>0</v>
      </c>
      <c r="AG23">
        <v>0.89300000000000002</v>
      </c>
      <c r="AH23">
        <v>2E-3</v>
      </c>
      <c r="AI23">
        <v>1E-3</v>
      </c>
      <c r="AJ23">
        <v>1.0999999999999999E-2</v>
      </c>
      <c r="AK23">
        <v>0</v>
      </c>
      <c r="AL23">
        <v>0</v>
      </c>
      <c r="AM23">
        <v>1.2999999999999999E-2</v>
      </c>
      <c r="AN23">
        <v>0</v>
      </c>
      <c r="AO23">
        <v>0</v>
      </c>
      <c r="AP23">
        <v>1E-3</v>
      </c>
      <c r="AQ23">
        <v>5.0000000000000001E-3</v>
      </c>
      <c r="AR23">
        <v>0</v>
      </c>
      <c r="AS23">
        <v>0</v>
      </c>
      <c r="AT23">
        <v>0</v>
      </c>
      <c r="AU23">
        <v>4.0000000000000001E-3</v>
      </c>
      <c r="AV23">
        <v>2E-3</v>
      </c>
      <c r="AW23">
        <v>1E-3</v>
      </c>
      <c r="AX23">
        <v>3.0000000000000001E-3</v>
      </c>
      <c r="AY23">
        <v>0</v>
      </c>
      <c r="AZ23">
        <v>0</v>
      </c>
      <c r="BA23">
        <v>1E-3</v>
      </c>
      <c r="BB23">
        <v>3.0000000000000001E-3</v>
      </c>
      <c r="BC23">
        <v>0</v>
      </c>
      <c r="BD23">
        <v>0</v>
      </c>
      <c r="BE23">
        <v>1E-3</v>
      </c>
    </row>
    <row r="24" spans="1:57">
      <c r="A24">
        <v>23</v>
      </c>
      <c r="B24" t="s">
        <v>28</v>
      </c>
      <c r="C24" t="s">
        <v>28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</row>
    <row r="25" spans="1:57">
      <c r="A25">
        <v>24</v>
      </c>
      <c r="B25" t="s">
        <v>28</v>
      </c>
      <c r="C25" t="s">
        <v>28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</row>
    <row r="26" spans="1:57">
      <c r="A26">
        <v>25</v>
      </c>
      <c r="B26" t="s">
        <v>30</v>
      </c>
      <c r="C26" t="s">
        <v>30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5.0000000000000001E-3</v>
      </c>
      <c r="Z26">
        <v>0.97899999999999998</v>
      </c>
      <c r="AA26">
        <v>0</v>
      </c>
      <c r="AB26">
        <v>0</v>
      </c>
      <c r="AC26">
        <v>0</v>
      </c>
      <c r="AD26">
        <v>0</v>
      </c>
      <c r="AE26">
        <v>1E-3</v>
      </c>
      <c r="AF26">
        <v>0</v>
      </c>
      <c r="AG26">
        <v>1E-3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1.2E-2</v>
      </c>
      <c r="AN26">
        <v>0</v>
      </c>
      <c r="AO26">
        <v>0</v>
      </c>
      <c r="AP26">
        <v>0</v>
      </c>
      <c r="AQ26">
        <v>1E-3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</row>
    <row r="27" spans="1:57">
      <c r="A27" s="9">
        <v>26</v>
      </c>
      <c r="B27" s="9" t="s">
        <v>30</v>
      </c>
      <c r="C27" s="9" t="s">
        <v>30</v>
      </c>
      <c r="D27" s="9">
        <v>0</v>
      </c>
      <c r="E27" s="9">
        <v>0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0</v>
      </c>
      <c r="L27" s="9">
        <v>0</v>
      </c>
      <c r="M27" s="9">
        <v>1E-3</v>
      </c>
      <c r="N27" s="9">
        <v>0</v>
      </c>
      <c r="O27" s="9">
        <v>0</v>
      </c>
      <c r="P27" s="9">
        <v>0</v>
      </c>
      <c r="Q27" s="9">
        <v>0</v>
      </c>
      <c r="R27" s="9">
        <v>0</v>
      </c>
      <c r="S27" s="9">
        <v>0</v>
      </c>
      <c r="T27" s="9">
        <v>0</v>
      </c>
      <c r="U27" s="9">
        <v>0</v>
      </c>
      <c r="V27" s="9">
        <v>0</v>
      </c>
      <c r="W27" s="9">
        <v>0</v>
      </c>
      <c r="X27" s="9">
        <v>0</v>
      </c>
      <c r="Y27" s="9">
        <v>1E-3</v>
      </c>
      <c r="Z27" s="9">
        <v>0.996</v>
      </c>
      <c r="AA27" s="9">
        <v>0</v>
      </c>
      <c r="AB27" s="9">
        <v>0</v>
      </c>
      <c r="AC27" s="9">
        <v>0</v>
      </c>
      <c r="AD27" s="9">
        <v>0</v>
      </c>
      <c r="AE27" s="9">
        <v>0</v>
      </c>
      <c r="AF27" s="9">
        <v>0</v>
      </c>
      <c r="AG27" s="9">
        <v>2E-3</v>
      </c>
      <c r="AH27" s="9">
        <v>0</v>
      </c>
      <c r="AI27" s="9">
        <v>0</v>
      </c>
      <c r="AJ27" s="9">
        <v>0</v>
      </c>
      <c r="AK27" s="9">
        <v>0</v>
      </c>
      <c r="AL27" s="9">
        <v>0</v>
      </c>
      <c r="AM27" s="9">
        <v>0</v>
      </c>
      <c r="AN27" s="9">
        <v>0</v>
      </c>
      <c r="AO27" s="9">
        <v>0</v>
      </c>
      <c r="AP27" s="9">
        <v>0</v>
      </c>
      <c r="AQ27" s="9">
        <v>0</v>
      </c>
      <c r="AR27" s="9">
        <v>0</v>
      </c>
      <c r="AS27" s="9">
        <v>0</v>
      </c>
      <c r="AT27" s="9">
        <v>0</v>
      </c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  <c r="BE27" s="9">
        <v>0</v>
      </c>
    </row>
    <row r="28" spans="1:57">
      <c r="A28">
        <v>27</v>
      </c>
      <c r="B28" t="s">
        <v>28</v>
      </c>
      <c r="C28" t="s">
        <v>28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</row>
    <row r="29" spans="1:57">
      <c r="A29">
        <v>28</v>
      </c>
      <c r="B29" t="s">
        <v>28</v>
      </c>
      <c r="C29" t="s">
        <v>28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</row>
    <row r="30" spans="1:57">
      <c r="A30">
        <v>29</v>
      </c>
      <c r="B30" t="s">
        <v>30</v>
      </c>
      <c r="C30" t="s">
        <v>30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1E-3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0.998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1E-3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</row>
    <row r="31" spans="1:57">
      <c r="A31">
        <v>30</v>
      </c>
      <c r="B31" t="s">
        <v>30</v>
      </c>
      <c r="C31" t="s">
        <v>30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4.0000000000000001E-3</v>
      </c>
      <c r="Z31">
        <v>0.98799999999999999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1E-3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7.0000000000000001E-3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</row>
    <row r="32" spans="1:57">
      <c r="A32">
        <v>31</v>
      </c>
      <c r="B32" t="s">
        <v>30</v>
      </c>
      <c r="C32" t="s">
        <v>30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1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</row>
    <row r="33" spans="1:57">
      <c r="A33">
        <v>32</v>
      </c>
      <c r="B33" t="s">
        <v>30</v>
      </c>
      <c r="C33" t="s">
        <v>30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1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</row>
    <row r="34" spans="1:57">
      <c r="A34">
        <v>33</v>
      </c>
      <c r="B34" t="s">
        <v>30</v>
      </c>
      <c r="C34" t="s">
        <v>30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1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</row>
    <row r="35" spans="1:57">
      <c r="A35">
        <v>34</v>
      </c>
      <c r="B35" t="s">
        <v>30</v>
      </c>
      <c r="C35" t="s">
        <v>30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1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</row>
    <row r="36" spans="1:57">
      <c r="A36">
        <v>35</v>
      </c>
      <c r="B36" t="s">
        <v>28</v>
      </c>
      <c r="C36" t="s">
        <v>28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</row>
    <row r="37" spans="1:57">
      <c r="A37">
        <v>36</v>
      </c>
      <c r="B37" t="s">
        <v>28</v>
      </c>
      <c r="C37" t="s">
        <v>28</v>
      </c>
      <c r="D37">
        <v>0</v>
      </c>
      <c r="E37">
        <v>0</v>
      </c>
      <c r="F37">
        <v>0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</row>
    <row r="38" spans="1:57">
      <c r="A38">
        <v>37</v>
      </c>
      <c r="B38" t="s">
        <v>30</v>
      </c>
      <c r="C38" t="s">
        <v>30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1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</row>
    <row r="39" spans="1:57">
      <c r="A39">
        <v>38</v>
      </c>
      <c r="B39" t="s">
        <v>30</v>
      </c>
      <c r="C39" t="s">
        <v>30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1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</row>
    <row r="40" spans="1:57">
      <c r="A40">
        <v>39</v>
      </c>
      <c r="B40" t="s">
        <v>30</v>
      </c>
      <c r="C40" t="s">
        <v>30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1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</row>
    <row r="41" spans="1:57">
      <c r="A41">
        <v>40</v>
      </c>
      <c r="B41" t="s">
        <v>30</v>
      </c>
      <c r="C41" t="s">
        <v>30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1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</row>
    <row r="42" spans="1:57">
      <c r="A42">
        <v>41</v>
      </c>
      <c r="B42" t="s">
        <v>30</v>
      </c>
      <c r="C42" t="s">
        <v>30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1E-3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1E-3</v>
      </c>
      <c r="X42">
        <v>0</v>
      </c>
      <c r="Y42">
        <v>0</v>
      </c>
      <c r="Z42">
        <v>0.996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1E-3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1E-3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</row>
    <row r="43" spans="1:57">
      <c r="A43">
        <v>42</v>
      </c>
      <c r="B43" t="s">
        <v>30</v>
      </c>
      <c r="C43" t="s">
        <v>30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1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</row>
    <row r="44" spans="1:57">
      <c r="A44">
        <v>43</v>
      </c>
      <c r="B44" t="s">
        <v>30</v>
      </c>
      <c r="C44" t="s">
        <v>30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</row>
    <row r="45" spans="1:57">
      <c r="A45">
        <v>44</v>
      </c>
      <c r="B45" t="s">
        <v>30</v>
      </c>
      <c r="C45" t="s">
        <v>30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1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</row>
    <row r="46" spans="1:57">
      <c r="A46">
        <v>45</v>
      </c>
      <c r="B46" t="s">
        <v>30</v>
      </c>
      <c r="C46" t="s">
        <v>30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1E-3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0.998</v>
      </c>
      <c r="AA46">
        <v>0</v>
      </c>
      <c r="AB46">
        <v>1E-3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</row>
    <row r="47" spans="1:57">
      <c r="A47">
        <v>46</v>
      </c>
      <c r="B47" t="s">
        <v>30</v>
      </c>
      <c r="C47" t="s">
        <v>30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1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</row>
    <row r="48" spans="1:57">
      <c r="A48">
        <v>47</v>
      </c>
      <c r="B48" t="s">
        <v>30</v>
      </c>
      <c r="C48" t="s">
        <v>30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1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</row>
    <row r="49" spans="1:57">
      <c r="A49">
        <v>48</v>
      </c>
      <c r="B49" t="s">
        <v>30</v>
      </c>
      <c r="C49" t="s">
        <v>30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1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</row>
    <row r="50" spans="1:57">
      <c r="A50">
        <v>49</v>
      </c>
      <c r="B50" t="s">
        <v>30</v>
      </c>
      <c r="C50" t="s">
        <v>30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1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</row>
    <row r="51" spans="1:57">
      <c r="A51">
        <v>50</v>
      </c>
      <c r="B51" t="s">
        <v>30</v>
      </c>
      <c r="C51" t="s">
        <v>30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1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</row>
    <row r="52" spans="1:57">
      <c r="A52">
        <v>51</v>
      </c>
      <c r="B52" t="s">
        <v>30</v>
      </c>
      <c r="C52" t="s">
        <v>30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1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</row>
    <row r="53" spans="1:57">
      <c r="A53">
        <v>52</v>
      </c>
      <c r="B53" t="s">
        <v>30</v>
      </c>
      <c r="C53" t="s">
        <v>30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1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</row>
    <row r="54" spans="1:57">
      <c r="A54">
        <v>53</v>
      </c>
      <c r="B54" t="s">
        <v>30</v>
      </c>
      <c r="C54" t="s">
        <v>30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1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</row>
    <row r="55" spans="1:57">
      <c r="A55">
        <v>54</v>
      </c>
      <c r="B55" t="b">
        <v>0</v>
      </c>
      <c r="C55" t="s">
        <v>33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0.48199999999999998</v>
      </c>
      <c r="AK55">
        <v>0.32800000000000001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0.19</v>
      </c>
    </row>
    <row r="56" spans="1:57">
      <c r="A56">
        <v>55</v>
      </c>
      <c r="B56" t="b">
        <v>0</v>
      </c>
      <c r="C56" t="s">
        <v>36</v>
      </c>
      <c r="D56">
        <v>0</v>
      </c>
      <c r="E56">
        <v>0</v>
      </c>
      <c r="F56">
        <v>0</v>
      </c>
      <c r="G56">
        <v>1E-3</v>
      </c>
      <c r="H56">
        <v>0.65200000000000002</v>
      </c>
      <c r="I56">
        <v>0</v>
      </c>
      <c r="J56">
        <v>7.8E-2</v>
      </c>
      <c r="K56">
        <v>0.26</v>
      </c>
      <c r="L56">
        <v>2E-3</v>
      </c>
      <c r="M56">
        <v>0</v>
      </c>
      <c r="N56">
        <v>6.0000000000000001E-3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1E-3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</row>
    <row r="57" spans="1:57">
      <c r="A57">
        <v>56</v>
      </c>
      <c r="B57" t="b">
        <v>0</v>
      </c>
      <c r="C57" t="s">
        <v>33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0.48199999999999998</v>
      </c>
      <c r="AK57">
        <v>0.32800000000000001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0.19</v>
      </c>
    </row>
    <row r="58" spans="1:57">
      <c r="A58">
        <v>57</v>
      </c>
      <c r="B58" t="b">
        <v>0</v>
      </c>
      <c r="C58" t="s">
        <v>36</v>
      </c>
      <c r="D58">
        <v>0</v>
      </c>
      <c r="E58">
        <v>0</v>
      </c>
      <c r="F58">
        <v>0</v>
      </c>
      <c r="G58">
        <v>1E-3</v>
      </c>
      <c r="H58">
        <v>0.66700000000000004</v>
      </c>
      <c r="I58">
        <v>0</v>
      </c>
      <c r="J58">
        <v>7.8E-2</v>
      </c>
      <c r="K58">
        <v>0.245</v>
      </c>
      <c r="L58">
        <v>2E-3</v>
      </c>
      <c r="M58">
        <v>0</v>
      </c>
      <c r="N58">
        <v>6.0000000000000001E-3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1E-3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</row>
    <row r="59" spans="1:57">
      <c r="A59">
        <v>58</v>
      </c>
      <c r="B59" t="s">
        <v>30</v>
      </c>
      <c r="C59" t="s">
        <v>30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</row>
    <row r="60" spans="1:57">
      <c r="A60">
        <v>59</v>
      </c>
      <c r="B60" t="s">
        <v>30</v>
      </c>
      <c r="C60" t="s">
        <v>30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1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</row>
    <row r="61" spans="1:57">
      <c r="A61">
        <v>60</v>
      </c>
      <c r="B61" t="s">
        <v>30</v>
      </c>
      <c r="C61" t="s">
        <v>30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</row>
    <row r="62" spans="1:57">
      <c r="A62">
        <v>61</v>
      </c>
      <c r="B62" t="s">
        <v>30</v>
      </c>
      <c r="C62" t="s">
        <v>30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1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</row>
    <row r="63" spans="1:57">
      <c r="A63">
        <v>62</v>
      </c>
      <c r="B63" t="s">
        <v>123</v>
      </c>
      <c r="C63" t="s">
        <v>37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2E-3</v>
      </c>
      <c r="Y63">
        <v>8.4000000000000005E-2</v>
      </c>
      <c r="Z63">
        <v>2.8000000000000001E-2</v>
      </c>
      <c r="AA63">
        <v>0</v>
      </c>
      <c r="AB63">
        <v>1E-3</v>
      </c>
      <c r="AC63">
        <v>0</v>
      </c>
      <c r="AD63">
        <v>0</v>
      </c>
      <c r="AE63">
        <v>1E-3</v>
      </c>
      <c r="AF63">
        <v>0</v>
      </c>
      <c r="AG63">
        <v>2E-3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0.88200000000000001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</row>
    <row r="64" spans="1:57">
      <c r="A64" s="6">
        <v>63</v>
      </c>
      <c r="B64" s="6" t="s">
        <v>123</v>
      </c>
      <c r="C64" s="6" t="s">
        <v>37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2E-3</v>
      </c>
      <c r="Y64" s="6">
        <v>0.19600000000000001</v>
      </c>
      <c r="Z64" s="6">
        <v>1E-3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8.0000000000000002E-3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0.79300000000000004</v>
      </c>
      <c r="AN64" s="6">
        <v>0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Y64" s="6">
        <v>0</v>
      </c>
      <c r="AZ64" s="6">
        <v>0</v>
      </c>
      <c r="BA64" s="6">
        <v>0</v>
      </c>
      <c r="BB64" s="6">
        <v>0</v>
      </c>
      <c r="BC64" s="6">
        <v>0</v>
      </c>
      <c r="BD64" s="6">
        <v>0</v>
      </c>
      <c r="BE64" s="6">
        <v>0</v>
      </c>
    </row>
    <row r="65" spans="1:57">
      <c r="A65">
        <v>64</v>
      </c>
      <c r="B65" t="s">
        <v>123</v>
      </c>
      <c r="C65" t="s">
        <v>40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</row>
    <row r="66" spans="1:57">
      <c r="A66">
        <v>65</v>
      </c>
      <c r="B66" t="s">
        <v>124</v>
      </c>
      <c r="C66" t="s">
        <v>28</v>
      </c>
      <c r="D66">
        <v>0</v>
      </c>
      <c r="E66">
        <v>0</v>
      </c>
      <c r="F66">
        <v>0</v>
      </c>
      <c r="G66">
        <v>0.99399999999999999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6.0000000000000001E-3</v>
      </c>
      <c r="BE66">
        <v>0</v>
      </c>
    </row>
    <row r="67" spans="1:57">
      <c r="A67">
        <v>66</v>
      </c>
      <c r="B67" t="s">
        <v>124</v>
      </c>
      <c r="C67" t="s">
        <v>41</v>
      </c>
      <c r="D67">
        <v>0.253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0.255</v>
      </c>
      <c r="P67">
        <v>0.49199999999999999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</row>
    <row r="68" spans="1:57">
      <c r="A68">
        <v>67</v>
      </c>
      <c r="B68" t="s">
        <v>124</v>
      </c>
      <c r="C68" t="s">
        <v>42</v>
      </c>
      <c r="D68">
        <v>0.71299999999999997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0.23899999999999999</v>
      </c>
      <c r="P68">
        <v>4.8000000000000001E-2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</row>
    <row r="69" spans="1:57">
      <c r="A69">
        <v>68</v>
      </c>
      <c r="B69" t="s">
        <v>124</v>
      </c>
      <c r="C69" t="s">
        <v>43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0.247</v>
      </c>
      <c r="AK69">
        <v>0.59799999999999998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1E-3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0.154</v>
      </c>
    </row>
    <row r="70" spans="1:57">
      <c r="A70">
        <v>69</v>
      </c>
      <c r="B70" t="b">
        <v>0</v>
      </c>
      <c r="C70" t="s">
        <v>44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8.9999999999999993E-3</v>
      </c>
      <c r="L70">
        <v>0</v>
      </c>
      <c r="M70">
        <v>0</v>
      </c>
      <c r="N70">
        <v>0</v>
      </c>
      <c r="O70">
        <v>0</v>
      </c>
      <c r="P70">
        <v>0</v>
      </c>
      <c r="Q70">
        <v>2E-3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3.0000000000000001E-3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3.0000000000000001E-3</v>
      </c>
      <c r="AS70">
        <v>0.96599999999999997</v>
      </c>
      <c r="AT70">
        <v>1.7000000000000001E-2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</row>
    <row r="71" spans="1:57">
      <c r="A71">
        <v>70</v>
      </c>
      <c r="B71" t="b">
        <v>0</v>
      </c>
      <c r="C71" t="s">
        <v>30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3.0000000000000001E-3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0.995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1E-3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1E-3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</row>
    <row r="72" spans="1:57">
      <c r="A72">
        <v>71</v>
      </c>
      <c r="B72" t="b">
        <v>0</v>
      </c>
      <c r="C72" t="s">
        <v>30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</row>
    <row r="73" spans="1:57">
      <c r="A73">
        <v>72</v>
      </c>
      <c r="B73" t="b">
        <v>0</v>
      </c>
      <c r="C73" t="s">
        <v>30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2E-3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0.997</v>
      </c>
      <c r="AA73">
        <v>0</v>
      </c>
      <c r="AB73">
        <v>0</v>
      </c>
      <c r="AC73">
        <v>0</v>
      </c>
      <c r="AD73">
        <v>0</v>
      </c>
      <c r="AE73">
        <v>1E-3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</row>
    <row r="74" spans="1:57">
      <c r="A74">
        <v>73</v>
      </c>
      <c r="B74" t="s">
        <v>30</v>
      </c>
      <c r="C74" t="s">
        <v>30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</row>
    <row r="75" spans="1:57">
      <c r="A75">
        <v>74</v>
      </c>
      <c r="B75" t="s">
        <v>30</v>
      </c>
      <c r="C75" t="s">
        <v>30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0.999</v>
      </c>
      <c r="AA75">
        <v>0</v>
      </c>
      <c r="AB75">
        <v>1E-3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</row>
    <row r="76" spans="1:57">
      <c r="A76">
        <v>75</v>
      </c>
      <c r="B76" t="s">
        <v>30</v>
      </c>
      <c r="C76" t="s">
        <v>30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1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</row>
    <row r="77" spans="1:57">
      <c r="A77">
        <v>76</v>
      </c>
      <c r="B77" t="s">
        <v>30</v>
      </c>
      <c r="C77" t="s">
        <v>30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0.999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1E-3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</row>
    <row r="78" spans="1:57">
      <c r="A78">
        <v>77</v>
      </c>
      <c r="B78" t="s">
        <v>45</v>
      </c>
      <c r="C78" t="s">
        <v>45</v>
      </c>
      <c r="D78">
        <v>0</v>
      </c>
      <c r="E78">
        <v>0</v>
      </c>
      <c r="F78">
        <v>0</v>
      </c>
      <c r="G78">
        <v>0</v>
      </c>
      <c r="H78">
        <v>1E-3</v>
      </c>
      <c r="I78">
        <v>1E-3</v>
      </c>
      <c r="J78">
        <v>0.152</v>
      </c>
      <c r="K78">
        <v>0.84299999999999997</v>
      </c>
      <c r="L78">
        <v>0</v>
      </c>
      <c r="M78">
        <v>0</v>
      </c>
      <c r="N78">
        <v>3.0000000000000001E-3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</row>
    <row r="79" spans="1:57">
      <c r="A79">
        <v>78</v>
      </c>
      <c r="B79" t="s">
        <v>46</v>
      </c>
      <c r="C79" t="s">
        <v>46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2.1999999999999999E-2</v>
      </c>
      <c r="Y79">
        <v>0.95299999999999996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2.5000000000000001E-2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</row>
    <row r="80" spans="1:57">
      <c r="A80">
        <v>79</v>
      </c>
      <c r="B80" t="s">
        <v>46</v>
      </c>
      <c r="C80" t="s">
        <v>46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5.8000000000000003E-2</v>
      </c>
      <c r="Y80">
        <v>0.89500000000000002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4.7E-2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</row>
    <row r="81" spans="1:57">
      <c r="A81">
        <v>80</v>
      </c>
      <c r="B81" t="s">
        <v>46</v>
      </c>
      <c r="C81" t="s">
        <v>46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2E-3</v>
      </c>
      <c r="Y81">
        <v>0.995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3.0000000000000001E-3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</row>
    <row r="82" spans="1:57">
      <c r="A82">
        <v>81</v>
      </c>
      <c r="B82" t="s">
        <v>46</v>
      </c>
      <c r="C82" t="s">
        <v>46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7.0000000000000001E-3</v>
      </c>
      <c r="Y82">
        <v>0.99099999999999999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2E-3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</row>
    <row r="83" spans="1:57">
      <c r="A83">
        <v>82</v>
      </c>
      <c r="B83" t="s">
        <v>47</v>
      </c>
      <c r="C83" t="s">
        <v>47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0.97199999999999998</v>
      </c>
      <c r="Y83">
        <v>1.2E-2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1E-3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1.4E-2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1E-3</v>
      </c>
    </row>
    <row r="84" spans="1:57">
      <c r="A84">
        <v>83</v>
      </c>
      <c r="B84" t="s">
        <v>47</v>
      </c>
      <c r="C84" t="s">
        <v>47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0.997</v>
      </c>
      <c r="Y84">
        <v>2E-3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1E-3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</row>
    <row r="85" spans="1:57">
      <c r="A85">
        <v>84</v>
      </c>
      <c r="B85" t="s">
        <v>47</v>
      </c>
      <c r="C85" t="s">
        <v>47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0.96799999999999997</v>
      </c>
      <c r="Y85">
        <v>2E-3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0.03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</row>
    <row r="86" spans="1:57">
      <c r="A86">
        <v>85</v>
      </c>
      <c r="B86" t="s">
        <v>47</v>
      </c>
      <c r="C86" t="s">
        <v>47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0.97699999999999998</v>
      </c>
      <c r="Y86">
        <v>5.0000000000000001E-3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1E-3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1.6E-2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1E-3</v>
      </c>
    </row>
    <row r="87" spans="1:57">
      <c r="A87">
        <v>86</v>
      </c>
      <c r="B87" t="s">
        <v>47</v>
      </c>
      <c r="C87" t="s">
        <v>47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0.997</v>
      </c>
      <c r="Y87">
        <v>2E-3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1E-3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</row>
    <row r="88" spans="1:57">
      <c r="A88">
        <v>87</v>
      </c>
      <c r="B88" t="s">
        <v>47</v>
      </c>
      <c r="C88" t="s">
        <v>47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0.96799999999999997</v>
      </c>
      <c r="Y88">
        <v>2E-3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0.03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</row>
    <row r="89" spans="1:57">
      <c r="A89">
        <v>88</v>
      </c>
      <c r="B89" t="s">
        <v>47</v>
      </c>
      <c r="C89" t="s">
        <v>47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0.85699999999999998</v>
      </c>
      <c r="Y89">
        <v>2E-3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0.14099999999999999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</row>
    <row r="90" spans="1:57">
      <c r="A90">
        <v>89</v>
      </c>
      <c r="B90" t="s">
        <v>47</v>
      </c>
      <c r="C90" t="s">
        <v>47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0.90100000000000002</v>
      </c>
      <c r="Y90">
        <v>1E-3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9.8000000000000004E-2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</row>
    <row r="91" spans="1:57">
      <c r="A91">
        <v>90</v>
      </c>
      <c r="B91" t="s">
        <v>46</v>
      </c>
      <c r="C91" t="s">
        <v>46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8.9999999999999993E-3</v>
      </c>
      <c r="Y91">
        <v>0.98799999999999999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3.0000000000000001E-3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</row>
    <row r="92" spans="1:57">
      <c r="A92">
        <v>91</v>
      </c>
      <c r="B92" t="s">
        <v>46</v>
      </c>
      <c r="C92" t="s">
        <v>46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4.2999999999999997E-2</v>
      </c>
      <c r="Y92">
        <v>0.92400000000000004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3.3000000000000002E-2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</row>
    <row r="93" spans="1:57">
      <c r="A93">
        <v>92</v>
      </c>
      <c r="B93" t="s">
        <v>124</v>
      </c>
      <c r="C93" t="s">
        <v>45</v>
      </c>
      <c r="D93">
        <v>0</v>
      </c>
      <c r="E93">
        <v>0</v>
      </c>
      <c r="F93">
        <v>0</v>
      </c>
      <c r="G93">
        <v>0</v>
      </c>
      <c r="H93">
        <v>0</v>
      </c>
      <c r="I93">
        <v>1E-3</v>
      </c>
      <c r="J93">
        <v>0.16800000000000001</v>
      </c>
      <c r="K93">
        <v>0.83</v>
      </c>
      <c r="L93">
        <v>0</v>
      </c>
      <c r="M93">
        <v>0</v>
      </c>
      <c r="N93">
        <v>1E-3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</row>
    <row r="94" spans="1:57">
      <c r="A94">
        <v>93</v>
      </c>
      <c r="B94" t="s">
        <v>28</v>
      </c>
      <c r="C94" t="s">
        <v>28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</row>
    <row r="95" spans="1:57">
      <c r="A95">
        <v>94</v>
      </c>
      <c r="B95" t="s">
        <v>49</v>
      </c>
      <c r="C95" t="s">
        <v>49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1E-3</v>
      </c>
      <c r="M95">
        <v>0</v>
      </c>
      <c r="N95">
        <v>0</v>
      </c>
      <c r="O95">
        <v>0</v>
      </c>
      <c r="P95">
        <v>0</v>
      </c>
      <c r="Q95">
        <v>1E-3</v>
      </c>
      <c r="R95">
        <v>0</v>
      </c>
      <c r="S95">
        <v>0</v>
      </c>
      <c r="T95">
        <v>0</v>
      </c>
      <c r="U95">
        <v>0</v>
      </c>
      <c r="V95">
        <v>0</v>
      </c>
      <c r="W95">
        <v>2E-3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4.0000000000000001E-3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0.98899999999999999</v>
      </c>
      <c r="AR95">
        <v>0</v>
      </c>
      <c r="AS95">
        <v>0</v>
      </c>
      <c r="AT95">
        <v>1E-3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1E-3</v>
      </c>
      <c r="BB95">
        <v>0</v>
      </c>
      <c r="BC95">
        <v>1E-3</v>
      </c>
      <c r="BD95">
        <v>0</v>
      </c>
      <c r="BE95">
        <v>0</v>
      </c>
    </row>
    <row r="96" spans="1:57">
      <c r="A96">
        <v>95</v>
      </c>
      <c r="B96" t="s">
        <v>49</v>
      </c>
      <c r="C96" t="s">
        <v>49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1E-3</v>
      </c>
      <c r="L96">
        <v>0</v>
      </c>
      <c r="M96">
        <v>0</v>
      </c>
      <c r="N96">
        <v>0</v>
      </c>
      <c r="O96">
        <v>0</v>
      </c>
      <c r="P96">
        <v>0</v>
      </c>
      <c r="Q96">
        <v>1E-3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3.0000000000000001E-3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1E-3</v>
      </c>
      <c r="AQ96">
        <v>0.99199999999999999</v>
      </c>
      <c r="AR96">
        <v>0</v>
      </c>
      <c r="AS96">
        <v>0</v>
      </c>
      <c r="AT96">
        <v>1E-3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1E-3</v>
      </c>
      <c r="BD96">
        <v>0</v>
      </c>
      <c r="BE96">
        <v>0</v>
      </c>
    </row>
    <row r="97" spans="1:57">
      <c r="A97">
        <v>96</v>
      </c>
      <c r="B97" t="s">
        <v>25</v>
      </c>
      <c r="C97" t="s">
        <v>25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0.38700000000000001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3.4000000000000002E-2</v>
      </c>
      <c r="AS97">
        <v>0</v>
      </c>
      <c r="AT97">
        <v>0.57899999999999996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</row>
    <row r="98" spans="1:57">
      <c r="A98">
        <v>97</v>
      </c>
      <c r="B98" t="s">
        <v>125</v>
      </c>
      <c r="C98" t="s">
        <v>28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</row>
    <row r="99" spans="1:57">
      <c r="A99">
        <v>98</v>
      </c>
      <c r="B99" t="s">
        <v>50</v>
      </c>
      <c r="C99" t="s">
        <v>50</v>
      </c>
      <c r="D99">
        <v>0</v>
      </c>
      <c r="E99">
        <v>0</v>
      </c>
      <c r="F99">
        <v>0</v>
      </c>
      <c r="G99">
        <v>0.11799999999999999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0.88200000000000001</v>
      </c>
      <c r="BE99">
        <v>0</v>
      </c>
    </row>
    <row r="100" spans="1:57">
      <c r="A100">
        <v>99</v>
      </c>
      <c r="B100" t="s">
        <v>28</v>
      </c>
      <c r="C100" t="s">
        <v>28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</row>
    <row r="101" spans="1:57">
      <c r="A101">
        <v>100</v>
      </c>
      <c r="B101" t="s">
        <v>53</v>
      </c>
      <c r="C101" t="s">
        <v>53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0.99</v>
      </c>
      <c r="AB101">
        <v>4.0000000000000001E-3</v>
      </c>
      <c r="AC101">
        <v>2E-3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1E-3</v>
      </c>
      <c r="AK101">
        <v>1E-3</v>
      </c>
      <c r="AL101">
        <v>0</v>
      </c>
      <c r="AM101">
        <v>0</v>
      </c>
      <c r="AN101">
        <v>0</v>
      </c>
      <c r="AO101">
        <v>0</v>
      </c>
      <c r="AP101">
        <v>2E-3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</row>
  </sheetData>
  <autoFilter ref="A1:BE1" xr:uid="{00000000-0009-0000-0000-000005000000}">
    <sortState xmlns:xlrd2="http://schemas.microsoft.com/office/spreadsheetml/2017/richdata2" ref="A2:BE101">
      <sortCondition ref="A1:A10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20200221JAP_probAnalysis</vt:lpstr>
      <vt:lpstr>confusionMatrices</vt:lpstr>
      <vt:lpstr>perKingdom</vt:lpstr>
      <vt:lpstr>perSuperClass</vt:lpstr>
      <vt:lpstr>perClass</vt:lpstr>
      <vt:lpstr>perSubclass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Jaqueline Picache</cp:lastModifiedBy>
  <dcterms:modified xsi:type="dcterms:W3CDTF">2020-03-02T22:10:40Z</dcterms:modified>
</cp:coreProperties>
</file>