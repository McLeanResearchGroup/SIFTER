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40009_{AF46FB85-67B0-3144-9838-26FBDCC827C0}" xr6:coauthVersionLast="45" xr6:coauthVersionMax="45" xr10:uidLastSave="{00000000-0000-0000-0000-000000000000}"/>
  <bookViews>
    <workbookView xWindow="0" yWindow="0" windowWidth="51200" windowHeight="28800"/>
  </bookViews>
  <sheets>
    <sheet name="20191022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'20191022JAP_ProbAnalysis'!$A$1:$S$1</definedName>
    <definedName name="_xlnm._FilterDatabase" localSheetId="4" hidden="1">perClass!$A$1:$Y$1</definedName>
    <definedName name="_xlnm._FilterDatabase" localSheetId="2" hidden="1">perKingdom!$A$1:$E$1</definedName>
    <definedName name="_xlnm._FilterDatabase" localSheetId="5" hidden="1">perSubclass!$A$1:$Y$1</definedName>
    <definedName name="_xlnm._FilterDatabase" localSheetId="3" hidden="1">perSuperClass!$A$1:$N$1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7" i="1" l="1"/>
  <c r="W6" i="1"/>
  <c r="W5" i="1"/>
  <c r="W4" i="1"/>
  <c r="W2" i="1"/>
  <c r="W3" i="1"/>
</calcChain>
</file>

<file path=xl/sharedStrings.xml><?xml version="1.0" encoding="utf-8"?>
<sst xmlns="http://schemas.openxmlformats.org/spreadsheetml/2006/main" count="6637" uniqueCount="417">
  <si>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</si>
  <si>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</si>
  <si>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</si>
  <si>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</si>
  <si>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</si>
  <si>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</si>
  <si>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</si>
  <si>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</si>
  <si>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</si>
  <si>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</si>
  <si>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</si>
  <si>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</si>
  <si>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</si>
  <si>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</si>
  <si>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</si>
  <si>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</si>
  <si>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</si>
  <si>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Cer 42:01 OH</t>
  </si>
  <si>
    <t>Organic compounds</t>
  </si>
  <si>
    <t>no</t>
  </si>
  <si>
    <t>Lipids and lipid-like molecules</t>
  </si>
  <si>
    <t>Sphingolipids</t>
  </si>
  <si>
    <t>Ceramides</t>
  </si>
  <si>
    <t>kscsb</t>
  </si>
  <si>
    <t>Deoxycorticosterone Acetate</t>
  </si>
  <si>
    <t>Steroids and steroid derivatives</t>
  </si>
  <si>
    <t>Pregnane steroids</t>
  </si>
  <si>
    <t>PC (18:1(9Z)/16:0)</t>
  </si>
  <si>
    <t>Glycerophospholipids</t>
  </si>
  <si>
    <t>Glycerophosphocholines</t>
  </si>
  <si>
    <t>alpha-D-Glucose-1-phosphate</t>
  </si>
  <si>
    <t>Organic oxygen compounds</t>
  </si>
  <si>
    <t>Organooxygen compounds</t>
  </si>
  <si>
    <t>Carbohydrates and carbohydrate conjugates</t>
  </si>
  <si>
    <t>SM 34:01</t>
  </si>
  <si>
    <t>Phosphosphingolipids</t>
  </si>
  <si>
    <t>N,N-Dimethylglycine</t>
  </si>
  <si>
    <t>Organic acids and derivatives</t>
  </si>
  <si>
    <t>Carboxylic acids and derivatives</t>
  </si>
  <si>
    <t>Amino acids, peptides, and analogues</t>
  </si>
  <si>
    <t>PE 37:01</t>
  </si>
  <si>
    <t>Glycerophosphoethanolamines</t>
  </si>
  <si>
    <t>6-Phosphogluconate</t>
  </si>
  <si>
    <t>Benzenoids</t>
  </si>
  <si>
    <t>Benzene and substituted derivatives</t>
  </si>
  <si>
    <t>Anilides</t>
  </si>
  <si>
    <t>Cortisol</t>
  </si>
  <si>
    <t>Hydroxysteroids</t>
  </si>
  <si>
    <t>4'-Hydroxy-2,2',4,5,5'-pentabromodiphenylether</t>
  </si>
  <si>
    <t>Diphenylethers</t>
  </si>
  <si>
    <t>3,5-Diiodo-L-thryonine</t>
  </si>
  <si>
    <t>Erythromycin A</t>
  </si>
  <si>
    <t>PS 40:05</t>
  </si>
  <si>
    <t>Glycerophosphoserines</t>
  </si>
  <si>
    <t>Theobromine</t>
  </si>
  <si>
    <t>Organoheterocyclic compounds</t>
  </si>
  <si>
    <t>Imidazopyrimidines</t>
  </si>
  <si>
    <t>Purines and purine derivatives</t>
  </si>
  <si>
    <t>PS 42:02</t>
  </si>
  <si>
    <t xml:space="preserve">4-Hydroxy-4'-chlorobiphenyl </t>
  </si>
  <si>
    <t>Biphenyls and derivatives</t>
  </si>
  <si>
    <t>Antimycin A1b</t>
  </si>
  <si>
    <t>GlcCer 41:01</t>
  </si>
  <si>
    <t>Glycosphingolipids</t>
  </si>
  <si>
    <t>2'-Deoxyguanosine-5'-diphosphate</t>
  </si>
  <si>
    <t>Nucleosides, nucleotides, and analogues</t>
  </si>
  <si>
    <t>Purine nucleotides</t>
  </si>
  <si>
    <t>Purine deoxyribonucleotides</t>
  </si>
  <si>
    <t>L-Pipecolate</t>
  </si>
  <si>
    <t>PC 36:04 HETE</t>
  </si>
  <si>
    <t>Roxithromycin</t>
  </si>
  <si>
    <t>Poly-(glycine)9</t>
  </si>
  <si>
    <t>L-Tyrosine</t>
  </si>
  <si>
    <t>L-Proline</t>
  </si>
  <si>
    <t>1,2-Dilauroyl-sn-glycero-3-phosphoethanolamine</t>
  </si>
  <si>
    <t>Isobutyrylamino Acetic Acid</t>
  </si>
  <si>
    <t>PE 38:05</t>
  </si>
  <si>
    <t>Uridine-5'-triphosphate</t>
  </si>
  <si>
    <t>Pyrimidine nucleotides</t>
  </si>
  <si>
    <t>Pyrimidine ribonucleotides</t>
  </si>
  <si>
    <t>Erythromycin B</t>
  </si>
  <si>
    <t>SM 42:04</t>
  </si>
  <si>
    <t>Kynurenate</t>
  </si>
  <si>
    <t>Quinolines and derivatives</t>
  </si>
  <si>
    <t>Quinoline carboxylic acids</t>
  </si>
  <si>
    <t>12(R)-HETE</t>
  </si>
  <si>
    <t>Fatty acyls</t>
  </si>
  <si>
    <t>Eicosanoids</t>
  </si>
  <si>
    <t>2-Hydroxy-4-(methylthio)butanoate</t>
  </si>
  <si>
    <t>Fatty acids and conjugates</t>
  </si>
  <si>
    <t>PS 40:06</t>
  </si>
  <si>
    <t>9-OxoODE</t>
  </si>
  <si>
    <t>Lineolic acids and derivatives</t>
  </si>
  <si>
    <t>Cytidine-5'-diphosphocholine</t>
  </si>
  <si>
    <t>2-Methylglutarate</t>
  </si>
  <si>
    <t>Xanthurenate</t>
  </si>
  <si>
    <t>Cs(CsI)3(NaI)3 or Na(CsI)4(NaI)2</t>
  </si>
  <si>
    <t>Inorganic compounds</t>
  </si>
  <si>
    <t>Mixed metal/non-metal compounds</t>
  </si>
  <si>
    <t>Alkali metal salts</t>
  </si>
  <si>
    <t>Alkali metal iodides</t>
  </si>
  <si>
    <t>d7-PA (15:0-18:1)</t>
  </si>
  <si>
    <t>Glycerophosphates</t>
  </si>
  <si>
    <t>Thiopurine-(S)-methylether</t>
  </si>
  <si>
    <t>Na(CsI)1 or Cs(NaI)1</t>
  </si>
  <si>
    <t>Adenosine-5'-diphosphate (From Bacterial Source)</t>
  </si>
  <si>
    <t>Purine ribonucleotides</t>
  </si>
  <si>
    <t>TVMIGGK (Tryptic Peptide)</t>
  </si>
  <si>
    <t>2,6-Diaminopimelate</t>
  </si>
  <si>
    <t>cis-Aconitic acid</t>
  </si>
  <si>
    <t>Tricarboxylic acids and derivatives</t>
  </si>
  <si>
    <t>Capsofungin</t>
  </si>
  <si>
    <t>3,5-Dibromo-1-tyrosine</t>
  </si>
  <si>
    <t>GlcCer 40:00</t>
  </si>
  <si>
    <t>Clarithromycin</t>
  </si>
  <si>
    <t>d7-LysoPC (18:1)</t>
  </si>
  <si>
    <t>L-alpha-Aminoadipate</t>
  </si>
  <si>
    <t>N-Methyl-L-glutamate</t>
  </si>
  <si>
    <t>PS 38:02</t>
  </si>
  <si>
    <t xml:space="preserve">4-Hydroxy-2',3,3',4',5,5'-hexachlorobiphenyl </t>
  </si>
  <si>
    <t>Hypoxanthine</t>
  </si>
  <si>
    <t>Cellopentaose &gt; 80%</t>
  </si>
  <si>
    <t>Methyl-4-aminobutyrate</t>
  </si>
  <si>
    <t>LysoPC (13:0)</t>
  </si>
  <si>
    <t>Stachyose</t>
  </si>
  <si>
    <t>4-Hydroxy-2,2',5'-trichlorobiphenyl</t>
  </si>
  <si>
    <t>2'-Hydroxy-2,4,4'-tribromodiphenyl ether</t>
  </si>
  <si>
    <t>L-Cystine</t>
  </si>
  <si>
    <t>Uridine-5'-diphosphate</t>
  </si>
  <si>
    <t>Tiglyl Glycine</t>
  </si>
  <si>
    <t>PS 40:03</t>
  </si>
  <si>
    <t>PS 40:09</t>
  </si>
  <si>
    <t>D-Sedoheptulose</t>
  </si>
  <si>
    <t>PC 34:03</t>
  </si>
  <si>
    <t>Creatine Phosphate</t>
  </si>
  <si>
    <t>Leukotriene D4</t>
  </si>
  <si>
    <t>Petroselinate</t>
  </si>
  <si>
    <t>Theophylline</t>
  </si>
  <si>
    <t>GlcCer 40:03</t>
  </si>
  <si>
    <t>UltraMark 1421</t>
  </si>
  <si>
    <t>Organohalogen compounds</t>
  </si>
  <si>
    <t>Organofluorides</t>
  </si>
  <si>
    <t>Phosphazene and phosphazene derivatives</t>
  </si>
  <si>
    <t>3'-Hydroxy-2,4-dibromodiphenylether</t>
  </si>
  <si>
    <t>Josamycin</t>
  </si>
  <si>
    <t>Cs(CsI)4(NaI)3 or Na(CsI)5(NaI)2</t>
  </si>
  <si>
    <t>Cer 44:02</t>
  </si>
  <si>
    <t>Aculeacin A</t>
  </si>
  <si>
    <t>N-Acetyl-D-mannosamine</t>
  </si>
  <si>
    <t>Prostaglandin G2</t>
  </si>
  <si>
    <t>Phosphoenolpyruvate</t>
  </si>
  <si>
    <t>Organic nitrogen compounds</t>
  </si>
  <si>
    <t>Organonitrogen compounds</t>
  </si>
  <si>
    <t>Amines</t>
  </si>
  <si>
    <t>Caffeine</t>
  </si>
  <si>
    <t>Poly-DL-(alanine)4</t>
  </si>
  <si>
    <t>Organic polymers</t>
  </si>
  <si>
    <t>kcsb</t>
  </si>
  <si>
    <t>L-Threonine</t>
  </si>
  <si>
    <t>Cer (d18:1/17:0)</t>
  </si>
  <si>
    <t>Thymidine-5'-monophosphate</t>
  </si>
  <si>
    <t>Pyrimidine deoxyribonucleotides</t>
  </si>
  <si>
    <t>Cytidine-5'-triphosphate</t>
  </si>
  <si>
    <t>SM 42:03</t>
  </si>
  <si>
    <t>GlcCer 44:03 OH</t>
  </si>
  <si>
    <t>PE (O-36:04)</t>
  </si>
  <si>
    <t>ANIDVK (Tryptic Peptide)</t>
  </si>
  <si>
    <t>Peptidomimetics</t>
  </si>
  <si>
    <t>Hybrid peptides</t>
  </si>
  <si>
    <t>D-(+)-Maltose</t>
  </si>
  <si>
    <t>NYQEAK (Tryptic Peptide)</t>
  </si>
  <si>
    <t>O-Acetylcarnitine</t>
  </si>
  <si>
    <t>Fatty acid esters</t>
  </si>
  <si>
    <t>Coenzyme A</t>
  </si>
  <si>
    <t>SM 40:01</t>
  </si>
  <si>
    <t>Ophthalmate</t>
  </si>
  <si>
    <t>Prostaglandin D2</t>
  </si>
  <si>
    <t>1,2-Dioctanoyl-sn-glycero-3-phosphoethanolamine</t>
  </si>
  <si>
    <t>2,2,4,5,5-Pentachlorobiphenyl</t>
  </si>
  <si>
    <t>4'-Hydroxy-2,2',4-tribromodiphenylether</t>
  </si>
  <si>
    <t>PC 38:03</t>
  </si>
  <si>
    <t>Uridine Diphosphate Glucuronic Acid</t>
  </si>
  <si>
    <t>Pyrimidine nucleotide sugars</t>
  </si>
  <si>
    <t>1,2-Dipalmitoleoyl-sn-glycero-3-phosphoethanolamine</t>
  </si>
  <si>
    <t>Nystatin</t>
  </si>
  <si>
    <t>Thiostrepton A</t>
  </si>
  <si>
    <t>PA 36:03</t>
  </si>
  <si>
    <t>LysoPC (2-18:0)</t>
  </si>
  <si>
    <t>3-Methoxytyrosine</t>
  </si>
  <si>
    <t>3-Dehydroshikimate</t>
  </si>
  <si>
    <t>Carbonyl compounds</t>
  </si>
  <si>
    <t>1-Aminocyclopropanecarboxylate</t>
  </si>
  <si>
    <t>GlcCer 40:01</t>
  </si>
  <si>
    <t>HPEYAVSVLLR (Tryptic Peptide)</t>
  </si>
  <si>
    <t>Antimycin A3</t>
  </si>
  <si>
    <t>Benzoic acids and derivatives</t>
  </si>
  <si>
    <t>Antimycin A10</t>
  </si>
  <si>
    <t>1-Palmitoyl-2-oleoyl-sn-glycero-3-phosphoethanolamine</t>
  </si>
  <si>
    <t>Monensin A</t>
  </si>
  <si>
    <t>Sebacate</t>
  </si>
  <si>
    <t>Hexakis(1H,1H,6H-decafluorohexyloxy)phosphazene</t>
  </si>
  <si>
    <t>Taurodeoxycholic Acid 3-Sulfate</t>
  </si>
  <si>
    <t>Bile acids, alcohols and derivatives</t>
  </si>
  <si>
    <t>GlcCer 42:02</t>
  </si>
  <si>
    <t>6-Carboxyhexanoate</t>
  </si>
  <si>
    <t>1-Methylhistamine</t>
  </si>
  <si>
    <t>L-Glutamic Acid</t>
  </si>
  <si>
    <t>MIIK (Tryptic Peptides)</t>
  </si>
  <si>
    <t>UltraMark 1123</t>
  </si>
  <si>
    <t>Glycochenodeoxycholate</t>
  </si>
  <si>
    <t xml:space="preserve">3-Hydroxy-2',5'-dichlorobiphenyl </t>
  </si>
  <si>
    <t>N-Acetylneuraminate</t>
  </si>
  <si>
    <t>Pinostrobin</t>
  </si>
  <si>
    <t>Phenylpropanoids and polyketides</t>
  </si>
  <si>
    <t>Flavonoids</t>
  </si>
  <si>
    <t>O-methylated flavonoids</t>
  </si>
  <si>
    <t>Hexakis(1H,1H,9H-perfluorononyloxy) phosphazene</t>
  </si>
  <si>
    <t>5-Hydroxyindoleacetate</t>
  </si>
  <si>
    <t>Indoles and derivatives</t>
  </si>
  <si>
    <t>Indolyl carboxylic acids and derivatives</t>
  </si>
  <si>
    <t>GlcCer 36:01</t>
  </si>
  <si>
    <t>Tridodecyl(undecyl)azanium</t>
  </si>
  <si>
    <t>Quaternary ammonium salts</t>
  </si>
  <si>
    <t>PE 40:07</t>
  </si>
  <si>
    <t>Pregnenolone</t>
  </si>
  <si>
    <t>Daptomycin</t>
  </si>
  <si>
    <t>Depsipeptides</t>
  </si>
  <si>
    <t>2,2',4,4',5,5'-Hexabromodiphenyl Ether</t>
  </si>
  <si>
    <t>Adenine</t>
  </si>
  <si>
    <t>NLAENISR (Tryptic Peptide)</t>
  </si>
  <si>
    <t>Glutamine</t>
  </si>
  <si>
    <t>Hexakis(2,2,3,3-tetrafluoropropoxy)phosphazene</t>
  </si>
  <si>
    <t>Dopamine</t>
  </si>
  <si>
    <t>Phenols</t>
  </si>
  <si>
    <t>Benzenediols</t>
  </si>
  <si>
    <t>GlcCer 44:04 OH</t>
  </si>
  <si>
    <t>2-alpha-Mannobiose</t>
  </si>
  <si>
    <t>2,2',3,4,4',5,5'6-Octabromodiphenyl Ether</t>
  </si>
  <si>
    <t>D-Erythrose-4-phosphate</t>
  </si>
  <si>
    <t>UltraMark 821</t>
  </si>
  <si>
    <t>Homocysteine</t>
  </si>
  <si>
    <t>N,N‚Ä≤-Dimethyl-L-arginine</t>
  </si>
  <si>
    <t>Uric Acid</t>
  </si>
  <si>
    <t>Glyphospate</t>
  </si>
  <si>
    <t>Leukotriene E4</t>
  </si>
  <si>
    <t>d7-PS (15:0/18:1)</t>
  </si>
  <si>
    <t>Leukotriene B4</t>
  </si>
  <si>
    <t>Sulfadimethoxine</t>
  </si>
  <si>
    <t>Benzenesulfonamides</t>
  </si>
  <si>
    <t>1,2-Distearoyl-sn-glycero-3-phosphocholine</t>
  </si>
  <si>
    <t>3-Amino-2-methylpropanoic¬†acid</t>
  </si>
  <si>
    <t>Amphotericin</t>
  </si>
  <si>
    <t>PE (O-36:02)</t>
  </si>
  <si>
    <t>2,3,3',4,4',5,5'-Heptachlorobiphenyl</t>
  </si>
  <si>
    <t>PC 36:03</t>
  </si>
  <si>
    <t>3,4,4',5-Tetrachlorobiphenyl</t>
  </si>
  <si>
    <t>5-Hydroxy-L-tryptophan</t>
  </si>
  <si>
    <t>Tryptamines and derivatives</t>
  </si>
  <si>
    <t>Creatinine</t>
  </si>
  <si>
    <t>Betaine</t>
  </si>
  <si>
    <t>D-glucosyl-beta1-1'-D-erythro-sphingosine</t>
  </si>
  <si>
    <t>Trihexyl(pentyl)azanium</t>
  </si>
  <si>
    <t>Citrulline</t>
  </si>
  <si>
    <t>LysoPC (19:0)</t>
  </si>
  <si>
    <t>Uridine Diphosphogalactose</t>
  </si>
  <si>
    <t>6-Hydroxy-2,2',4,4'-tetrabromodiphenylether</t>
  </si>
  <si>
    <t>D-(+)-Gluconolactone</t>
  </si>
  <si>
    <t>N-Acetyl-L-aspartic Acid</t>
  </si>
  <si>
    <t>2,2',4,4',5,6-Hexabromodiphenyl Ether</t>
  </si>
  <si>
    <t>Hexakis(1H,1H,7H-perfluoroheptoxy)phosphazene</t>
  </si>
  <si>
    <t>PA 40:05</t>
  </si>
  <si>
    <t>1,2-Dipalmitoyl-sn-glycero-3-phosphoethanolamine</t>
  </si>
  <si>
    <t>N-alpha-Acetyllysine</t>
  </si>
  <si>
    <t>TNFDAFPDK (Tryptic Peptide)</t>
  </si>
  <si>
    <t>Hydroquinone</t>
  </si>
  <si>
    <t>L-Histidine</t>
  </si>
  <si>
    <t>PE (O-40:06)</t>
  </si>
  <si>
    <t>6-keto-Prostaglandin F1alpha</t>
  </si>
  <si>
    <t xml:space="preserve">N-Acetylglycine </t>
  </si>
  <si>
    <t>PE 36:01</t>
  </si>
  <si>
    <t>2-Deoxyadenosine-5-monophosphate</t>
  </si>
  <si>
    <t>Uridine Diphosphate-N-acetylgalactosamine</t>
  </si>
  <si>
    <t>Guanosine Diphosphate Mannose</t>
  </si>
  <si>
    <t>Purine nucleotide sugars</t>
  </si>
  <si>
    <t>Arachidonic Acid (20:4)</t>
  </si>
  <si>
    <t>Suberate</t>
  </si>
  <si>
    <t>Vancomycin Aglycon</t>
  </si>
  <si>
    <t>GlcCer 40:01 OH</t>
  </si>
  <si>
    <t>SM 41:02</t>
  </si>
  <si>
    <t>Actinomycin</t>
  </si>
  <si>
    <t>PS (O-35:02)</t>
  </si>
  <si>
    <t>Oleic Acid (18:1)</t>
  </si>
  <si>
    <t>PS 40:02</t>
  </si>
  <si>
    <t>Arabitol</t>
  </si>
  <si>
    <t>GLAGVENVTELK (Tryptic Peptide)</t>
  </si>
  <si>
    <t>alpha-Muricholic Acid</t>
  </si>
  <si>
    <t>VSLAEK (Tryptic Peptide)</t>
  </si>
  <si>
    <t>Cer 43:02</t>
  </si>
  <si>
    <t>PE (O-36:01)</t>
  </si>
  <si>
    <t>Inosine-5'-diphosphate</t>
  </si>
  <si>
    <t>Spermine</t>
  </si>
  <si>
    <t>Xanthosine Monophosphate</t>
  </si>
  <si>
    <t>Sorbose</t>
  </si>
  <si>
    <t>PC (16:0E/2:0)</t>
  </si>
  <si>
    <t>Trehalose-6-phosphate</t>
  </si>
  <si>
    <t>SM 41:01</t>
  </si>
  <si>
    <t>1,2-Didecanoyl-sn-glycero-3-phosphoethanolamine</t>
  </si>
  <si>
    <t>Docosahexaenoic Acid</t>
  </si>
  <si>
    <t>Xanthine</t>
  </si>
  <si>
    <t>d9-SM (18:1)</t>
  </si>
  <si>
    <t>7-Methylguanine</t>
  </si>
  <si>
    <t>Inosine Triphosphate</t>
  </si>
  <si>
    <t>2,3',4,4',5,5'-Hexachlorobiphenyl</t>
  </si>
  <si>
    <t>Quinate</t>
  </si>
  <si>
    <t>Alcohols and polyols</t>
  </si>
  <si>
    <t>Prostaglandin I2</t>
  </si>
  <si>
    <t>Homocystine</t>
  </si>
  <si>
    <t>Poly-DL-(alanine)6</t>
  </si>
  <si>
    <t>Imazapyr</t>
  </si>
  <si>
    <t>PC 34:00</t>
  </si>
  <si>
    <t>SM 39:01</t>
  </si>
  <si>
    <t>(S)-Carboxymethyl-L-cysteine</t>
  </si>
  <si>
    <t>Hexakis(1H,1H,4H-hexafluorobutyloxy)phosphazene</t>
  </si>
  <si>
    <t>PC 38:05</t>
  </si>
  <si>
    <t>Dihomo-gamma-linolenic Acid</t>
  </si>
  <si>
    <t>Cer 40:00 OH</t>
  </si>
  <si>
    <t>Hyocholic Acid</t>
  </si>
  <si>
    <t>D-(-)-3-Phosphoglycerate</t>
  </si>
  <si>
    <t>L-Threonic Acid</t>
  </si>
  <si>
    <t>DL-Kynurenine</t>
  </si>
  <si>
    <t>Glyceryl Trimyristate</t>
  </si>
  <si>
    <t>Thymine</t>
  </si>
  <si>
    <t>Diazines</t>
  </si>
  <si>
    <t>Pyrimidines and pyrimidine derivatives</t>
  </si>
  <si>
    <t>1,2-Dipentadecanoyl-sn-glycero-3-phosphoethanolamine</t>
  </si>
  <si>
    <t>beta-D-Glucosamine</t>
  </si>
  <si>
    <t>17(S)-HDHA</t>
  </si>
  <si>
    <t>GlcCer 38:01</t>
  </si>
  <si>
    <t>Cyclic-AMP</t>
  </si>
  <si>
    <t>Cyclic purine nucleotides</t>
  </si>
  <si>
    <t>PC 38:06</t>
  </si>
  <si>
    <t>AFDEK (Tryptic Peptide)</t>
  </si>
  <si>
    <t>AEFVEVTK (Tryptic Peptide)</t>
  </si>
  <si>
    <t>3-Hydroxy-2,2',4,4'-tetrabromodiphenylether</t>
  </si>
  <si>
    <t>Tetrapentylammonium</t>
  </si>
  <si>
    <t>D-Tryptophan</t>
  </si>
  <si>
    <t>D-(+)-Glucosamine</t>
  </si>
  <si>
    <t>3-Nitro-L-tyrosine</t>
  </si>
  <si>
    <t>SM 36:01</t>
  </si>
  <si>
    <t>N-Acetylphenylalanine</t>
  </si>
  <si>
    <t>VNQIGTLSESIK (Tryptic Peptide)</t>
  </si>
  <si>
    <t>PE 42:08</t>
  </si>
  <si>
    <t>Allantoin</t>
  </si>
  <si>
    <t>Azoles</t>
  </si>
  <si>
    <t>Imidazoles</t>
  </si>
  <si>
    <t>PC 32:01</t>
  </si>
  <si>
    <t>Palmitoylcarnitine</t>
  </si>
  <si>
    <t>PS 41:06</t>
  </si>
  <si>
    <t>2,2',3,3',4,4',5,6,6'-Nonachlorobiphenyl</t>
  </si>
  <si>
    <t>D-(+)-Trehalose</t>
  </si>
  <si>
    <t>Palatinose</t>
  </si>
  <si>
    <t>Stearic Acid (18:0)</t>
  </si>
  <si>
    <t>SM 38:01</t>
  </si>
  <si>
    <t>Ursodeoxycholic Acid</t>
  </si>
  <si>
    <t>Ethyl-3-indoleacetate</t>
  </si>
  <si>
    <t>PC 40:06</t>
  </si>
  <si>
    <t>Benzo(g,h,i)perylene</t>
  </si>
  <si>
    <t>Pyrenes</t>
  </si>
  <si>
    <t>Benzopyrenes</t>
  </si>
  <si>
    <t>Glucosamine-6-phosphate</t>
  </si>
  <si>
    <t>GlcCer 49:01</t>
  </si>
  <si>
    <t>Nervonate</t>
  </si>
  <si>
    <t>YVR (Tryptic Peptide)</t>
  </si>
  <si>
    <t>PC 36:02</t>
  </si>
  <si>
    <t>1,2-Dimyristoyl-sn-glycero-3-phosphocholine</t>
  </si>
  <si>
    <t>gamma-Linolenate</t>
  </si>
  <si>
    <t>PE 36:02</t>
  </si>
  <si>
    <t>Xylitol</t>
  </si>
  <si>
    <t>PC 32:02</t>
  </si>
  <si>
    <t>SM 42:02</t>
  </si>
  <si>
    <t>L-Tryptophan</t>
  </si>
  <si>
    <t>Indoleacetaldehyde</t>
  </si>
  <si>
    <t>Indoles</t>
  </si>
  <si>
    <t>Antimycin A2b</t>
  </si>
  <si>
    <t>4-Guanidinobutanoate</t>
  </si>
  <si>
    <t>8-iso-Prostaglandin F2alpha</t>
  </si>
  <si>
    <t xml:space="preserve">2-Hydroxy-2',5'-dichlorobiphenyl </t>
  </si>
  <si>
    <t>GlcCer 36:01 OH</t>
  </si>
  <si>
    <t xml:space="preserve">2,2',3,3',5,5',6,6'-Octachlorobiphenyl </t>
  </si>
  <si>
    <t>TQQHYYEK (Tryptic Peptide)</t>
  </si>
  <si>
    <t>Choline</t>
  </si>
  <si>
    <t>AWEVTVK (Tryptic Peptide)</t>
  </si>
  <si>
    <t>d7-LysoPE (18:1)</t>
  </si>
  <si>
    <t>13-HODE</t>
  </si>
  <si>
    <t>PE (O-36:00)</t>
  </si>
  <si>
    <t>4'-Hydroxy-2,2',3,3',4,5,5'-heptachlorobiphenyl</t>
  </si>
  <si>
    <t>PS 38:05</t>
  </si>
  <si>
    <t>Aldosterone</t>
  </si>
  <si>
    <t>PC 40:05</t>
  </si>
  <si>
    <t>PS 38:04</t>
  </si>
  <si>
    <t>HLHFTLVK (Tryptic Peptide)</t>
  </si>
  <si>
    <t>Picloram</t>
  </si>
  <si>
    <t>Pyridines and derivatives</t>
  </si>
  <si>
    <t>Pyridinecarboxylic acids and derivatives</t>
  </si>
  <si>
    <t>Hexakis(1H,1H,5H-octafluoropentoxy) phosphazene</t>
  </si>
  <si>
    <t>Cs(CsI)4(NaI)2 or Na(CsI)5(NaI)</t>
  </si>
  <si>
    <t>Palmitate</t>
  </si>
  <si>
    <t>Cs(NaI)4 or Na(CsI)(NaI)3</t>
  </si>
  <si>
    <t>count</t>
  </si>
  <si>
    <t>Row</t>
  </si>
  <si>
    <t>yes</t>
  </si>
  <si>
    <t>class.error</t>
  </si>
  <si>
    <t>Pyridine carboxaldehydes</t>
  </si>
  <si>
    <t>Predicted.Kingdom</t>
  </si>
  <si>
    <t>Predicted.Super.Class</t>
  </si>
  <si>
    <t>Predicted.Class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</si>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</sst>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theme="1"/>
      <name val="TimesNewRomanPSMT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18" fillId="33" borderId="0" xfId="0" applyFont="1" applyFill="1"/>
    <xf numFmtId="0" fontId="0" fillId="33" borderId="0" xfId="0" applyFill="1"/>
    <xf numFmtId="0" fontId="18" fillId="34" borderId="0" xfId="0" applyFont="1" applyFill="1"/>
    <xf numFmtId="0" fontId="0" fillId="34" borderId="0" xfId="0" applyFill="1"/>
    <xf numFmtId="0" fontId="18" fillId="35" borderId="0" xfId="0" applyFont="1" applyFill="1"/>
    <xf numFmtId="0" fontId="0" fillId="35" borderId="0" xfId="0" applyFill="1"/>
    <xf numFmtId="0" fontId="18" fillId="36" borderId="0" xfId="0" applyFont="1" applyFill="1"/>
    <xf numFmtId="0" fontId="0" fillId="36" borderId="0" xfId="0" applyFill="1"/>
    <xf numFmtId="0" fontId="19" fillId="0" borderId="0" xfId="0" applyFont="1"/>
    <xf numFmtId="0" fontId="18" fillId="37" borderId="0" xfId="0" applyFont="1" applyFill="1"/>
    <xf numFmtId="0" fontId="18" fillId="37" borderId="10" xfId="0" applyFont="1" applyFill="1" applyBorder="1"/>
    <xf numFmtId="0" fontId="18" fillId="37" borderId="0" xfId="0" applyFont="1" applyFill="1" applyAlignment="1">
      <alignment horizontal="center" vertical="center"/>
    </xf>
    <xf numFmtId="0" fontId="18" fillId="37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55"/>
  <sheetViews>
    <sheetView tabSelected="1" workbookViewId="0">
      <pane ySplit="1" topLeftCell="A2" activePane="bottomLeft" state="frozen"/>
      <selection pane="bottomLeft" activeCell="V24" sqref="V24"/>
    </sheetView>
  </sheetViews>
  <sheetFormatPr baseColWidth="10" defaultRowHeight="16"/>
  <cols>
    <col min="1" max="1" width="7.6640625" bestFit="1" customWidth="1"/>
    <col min="2" max="2" width="47" bestFit="1" customWidth="1"/>
    <col min="3" max="3" width="10.1640625" bestFit="1" customWidth="1"/>
    <col min="4" max="4" width="7.83203125" bestFit="1" customWidth="1"/>
    <col min="5" max="5" width="12.83203125" bestFit="1" customWidth="1"/>
    <col min="6" max="6" width="18.5" bestFit="1" customWidth="1"/>
    <col min="7" max="7" width="10.6640625" bestFit="1" customWidth="1"/>
    <col min="8" max="8" width="9.5" bestFit="1" customWidth="1"/>
    <col min="9" max="9" width="33.5" bestFit="1" customWidth="1"/>
    <col min="10" max="10" width="10.33203125" bestFit="1" customWidth="1"/>
    <col min="11" max="11" width="9.1640625" bestFit="1" customWidth="1"/>
    <col min="12" max="12" width="29.6640625" bestFit="1" customWidth="1"/>
    <col min="13" max="13" width="10.33203125" bestFit="1" customWidth="1"/>
    <col min="14" max="14" width="9.1640625" bestFit="1" customWidth="1"/>
    <col min="15" max="15" width="36.1640625" bestFit="1" customWidth="1"/>
    <col min="16" max="16" width="11.5" bestFit="1" customWidth="1"/>
    <col min="17" max="17" width="10.33203125" bestFit="1" customWidth="1"/>
    <col min="18" max="18" width="11.83203125" bestFit="1" customWidth="1"/>
    <col min="19" max="19" width="8.5" bestFit="1" customWidth="1"/>
  </cols>
  <sheetData>
    <row r="1" spans="1:23">
      <c r="A1" s="1" t="s">
        <v>409</v>
      </c>
      <c r="B1" s="1" t="s">
        <v>0</v>
      </c>
      <c r="C1" s="1" t="s">
        <v>1</v>
      </c>
      <c r="D1" s="1" t="s">
        <v>2</v>
      </c>
      <c r="E1" s="1" t="s">
        <v>3</v>
      </c>
      <c r="F1" s="2" t="s">
        <v>4</v>
      </c>
      <c r="G1" s="2" t="s">
        <v>5</v>
      </c>
      <c r="H1" s="2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6" t="s">
        <v>11</v>
      </c>
      <c r="N1" s="6" t="s">
        <v>12</v>
      </c>
      <c r="O1" s="8" t="s">
        <v>13</v>
      </c>
      <c r="P1" s="8" t="s">
        <v>14</v>
      </c>
      <c r="Q1" s="8" t="s">
        <v>15</v>
      </c>
      <c r="R1" s="1" t="s">
        <v>16</v>
      </c>
      <c r="S1" s="1" t="s">
        <v>408</v>
      </c>
    </row>
    <row r="2" spans="1:23">
      <c r="A2">
        <v>307</v>
      </c>
      <c r="B2" t="s">
        <v>366</v>
      </c>
      <c r="C2">
        <v>277.10169999999999</v>
      </c>
      <c r="D2">
        <v>155.5</v>
      </c>
      <c r="E2">
        <v>-0.79230156531025397</v>
      </c>
      <c r="F2" s="3" t="s">
        <v>18</v>
      </c>
      <c r="G2" s="3" t="s">
        <v>410</v>
      </c>
      <c r="H2" s="3">
        <v>1</v>
      </c>
      <c r="I2" s="5" t="s">
        <v>43</v>
      </c>
      <c r="J2" s="5" t="s">
        <v>410</v>
      </c>
      <c r="K2" s="5">
        <v>0.69</v>
      </c>
      <c r="L2" s="7" t="s">
        <v>367</v>
      </c>
      <c r="M2" s="7" t="s">
        <v>410</v>
      </c>
      <c r="N2" s="7">
        <v>0.84</v>
      </c>
      <c r="O2" s="9" t="s">
        <v>368</v>
      </c>
      <c r="P2" s="9" t="s">
        <v>410</v>
      </c>
      <c r="Q2" s="9">
        <v>0.99399999999999999</v>
      </c>
      <c r="R2" t="s">
        <v>23</v>
      </c>
      <c r="S2">
        <v>4</v>
      </c>
      <c r="U2" s="13" t="s">
        <v>416</v>
      </c>
      <c r="V2" s="11">
        <v>4</v>
      </c>
      <c r="W2" s="11">
        <f>COUNTIF($S$2:$S$355,"4")</f>
        <v>353</v>
      </c>
    </row>
    <row r="3" spans="1:23">
      <c r="A3">
        <v>339</v>
      </c>
      <c r="B3" t="s">
        <v>366</v>
      </c>
      <c r="C3">
        <v>276.09390000000002</v>
      </c>
      <c r="D3">
        <v>154</v>
      </c>
      <c r="E3">
        <v>-0.78562682633355496</v>
      </c>
      <c r="F3" s="3" t="s">
        <v>18</v>
      </c>
      <c r="G3" s="3" t="s">
        <v>410</v>
      </c>
      <c r="H3" s="3">
        <v>1</v>
      </c>
      <c r="I3" s="5" t="s">
        <v>43</v>
      </c>
      <c r="J3" s="5" t="s">
        <v>410</v>
      </c>
      <c r="K3" s="5">
        <v>0.8</v>
      </c>
      <c r="L3" s="7" t="s">
        <v>367</v>
      </c>
      <c r="M3" s="7" t="s">
        <v>410</v>
      </c>
      <c r="N3" s="7">
        <v>0.93</v>
      </c>
      <c r="O3" s="9" t="s">
        <v>368</v>
      </c>
      <c r="P3" s="9" t="s">
        <v>410</v>
      </c>
      <c r="Q3" s="9">
        <v>0.99399999999999999</v>
      </c>
      <c r="R3" t="s">
        <v>23</v>
      </c>
      <c r="S3">
        <v>4</v>
      </c>
      <c r="U3" s="13"/>
      <c r="V3" s="11">
        <v>3</v>
      </c>
      <c r="W3" s="11">
        <f t="shared" ref="W3:W6" si="0">COUNTIF($S$2:$S$355,"3")</f>
        <v>0</v>
      </c>
    </row>
    <row r="4" spans="1:23">
      <c r="A4">
        <v>154</v>
      </c>
      <c r="B4" t="s">
        <v>232</v>
      </c>
      <c r="C4">
        <v>154.08500000000001</v>
      </c>
      <c r="D4">
        <v>142.69999999999999</v>
      </c>
      <c r="E4">
        <v>-0.91295609767402697</v>
      </c>
      <c r="F4" s="3" t="s">
        <v>18</v>
      </c>
      <c r="G4" s="3" t="s">
        <v>410</v>
      </c>
      <c r="H4" s="3">
        <v>1</v>
      </c>
      <c r="I4" s="5" t="s">
        <v>43</v>
      </c>
      <c r="J4" s="5" t="s">
        <v>410</v>
      </c>
      <c r="K4" s="5">
        <v>0.64</v>
      </c>
      <c r="L4" s="7" t="s">
        <v>233</v>
      </c>
      <c r="M4" s="7" t="s">
        <v>410</v>
      </c>
      <c r="N4" s="7">
        <v>0.9</v>
      </c>
      <c r="O4" s="9" t="s">
        <v>234</v>
      </c>
      <c r="P4" s="9" t="s">
        <v>410</v>
      </c>
      <c r="Q4" s="9">
        <v>1</v>
      </c>
      <c r="R4" t="s">
        <v>23</v>
      </c>
      <c r="S4">
        <v>4</v>
      </c>
      <c r="U4" s="13"/>
      <c r="V4" s="11">
        <v>2</v>
      </c>
      <c r="W4" s="11">
        <f>COUNTIF($S$2:$S$355,"2")</f>
        <v>1</v>
      </c>
    </row>
    <row r="5" spans="1:23">
      <c r="A5">
        <v>203</v>
      </c>
      <c r="B5" t="s">
        <v>274</v>
      </c>
      <c r="C5">
        <v>109.029</v>
      </c>
      <c r="D5">
        <v>118.7</v>
      </c>
      <c r="E5">
        <v>-0.90726346090339405</v>
      </c>
      <c r="F5" s="3" t="s">
        <v>18</v>
      </c>
      <c r="G5" s="3" t="s">
        <v>410</v>
      </c>
      <c r="H5" s="3">
        <v>1</v>
      </c>
      <c r="I5" s="5" t="s">
        <v>43</v>
      </c>
      <c r="J5" s="5" t="s">
        <v>410</v>
      </c>
      <c r="K5" s="5">
        <v>0.88</v>
      </c>
      <c r="L5" s="7" t="s">
        <v>233</v>
      </c>
      <c r="M5" s="7" t="s">
        <v>410</v>
      </c>
      <c r="N5" s="7">
        <v>0.98</v>
      </c>
      <c r="O5" s="9" t="s">
        <v>234</v>
      </c>
      <c r="P5" s="9" t="s">
        <v>410</v>
      </c>
      <c r="Q5" s="9">
        <v>0.999</v>
      </c>
      <c r="R5" t="s">
        <v>23</v>
      </c>
      <c r="S5">
        <v>4</v>
      </c>
      <c r="U5" s="13"/>
      <c r="V5" s="11">
        <v>1</v>
      </c>
      <c r="W5" s="11">
        <f>COUNTIF($S$2:$S$355,"1")</f>
        <v>0</v>
      </c>
    </row>
    <row r="6" spans="1:23">
      <c r="A6">
        <v>217</v>
      </c>
      <c r="B6" t="s">
        <v>232</v>
      </c>
      <c r="C6">
        <v>152.07130000000001</v>
      </c>
      <c r="D6">
        <v>133.30000000000001</v>
      </c>
      <c r="E6">
        <v>-0.90150449827183399</v>
      </c>
      <c r="F6" s="3" t="s">
        <v>18</v>
      </c>
      <c r="G6" s="3" t="s">
        <v>410</v>
      </c>
      <c r="H6" s="3">
        <v>1</v>
      </c>
      <c r="I6" s="5" t="s">
        <v>43</v>
      </c>
      <c r="J6" s="5" t="s">
        <v>410</v>
      </c>
      <c r="K6" s="5">
        <v>0.74</v>
      </c>
      <c r="L6" s="7" t="s">
        <v>233</v>
      </c>
      <c r="M6" s="7" t="s">
        <v>410</v>
      </c>
      <c r="N6" s="7">
        <v>0.87</v>
      </c>
      <c r="O6" s="9" t="s">
        <v>234</v>
      </c>
      <c r="P6" s="9" t="s">
        <v>410</v>
      </c>
      <c r="Q6" s="9">
        <v>1</v>
      </c>
      <c r="R6" t="s">
        <v>23</v>
      </c>
      <c r="S6">
        <v>4</v>
      </c>
      <c r="U6" s="14"/>
      <c r="V6" s="12">
        <v>0</v>
      </c>
      <c r="W6" s="12">
        <f>COUNTIF($S$2:$S$355,"0")</f>
        <v>0</v>
      </c>
    </row>
    <row r="7" spans="1:23">
      <c r="A7">
        <v>10</v>
      </c>
      <c r="B7" t="s">
        <v>48</v>
      </c>
      <c r="C7">
        <v>574.61279999999999</v>
      </c>
      <c r="D7">
        <v>184.8</v>
      </c>
      <c r="E7">
        <v>-0.97121497589989803</v>
      </c>
      <c r="F7" s="3" t="s">
        <v>18</v>
      </c>
      <c r="G7" s="3" t="s">
        <v>410</v>
      </c>
      <c r="H7" s="3">
        <v>1</v>
      </c>
      <c r="I7" s="5" t="s">
        <v>43</v>
      </c>
      <c r="J7" s="5" t="s">
        <v>410</v>
      </c>
      <c r="K7" s="5">
        <v>1</v>
      </c>
      <c r="L7" s="7" t="s">
        <v>44</v>
      </c>
      <c r="M7" s="7" t="s">
        <v>410</v>
      </c>
      <c r="N7" s="7">
        <v>1</v>
      </c>
      <c r="O7" s="9" t="s">
        <v>49</v>
      </c>
      <c r="P7" s="9" t="s">
        <v>410</v>
      </c>
      <c r="Q7" s="9">
        <v>0.996</v>
      </c>
      <c r="R7" t="s">
        <v>23</v>
      </c>
      <c r="S7">
        <v>4</v>
      </c>
      <c r="U7" s="11"/>
      <c r="V7" s="11"/>
      <c r="W7" s="11">
        <f>SUM(W2:W6)</f>
        <v>354</v>
      </c>
    </row>
    <row r="8" spans="1:23">
      <c r="A8">
        <v>63</v>
      </c>
      <c r="B8" t="s">
        <v>126</v>
      </c>
      <c r="C8">
        <v>418.79180000000002</v>
      </c>
      <c r="D8">
        <v>168.6</v>
      </c>
      <c r="E8">
        <v>-0.32419721235601201</v>
      </c>
      <c r="F8" s="3" t="s">
        <v>18</v>
      </c>
      <c r="G8" s="3" t="s">
        <v>410</v>
      </c>
      <c r="H8" s="3">
        <v>0.998</v>
      </c>
      <c r="I8" s="5" t="s">
        <v>43</v>
      </c>
      <c r="J8" s="5" t="s">
        <v>410</v>
      </c>
      <c r="K8" s="5">
        <v>1</v>
      </c>
      <c r="L8" s="7" t="s">
        <v>44</v>
      </c>
      <c r="M8" s="7" t="s">
        <v>410</v>
      </c>
      <c r="N8" s="7">
        <v>1</v>
      </c>
      <c r="O8" s="9" t="s">
        <v>49</v>
      </c>
      <c r="P8" s="9" t="s">
        <v>410</v>
      </c>
      <c r="Q8" s="9">
        <v>0.99099999999999999</v>
      </c>
      <c r="R8" t="s">
        <v>23</v>
      </c>
      <c r="S8">
        <v>4</v>
      </c>
    </row>
    <row r="9" spans="1:23">
      <c r="A9">
        <v>77</v>
      </c>
      <c r="B9" t="s">
        <v>143</v>
      </c>
      <c r="C9">
        <v>340.88130000000001</v>
      </c>
      <c r="D9">
        <v>164</v>
      </c>
      <c r="E9">
        <v>-0.50068833058406903</v>
      </c>
      <c r="F9" s="3" t="s">
        <v>18</v>
      </c>
      <c r="G9" s="3" t="s">
        <v>410</v>
      </c>
      <c r="H9" s="3">
        <v>0.99199999999999999</v>
      </c>
      <c r="I9" s="5" t="s">
        <v>43</v>
      </c>
      <c r="J9" s="5" t="s">
        <v>410</v>
      </c>
      <c r="K9" s="5">
        <v>0.89</v>
      </c>
      <c r="L9" s="7" t="s">
        <v>44</v>
      </c>
      <c r="M9" s="7" t="s">
        <v>410</v>
      </c>
      <c r="N9" s="7">
        <v>1</v>
      </c>
      <c r="O9" s="9" t="s">
        <v>49</v>
      </c>
      <c r="P9" s="9" t="s">
        <v>410</v>
      </c>
      <c r="Q9" s="9">
        <v>0.70899999999999996</v>
      </c>
      <c r="R9" t="s">
        <v>23</v>
      </c>
      <c r="S9">
        <v>4</v>
      </c>
    </row>
    <row r="10" spans="1:23">
      <c r="A10">
        <v>107</v>
      </c>
      <c r="B10" t="s">
        <v>179</v>
      </c>
      <c r="C10">
        <v>418.79180000000002</v>
      </c>
      <c r="D10">
        <v>169.3</v>
      </c>
      <c r="E10">
        <v>-0.32419721235601201</v>
      </c>
      <c r="F10" s="3" t="s">
        <v>18</v>
      </c>
      <c r="G10" s="3" t="s">
        <v>410</v>
      </c>
      <c r="H10" s="3">
        <v>0.998</v>
      </c>
      <c r="I10" s="5" t="s">
        <v>43</v>
      </c>
      <c r="J10" s="5" t="s">
        <v>410</v>
      </c>
      <c r="K10" s="5">
        <v>1</v>
      </c>
      <c r="L10" s="7" t="s">
        <v>44</v>
      </c>
      <c r="M10" s="7" t="s">
        <v>410</v>
      </c>
      <c r="N10" s="7">
        <v>1</v>
      </c>
      <c r="O10" s="9" t="s">
        <v>49</v>
      </c>
      <c r="P10" s="9" t="s">
        <v>410</v>
      </c>
      <c r="Q10" s="9">
        <v>0.98699999999999999</v>
      </c>
      <c r="R10" t="s">
        <v>23</v>
      </c>
      <c r="S10">
        <v>4</v>
      </c>
    </row>
    <row r="11" spans="1:23">
      <c r="A11">
        <v>148</v>
      </c>
      <c r="B11" t="s">
        <v>227</v>
      </c>
      <c r="C11">
        <v>574.61279999999999</v>
      </c>
      <c r="D11">
        <v>182.9</v>
      </c>
      <c r="E11">
        <v>-0.97121497589989803</v>
      </c>
      <c r="F11" s="3" t="s">
        <v>18</v>
      </c>
      <c r="G11" s="3" t="s">
        <v>410</v>
      </c>
      <c r="H11" s="3">
        <v>1</v>
      </c>
      <c r="I11" s="5" t="s">
        <v>43</v>
      </c>
      <c r="J11" s="5" t="s">
        <v>410</v>
      </c>
      <c r="K11" s="5">
        <v>1</v>
      </c>
      <c r="L11" s="7" t="s">
        <v>44</v>
      </c>
      <c r="M11" s="7" t="s">
        <v>410</v>
      </c>
      <c r="N11" s="7">
        <v>1</v>
      </c>
      <c r="O11" s="9" t="s">
        <v>49</v>
      </c>
      <c r="P11" s="9" t="s">
        <v>410</v>
      </c>
      <c r="Q11" s="9">
        <v>1</v>
      </c>
      <c r="R11" t="s">
        <v>23</v>
      </c>
      <c r="S11">
        <v>4</v>
      </c>
    </row>
    <row r="12" spans="1:23">
      <c r="A12">
        <v>157</v>
      </c>
      <c r="B12" t="s">
        <v>237</v>
      </c>
      <c r="C12">
        <v>730.43380000000002</v>
      </c>
      <c r="D12">
        <v>195</v>
      </c>
      <c r="E12">
        <v>-0.61823273944378299</v>
      </c>
      <c r="F12" s="3" t="s">
        <v>18</v>
      </c>
      <c r="G12" s="3" t="s">
        <v>410</v>
      </c>
      <c r="H12" s="3">
        <v>0.90600000000000003</v>
      </c>
      <c r="I12" s="5" t="s">
        <v>43</v>
      </c>
      <c r="J12" s="5" t="s">
        <v>410</v>
      </c>
      <c r="K12" s="5">
        <v>0.61</v>
      </c>
      <c r="L12" s="7" t="s">
        <v>44</v>
      </c>
      <c r="M12" s="7" t="s">
        <v>410</v>
      </c>
      <c r="N12" s="7">
        <v>1</v>
      </c>
      <c r="O12" s="9" t="s">
        <v>49</v>
      </c>
      <c r="P12" s="9" t="s">
        <v>410</v>
      </c>
      <c r="Q12" s="9">
        <v>0.77100000000000002</v>
      </c>
      <c r="R12" t="s">
        <v>23</v>
      </c>
      <c r="S12">
        <v>4</v>
      </c>
    </row>
    <row r="13" spans="1:23">
      <c r="A13">
        <v>189</v>
      </c>
      <c r="B13" t="s">
        <v>265</v>
      </c>
      <c r="C13">
        <v>496.70229999999998</v>
      </c>
      <c r="D13">
        <v>174.9</v>
      </c>
      <c r="E13">
        <v>-0.14770609412795499</v>
      </c>
      <c r="F13" s="3" t="s">
        <v>18</v>
      </c>
      <c r="G13" s="3" t="s">
        <v>410</v>
      </c>
      <c r="H13" s="3">
        <v>0.996</v>
      </c>
      <c r="I13" s="5" t="s">
        <v>43</v>
      </c>
      <c r="J13" s="5" t="s">
        <v>410</v>
      </c>
      <c r="K13" s="5">
        <v>1</v>
      </c>
      <c r="L13" s="7" t="s">
        <v>44</v>
      </c>
      <c r="M13" s="7" t="s">
        <v>410</v>
      </c>
      <c r="N13" s="7">
        <v>1</v>
      </c>
      <c r="O13" s="9" t="s">
        <v>49</v>
      </c>
      <c r="P13" s="9" t="s">
        <v>410</v>
      </c>
      <c r="Q13" s="9">
        <v>1</v>
      </c>
      <c r="R13" t="s">
        <v>23</v>
      </c>
      <c r="S13">
        <v>4</v>
      </c>
    </row>
    <row r="14" spans="1:23">
      <c r="A14">
        <v>192</v>
      </c>
      <c r="B14" t="s">
        <v>268</v>
      </c>
      <c r="C14">
        <v>574.61279999999999</v>
      </c>
      <c r="D14">
        <v>182.9</v>
      </c>
      <c r="E14">
        <v>-0.97121497589989803</v>
      </c>
      <c r="F14" s="3" t="s">
        <v>18</v>
      </c>
      <c r="G14" s="3" t="s">
        <v>410</v>
      </c>
      <c r="H14" s="3">
        <v>1</v>
      </c>
      <c r="I14" s="5" t="s">
        <v>43</v>
      </c>
      <c r="J14" s="5" t="s">
        <v>410</v>
      </c>
      <c r="K14" s="5">
        <v>1</v>
      </c>
      <c r="L14" s="7" t="s">
        <v>44</v>
      </c>
      <c r="M14" s="7" t="s">
        <v>410</v>
      </c>
      <c r="N14" s="7">
        <v>1</v>
      </c>
      <c r="O14" s="9" t="s">
        <v>49</v>
      </c>
      <c r="P14" s="9" t="s">
        <v>410</v>
      </c>
      <c r="Q14" s="9">
        <v>1</v>
      </c>
      <c r="R14" t="s">
        <v>23</v>
      </c>
      <c r="S14">
        <v>4</v>
      </c>
    </row>
    <row r="15" spans="1:23">
      <c r="A15">
        <v>282</v>
      </c>
      <c r="B15" t="s">
        <v>343</v>
      </c>
      <c r="C15">
        <v>496.70229999999998</v>
      </c>
      <c r="D15">
        <v>176.6</v>
      </c>
      <c r="E15">
        <v>-0.14770609412795499</v>
      </c>
      <c r="F15" s="3" t="s">
        <v>18</v>
      </c>
      <c r="G15" s="3" t="s">
        <v>410</v>
      </c>
      <c r="H15" s="3">
        <v>1</v>
      </c>
      <c r="I15" s="5" t="s">
        <v>43</v>
      </c>
      <c r="J15" s="5" t="s">
        <v>410</v>
      </c>
      <c r="K15" s="5">
        <v>1</v>
      </c>
      <c r="L15" s="7" t="s">
        <v>44</v>
      </c>
      <c r="M15" s="7" t="s">
        <v>410</v>
      </c>
      <c r="N15" s="7">
        <v>1</v>
      </c>
      <c r="O15" s="9" t="s">
        <v>49</v>
      </c>
      <c r="P15" s="9" t="s">
        <v>410</v>
      </c>
      <c r="Q15" s="9">
        <v>1</v>
      </c>
      <c r="R15" t="s">
        <v>23</v>
      </c>
      <c r="S15">
        <v>4</v>
      </c>
    </row>
    <row r="16" spans="1:23">
      <c r="A16">
        <v>16</v>
      </c>
      <c r="B16" t="s">
        <v>59</v>
      </c>
      <c r="C16">
        <v>203.0264</v>
      </c>
      <c r="D16">
        <v>147.80000000000001</v>
      </c>
      <c r="E16">
        <v>-0.79971048362139596</v>
      </c>
      <c r="F16" s="3" t="s">
        <v>18</v>
      </c>
      <c r="G16" s="3" t="s">
        <v>410</v>
      </c>
      <c r="H16" s="3">
        <v>1</v>
      </c>
      <c r="I16" s="5" t="s">
        <v>43</v>
      </c>
      <c r="J16" s="5" t="s">
        <v>410</v>
      </c>
      <c r="K16" s="5">
        <v>0.88</v>
      </c>
      <c r="L16" s="7" t="s">
        <v>44</v>
      </c>
      <c r="M16" s="7" t="s">
        <v>410</v>
      </c>
      <c r="N16" s="7">
        <v>1</v>
      </c>
      <c r="O16" s="9" t="s">
        <v>60</v>
      </c>
      <c r="P16" s="9" t="s">
        <v>410</v>
      </c>
      <c r="Q16" s="9">
        <v>0.94199999999999995</v>
      </c>
      <c r="R16" t="s">
        <v>23</v>
      </c>
      <c r="S16">
        <v>4</v>
      </c>
    </row>
    <row r="17" spans="1:19">
      <c r="A17">
        <v>56</v>
      </c>
      <c r="B17" t="s">
        <v>119</v>
      </c>
      <c r="C17">
        <v>372.83150000000001</v>
      </c>
      <c r="D17">
        <v>174.7</v>
      </c>
      <c r="E17">
        <v>-0.41521427348510498</v>
      </c>
      <c r="F17" s="3" t="s">
        <v>18</v>
      </c>
      <c r="G17" s="3" t="s">
        <v>410</v>
      </c>
      <c r="H17" s="3">
        <v>1</v>
      </c>
      <c r="I17" s="5" t="s">
        <v>43</v>
      </c>
      <c r="J17" s="5" t="s">
        <v>410</v>
      </c>
      <c r="K17" s="5">
        <v>0.99</v>
      </c>
      <c r="L17" s="7" t="s">
        <v>44</v>
      </c>
      <c r="M17" s="7" t="s">
        <v>410</v>
      </c>
      <c r="N17" s="7">
        <v>1</v>
      </c>
      <c r="O17" s="9" t="s">
        <v>60</v>
      </c>
      <c r="P17" s="9" t="s">
        <v>410</v>
      </c>
      <c r="Q17" s="9">
        <v>1</v>
      </c>
      <c r="R17" t="s">
        <v>23</v>
      </c>
      <c r="S17">
        <v>4</v>
      </c>
    </row>
    <row r="18" spans="1:19">
      <c r="A18">
        <v>62</v>
      </c>
      <c r="B18" t="s">
        <v>125</v>
      </c>
      <c r="C18">
        <v>270.94839999999999</v>
      </c>
      <c r="D18">
        <v>158.4</v>
      </c>
      <c r="E18">
        <v>-0.64587204422895195</v>
      </c>
      <c r="F18" s="3" t="s">
        <v>18</v>
      </c>
      <c r="G18" s="3" t="s">
        <v>410</v>
      </c>
      <c r="H18" s="3">
        <v>1</v>
      </c>
      <c r="I18" s="5" t="s">
        <v>43</v>
      </c>
      <c r="J18" s="5" t="s">
        <v>410</v>
      </c>
      <c r="K18" s="5">
        <v>0.95</v>
      </c>
      <c r="L18" s="7" t="s">
        <v>44</v>
      </c>
      <c r="M18" s="7" t="s">
        <v>410</v>
      </c>
      <c r="N18" s="7">
        <v>1</v>
      </c>
      <c r="O18" s="9" t="s">
        <v>60</v>
      </c>
      <c r="P18" s="9" t="s">
        <v>410</v>
      </c>
      <c r="Q18" s="9">
        <v>0.97599999999999998</v>
      </c>
      <c r="R18" t="s">
        <v>23</v>
      </c>
      <c r="S18">
        <v>4</v>
      </c>
    </row>
    <row r="19" spans="1:19">
      <c r="A19">
        <v>106</v>
      </c>
      <c r="B19" t="s">
        <v>178</v>
      </c>
      <c r="C19">
        <v>304.90609999999998</v>
      </c>
      <c r="D19">
        <v>162</v>
      </c>
      <c r="E19">
        <v>-0.56565650915405297</v>
      </c>
      <c r="F19" s="3" t="s">
        <v>18</v>
      </c>
      <c r="G19" s="3" t="s">
        <v>410</v>
      </c>
      <c r="H19" s="3">
        <v>1</v>
      </c>
      <c r="I19" s="5" t="s">
        <v>43</v>
      </c>
      <c r="J19" s="5" t="s">
        <v>410</v>
      </c>
      <c r="K19" s="5">
        <v>1</v>
      </c>
      <c r="L19" s="7" t="s">
        <v>44</v>
      </c>
      <c r="M19" s="7" t="s">
        <v>410</v>
      </c>
      <c r="N19" s="7">
        <v>0.99</v>
      </c>
      <c r="O19" s="9" t="s">
        <v>60</v>
      </c>
      <c r="P19" s="9" t="s">
        <v>410</v>
      </c>
      <c r="Q19" s="9">
        <v>1</v>
      </c>
      <c r="R19" t="s">
        <v>23</v>
      </c>
      <c r="S19">
        <v>4</v>
      </c>
    </row>
    <row r="20" spans="1:19">
      <c r="A20">
        <v>137</v>
      </c>
      <c r="B20" t="s">
        <v>210</v>
      </c>
      <c r="C20">
        <v>236.98740000000001</v>
      </c>
      <c r="D20">
        <v>154.9</v>
      </c>
      <c r="E20">
        <v>-0.722791263925188</v>
      </c>
      <c r="F20" s="3" t="s">
        <v>18</v>
      </c>
      <c r="G20" s="3" t="s">
        <v>410</v>
      </c>
      <c r="H20" s="3">
        <v>1</v>
      </c>
      <c r="I20" s="5" t="s">
        <v>43</v>
      </c>
      <c r="J20" s="5" t="s">
        <v>410</v>
      </c>
      <c r="K20" s="5">
        <v>0.93</v>
      </c>
      <c r="L20" s="7" t="s">
        <v>44</v>
      </c>
      <c r="M20" s="7" t="s">
        <v>410</v>
      </c>
      <c r="N20" s="7">
        <v>1</v>
      </c>
      <c r="O20" s="9" t="s">
        <v>60</v>
      </c>
      <c r="P20" s="9" t="s">
        <v>410</v>
      </c>
      <c r="Q20" s="9">
        <v>0.69</v>
      </c>
      <c r="R20" t="s">
        <v>23</v>
      </c>
      <c r="S20">
        <v>4</v>
      </c>
    </row>
    <row r="21" spans="1:19">
      <c r="A21">
        <v>175</v>
      </c>
      <c r="B21" t="s">
        <v>253</v>
      </c>
      <c r="C21">
        <v>372.83150000000001</v>
      </c>
      <c r="D21">
        <v>173.3</v>
      </c>
      <c r="E21">
        <v>-0.41521427348510498</v>
      </c>
      <c r="F21" s="3" t="s">
        <v>18</v>
      </c>
      <c r="G21" s="3" t="s">
        <v>410</v>
      </c>
      <c r="H21" s="3">
        <v>0.998</v>
      </c>
      <c r="I21" s="5" t="s">
        <v>43</v>
      </c>
      <c r="J21" s="5" t="s">
        <v>410</v>
      </c>
      <c r="K21" s="5">
        <v>1</v>
      </c>
      <c r="L21" s="7" t="s">
        <v>44</v>
      </c>
      <c r="M21" s="7" t="s">
        <v>410</v>
      </c>
      <c r="N21" s="7">
        <v>1</v>
      </c>
      <c r="O21" s="9" t="s">
        <v>60</v>
      </c>
      <c r="P21" s="9" t="s">
        <v>410</v>
      </c>
      <c r="Q21" s="9">
        <v>1</v>
      </c>
      <c r="R21" t="s">
        <v>23</v>
      </c>
      <c r="S21">
        <v>4</v>
      </c>
    </row>
    <row r="22" spans="1:19">
      <c r="A22">
        <v>178</v>
      </c>
      <c r="B22" t="s">
        <v>255</v>
      </c>
      <c r="C22">
        <v>270.94839999999999</v>
      </c>
      <c r="D22">
        <v>158</v>
      </c>
      <c r="E22">
        <v>-0.64587204422895195</v>
      </c>
      <c r="F22" s="3" t="s">
        <v>18</v>
      </c>
      <c r="G22" s="3" t="s">
        <v>410</v>
      </c>
      <c r="H22" s="3">
        <v>1</v>
      </c>
      <c r="I22" s="5" t="s">
        <v>43</v>
      </c>
      <c r="J22" s="5" t="s">
        <v>410</v>
      </c>
      <c r="K22" s="5">
        <v>0.93</v>
      </c>
      <c r="L22" s="7" t="s">
        <v>44</v>
      </c>
      <c r="M22" s="7" t="s">
        <v>410</v>
      </c>
      <c r="N22" s="7">
        <v>1</v>
      </c>
      <c r="O22" s="9" t="s">
        <v>60</v>
      </c>
      <c r="P22" s="9" t="s">
        <v>410</v>
      </c>
      <c r="Q22" s="9">
        <v>0.97699999999999998</v>
      </c>
      <c r="R22" t="s">
        <v>23</v>
      </c>
      <c r="S22">
        <v>4</v>
      </c>
    </row>
    <row r="23" spans="1:19">
      <c r="A23">
        <v>249</v>
      </c>
      <c r="B23" t="s">
        <v>312</v>
      </c>
      <c r="C23">
        <v>338.87049999999999</v>
      </c>
      <c r="D23">
        <v>167.3</v>
      </c>
      <c r="E23">
        <v>-0.492133493181313</v>
      </c>
      <c r="F23" s="3" t="s">
        <v>18</v>
      </c>
      <c r="G23" s="3" t="s">
        <v>410</v>
      </c>
      <c r="H23" s="3">
        <v>1</v>
      </c>
      <c r="I23" s="5" t="s">
        <v>43</v>
      </c>
      <c r="J23" s="5" t="s">
        <v>410</v>
      </c>
      <c r="K23" s="5">
        <v>0.99</v>
      </c>
      <c r="L23" s="7" t="s">
        <v>44</v>
      </c>
      <c r="M23" s="7" t="s">
        <v>410</v>
      </c>
      <c r="N23" s="7">
        <v>1</v>
      </c>
      <c r="O23" s="9" t="s">
        <v>60</v>
      </c>
      <c r="P23" s="9" t="s">
        <v>410</v>
      </c>
      <c r="Q23" s="9">
        <v>0.999</v>
      </c>
      <c r="R23" t="s">
        <v>23</v>
      </c>
      <c r="S23">
        <v>4</v>
      </c>
    </row>
    <row r="24" spans="1:19">
      <c r="A24">
        <v>298</v>
      </c>
      <c r="B24" t="s">
        <v>358</v>
      </c>
      <c r="C24">
        <v>440.75360000000001</v>
      </c>
      <c r="D24">
        <v>181.1</v>
      </c>
      <c r="E24">
        <v>-0.26147572243746697</v>
      </c>
      <c r="F24" s="3" t="s">
        <v>18</v>
      </c>
      <c r="G24" s="3" t="s">
        <v>410</v>
      </c>
      <c r="H24" s="3">
        <v>0.998</v>
      </c>
      <c r="I24" s="5" t="s">
        <v>43</v>
      </c>
      <c r="J24" s="5" t="s">
        <v>410</v>
      </c>
      <c r="K24" s="5">
        <v>0.88</v>
      </c>
      <c r="L24" s="7" t="s">
        <v>44</v>
      </c>
      <c r="M24" s="7" t="s">
        <v>410</v>
      </c>
      <c r="N24" s="7">
        <v>1</v>
      </c>
      <c r="O24" s="9" t="s">
        <v>60</v>
      </c>
      <c r="P24" s="9" t="s">
        <v>410</v>
      </c>
      <c r="Q24" s="9">
        <v>0.94699999999999995</v>
      </c>
      <c r="R24" t="s">
        <v>23</v>
      </c>
      <c r="S24">
        <v>4</v>
      </c>
    </row>
    <row r="25" spans="1:19">
      <c r="A25">
        <v>329</v>
      </c>
      <c r="B25" t="s">
        <v>386</v>
      </c>
      <c r="C25">
        <v>236.98740000000001</v>
      </c>
      <c r="D25">
        <v>151.1</v>
      </c>
      <c r="E25">
        <v>-0.722791263925188</v>
      </c>
      <c r="F25" s="3" t="s">
        <v>18</v>
      </c>
      <c r="G25" s="3" t="s">
        <v>410</v>
      </c>
      <c r="H25" s="3">
        <v>1</v>
      </c>
      <c r="I25" s="5" t="s">
        <v>43</v>
      </c>
      <c r="J25" s="5" t="s">
        <v>410</v>
      </c>
      <c r="K25" s="5">
        <v>0.96</v>
      </c>
      <c r="L25" s="7" t="s">
        <v>44</v>
      </c>
      <c r="M25" s="7" t="s">
        <v>410</v>
      </c>
      <c r="N25" s="7">
        <v>1</v>
      </c>
      <c r="O25" s="9" t="s">
        <v>60</v>
      </c>
      <c r="P25" s="9" t="s">
        <v>410</v>
      </c>
      <c r="Q25" s="9">
        <v>0.98799999999999999</v>
      </c>
      <c r="R25" t="s">
        <v>23</v>
      </c>
      <c r="S25">
        <v>4</v>
      </c>
    </row>
    <row r="26" spans="1:19">
      <c r="A26">
        <v>331</v>
      </c>
      <c r="B26" t="s">
        <v>388</v>
      </c>
      <c r="C26">
        <v>406.79250000000002</v>
      </c>
      <c r="D26">
        <v>176.3</v>
      </c>
      <c r="E26">
        <v>-0.33829505378889702</v>
      </c>
      <c r="F26" s="3" t="s">
        <v>18</v>
      </c>
      <c r="G26" s="3" t="s">
        <v>410</v>
      </c>
      <c r="H26" s="3">
        <v>1</v>
      </c>
      <c r="I26" s="5" t="s">
        <v>43</v>
      </c>
      <c r="J26" s="5" t="s">
        <v>410</v>
      </c>
      <c r="K26" s="5">
        <v>0.98</v>
      </c>
      <c r="L26" s="7" t="s">
        <v>44</v>
      </c>
      <c r="M26" s="7" t="s">
        <v>410</v>
      </c>
      <c r="N26" s="7">
        <v>1</v>
      </c>
      <c r="O26" s="9" t="s">
        <v>60</v>
      </c>
      <c r="P26" s="9" t="s">
        <v>410</v>
      </c>
      <c r="Q26" s="9">
        <v>0.99299999999999999</v>
      </c>
      <c r="R26" t="s">
        <v>23</v>
      </c>
      <c r="S26">
        <v>4</v>
      </c>
    </row>
    <row r="27" spans="1:19">
      <c r="A27">
        <v>340</v>
      </c>
      <c r="B27" t="s">
        <v>395</v>
      </c>
      <c r="C27">
        <v>406.79250000000002</v>
      </c>
      <c r="D27">
        <v>179.8</v>
      </c>
      <c r="E27">
        <v>-0.33829505378889702</v>
      </c>
      <c r="F27" s="3" t="s">
        <v>18</v>
      </c>
      <c r="G27" s="3" t="s">
        <v>410</v>
      </c>
      <c r="H27" s="3">
        <v>1</v>
      </c>
      <c r="I27" s="5" t="s">
        <v>43</v>
      </c>
      <c r="J27" s="5" t="s">
        <v>410</v>
      </c>
      <c r="K27" s="5">
        <v>0.85</v>
      </c>
      <c r="L27" s="7" t="s">
        <v>44</v>
      </c>
      <c r="M27" s="7" t="s">
        <v>410</v>
      </c>
      <c r="N27" s="7">
        <v>1</v>
      </c>
      <c r="O27" s="9" t="s">
        <v>60</v>
      </c>
      <c r="P27" s="9" t="s">
        <v>410</v>
      </c>
      <c r="Q27" s="9">
        <v>0.996</v>
      </c>
      <c r="R27" t="s">
        <v>23</v>
      </c>
      <c r="S27">
        <v>4</v>
      </c>
    </row>
    <row r="28" spans="1:19">
      <c r="A28">
        <v>123</v>
      </c>
      <c r="B28" t="s">
        <v>194</v>
      </c>
      <c r="C28">
        <v>543.23180000000002</v>
      </c>
      <c r="D28">
        <v>222</v>
      </c>
      <c r="E28">
        <v>-0.625253491647072</v>
      </c>
      <c r="F28" s="3" t="s">
        <v>18</v>
      </c>
      <c r="G28" s="3" t="s">
        <v>410</v>
      </c>
      <c r="H28" s="3">
        <v>1</v>
      </c>
      <c r="I28" s="5" t="s">
        <v>43</v>
      </c>
      <c r="J28" s="5" t="s">
        <v>410</v>
      </c>
      <c r="K28" s="5">
        <v>0.77</v>
      </c>
      <c r="L28" s="7" t="s">
        <v>44</v>
      </c>
      <c r="M28" s="7" t="s">
        <v>410</v>
      </c>
      <c r="N28" s="7">
        <v>1</v>
      </c>
      <c r="O28" s="9" t="s">
        <v>195</v>
      </c>
      <c r="P28" s="9" t="s">
        <v>410</v>
      </c>
      <c r="Q28" s="9">
        <v>0.98</v>
      </c>
      <c r="R28" t="s">
        <v>23</v>
      </c>
      <c r="S28">
        <v>4</v>
      </c>
    </row>
    <row r="29" spans="1:19">
      <c r="A29">
        <v>297</v>
      </c>
      <c r="B29" t="s">
        <v>194</v>
      </c>
      <c r="C29">
        <v>559.20579999999995</v>
      </c>
      <c r="D29">
        <v>225.8</v>
      </c>
      <c r="E29">
        <v>-0.58141769130463705</v>
      </c>
      <c r="F29" s="3" t="s">
        <v>18</v>
      </c>
      <c r="G29" s="3" t="s">
        <v>410</v>
      </c>
      <c r="H29" s="3">
        <v>1</v>
      </c>
      <c r="I29" s="5" t="s">
        <v>43</v>
      </c>
      <c r="J29" s="5" t="s">
        <v>410</v>
      </c>
      <c r="K29" s="5">
        <v>0.82</v>
      </c>
      <c r="L29" s="7" t="s">
        <v>44</v>
      </c>
      <c r="M29" s="7" t="s">
        <v>410</v>
      </c>
      <c r="N29" s="7">
        <v>0.97</v>
      </c>
      <c r="O29" s="9" t="s">
        <v>195</v>
      </c>
      <c r="P29" s="9" t="s">
        <v>410</v>
      </c>
      <c r="Q29" s="9">
        <v>0.94599999999999995</v>
      </c>
      <c r="R29" t="s">
        <v>23</v>
      </c>
      <c r="S29">
        <v>4</v>
      </c>
    </row>
    <row r="30" spans="1:19">
      <c r="A30">
        <v>325</v>
      </c>
      <c r="B30" t="s">
        <v>383</v>
      </c>
      <c r="C30">
        <v>573.22140000000002</v>
      </c>
      <c r="D30">
        <v>227.5</v>
      </c>
      <c r="E30">
        <v>-0.58136854623899104</v>
      </c>
      <c r="F30" s="3" t="s">
        <v>18</v>
      </c>
      <c r="G30" s="3" t="s">
        <v>410</v>
      </c>
      <c r="H30" s="3">
        <v>1</v>
      </c>
      <c r="I30" s="5" t="s">
        <v>43</v>
      </c>
      <c r="J30" s="5" t="s">
        <v>410</v>
      </c>
      <c r="K30" s="5">
        <v>0.75</v>
      </c>
      <c r="L30" s="7" t="s">
        <v>44</v>
      </c>
      <c r="M30" s="7" t="s">
        <v>410</v>
      </c>
      <c r="N30" s="7">
        <v>0.95</v>
      </c>
      <c r="O30" s="9" t="s">
        <v>195</v>
      </c>
      <c r="P30" s="9" t="s">
        <v>410</v>
      </c>
      <c r="Q30" s="9">
        <v>0.9</v>
      </c>
      <c r="R30" t="s">
        <v>23</v>
      </c>
      <c r="S30">
        <v>4</v>
      </c>
    </row>
    <row r="31" spans="1:19">
      <c r="A31">
        <v>170</v>
      </c>
      <c r="B31" t="s">
        <v>247</v>
      </c>
      <c r="C31">
        <v>333.06290000000001</v>
      </c>
      <c r="D31">
        <v>178.1</v>
      </c>
      <c r="E31">
        <v>-0.69101798010183302</v>
      </c>
      <c r="F31" s="3" t="s">
        <v>18</v>
      </c>
      <c r="G31" s="3" t="s">
        <v>410</v>
      </c>
      <c r="H31" s="3">
        <v>0.93799999999999994</v>
      </c>
      <c r="I31" s="5" t="s">
        <v>43</v>
      </c>
      <c r="J31" s="5" t="s">
        <v>410</v>
      </c>
      <c r="K31" s="5">
        <v>0.66</v>
      </c>
      <c r="L31" s="7" t="s">
        <v>44</v>
      </c>
      <c r="M31" s="7" t="s">
        <v>410</v>
      </c>
      <c r="N31" s="7">
        <v>1</v>
      </c>
      <c r="O31" s="9" t="s">
        <v>248</v>
      </c>
      <c r="P31" s="9" t="s">
        <v>410</v>
      </c>
      <c r="Q31" s="9">
        <v>0.95199999999999996</v>
      </c>
      <c r="R31" t="s">
        <v>23</v>
      </c>
      <c r="S31">
        <v>4</v>
      </c>
    </row>
    <row r="32" spans="1:19">
      <c r="A32">
        <v>8</v>
      </c>
      <c r="B32" t="s">
        <v>42</v>
      </c>
      <c r="C32">
        <v>296.99970000000002</v>
      </c>
      <c r="D32">
        <v>149.1</v>
      </c>
      <c r="E32">
        <v>-0.668084415240628</v>
      </c>
      <c r="F32" s="3" t="s">
        <v>18</v>
      </c>
      <c r="G32" s="3" t="s">
        <v>410</v>
      </c>
      <c r="H32" s="3">
        <v>1</v>
      </c>
      <c r="I32" s="5" t="s">
        <v>43</v>
      </c>
      <c r="J32" s="5" t="s">
        <v>410</v>
      </c>
      <c r="K32" s="5">
        <v>0.85</v>
      </c>
      <c r="L32" s="7" t="s">
        <v>44</v>
      </c>
      <c r="M32" s="7" t="s">
        <v>410</v>
      </c>
      <c r="N32" s="7">
        <v>0.98</v>
      </c>
      <c r="O32" s="9" t="s">
        <v>45</v>
      </c>
      <c r="P32" s="9" t="s">
        <v>410</v>
      </c>
      <c r="Q32" s="9">
        <v>0.77100000000000002</v>
      </c>
      <c r="R32" t="s">
        <v>23</v>
      </c>
      <c r="S32">
        <v>4</v>
      </c>
    </row>
    <row r="33" spans="1:19">
      <c r="A33">
        <v>230</v>
      </c>
      <c r="B33" t="s">
        <v>42</v>
      </c>
      <c r="C33">
        <v>299.01229999999998</v>
      </c>
      <c r="D33">
        <v>157.30000000000001</v>
      </c>
      <c r="E33">
        <v>-0.67843724284989504</v>
      </c>
      <c r="F33" s="3" t="s">
        <v>18</v>
      </c>
      <c r="G33" s="3" t="s">
        <v>410</v>
      </c>
      <c r="H33" s="3">
        <v>1</v>
      </c>
      <c r="I33" s="5" t="s">
        <v>43</v>
      </c>
      <c r="J33" s="5" t="s">
        <v>410</v>
      </c>
      <c r="K33" s="5">
        <v>0.74</v>
      </c>
      <c r="L33" s="7" t="s">
        <v>44</v>
      </c>
      <c r="M33" s="7" t="s">
        <v>410</v>
      </c>
      <c r="N33" s="7">
        <v>1</v>
      </c>
      <c r="O33" s="9" t="s">
        <v>45</v>
      </c>
      <c r="P33" s="9" t="s">
        <v>410</v>
      </c>
      <c r="Q33" s="9">
        <v>0.69</v>
      </c>
      <c r="R33" t="s">
        <v>23</v>
      </c>
      <c r="S33">
        <v>4</v>
      </c>
    </row>
    <row r="34" spans="1:19">
      <c r="A34">
        <v>286</v>
      </c>
      <c r="B34" t="s">
        <v>347</v>
      </c>
      <c r="C34">
        <v>247.03370000000001</v>
      </c>
      <c r="D34">
        <v>147.9</v>
      </c>
      <c r="E34">
        <v>-0.75787404838871497</v>
      </c>
      <c r="F34" s="3" t="s">
        <v>18</v>
      </c>
      <c r="G34" s="3" t="s">
        <v>410</v>
      </c>
      <c r="H34" s="3">
        <v>1</v>
      </c>
      <c r="I34" s="5" t="s">
        <v>43</v>
      </c>
      <c r="J34" s="5" t="s">
        <v>410</v>
      </c>
      <c r="K34" s="5">
        <v>0.65</v>
      </c>
      <c r="L34" s="7" t="s">
        <v>44</v>
      </c>
      <c r="M34" s="7" t="s">
        <v>410</v>
      </c>
      <c r="N34" s="7">
        <v>0.87</v>
      </c>
      <c r="O34" s="9" t="s">
        <v>45</v>
      </c>
      <c r="P34" s="9" t="s">
        <v>410</v>
      </c>
      <c r="Q34" s="9">
        <v>0.749</v>
      </c>
      <c r="R34" t="s">
        <v>23</v>
      </c>
      <c r="S34">
        <v>4</v>
      </c>
    </row>
    <row r="35" spans="1:19">
      <c r="A35">
        <v>2</v>
      </c>
      <c r="B35" t="s">
        <v>24</v>
      </c>
      <c r="C35">
        <v>373.23570000000001</v>
      </c>
      <c r="D35">
        <v>197.1</v>
      </c>
      <c r="E35">
        <v>-0.81896296319973805</v>
      </c>
      <c r="F35" s="3" t="s">
        <v>18</v>
      </c>
      <c r="G35" s="3" t="s">
        <v>410</v>
      </c>
      <c r="H35" s="3">
        <v>1</v>
      </c>
      <c r="I35" s="5" t="s">
        <v>20</v>
      </c>
      <c r="J35" s="5" t="s">
        <v>410</v>
      </c>
      <c r="K35" s="5">
        <v>0.94</v>
      </c>
      <c r="L35" s="7" t="s">
        <v>25</v>
      </c>
      <c r="M35" s="7" t="s">
        <v>410</v>
      </c>
      <c r="N35" s="7">
        <v>0.61</v>
      </c>
      <c r="O35" s="9" t="s">
        <v>26</v>
      </c>
      <c r="P35" s="9" t="s">
        <v>410</v>
      </c>
      <c r="Q35" s="9">
        <v>0.65700000000000003</v>
      </c>
      <c r="R35" t="s">
        <v>23</v>
      </c>
      <c r="S35">
        <v>4</v>
      </c>
    </row>
    <row r="36" spans="1:19">
      <c r="A36">
        <v>146</v>
      </c>
      <c r="B36" t="s">
        <v>224</v>
      </c>
      <c r="C36">
        <v>317.24799999999999</v>
      </c>
      <c r="D36">
        <v>176.1</v>
      </c>
      <c r="E36">
        <v>-0.89377613703396697</v>
      </c>
      <c r="F36" s="3" t="s">
        <v>18</v>
      </c>
      <c r="G36" s="3" t="s">
        <v>410</v>
      </c>
      <c r="H36" s="3">
        <v>1</v>
      </c>
      <c r="I36" s="5" t="s">
        <v>20</v>
      </c>
      <c r="J36" s="5" t="s">
        <v>410</v>
      </c>
      <c r="K36" s="5">
        <v>0.98</v>
      </c>
      <c r="L36" s="7" t="s">
        <v>25</v>
      </c>
      <c r="M36" s="7" t="s">
        <v>410</v>
      </c>
      <c r="N36" s="7">
        <v>0.6</v>
      </c>
      <c r="O36" s="9" t="s">
        <v>26</v>
      </c>
      <c r="P36" s="9" t="s">
        <v>410</v>
      </c>
      <c r="Q36" s="9">
        <v>0.96699999999999997</v>
      </c>
      <c r="R36" t="s">
        <v>23</v>
      </c>
      <c r="S36">
        <v>4</v>
      </c>
    </row>
    <row r="37" spans="1:19">
      <c r="A37">
        <v>236</v>
      </c>
      <c r="B37" t="s">
        <v>224</v>
      </c>
      <c r="C37">
        <v>339.23</v>
      </c>
      <c r="D37">
        <v>214.8</v>
      </c>
      <c r="E37">
        <v>-0.85123209276667899</v>
      </c>
      <c r="F37" s="3" t="s">
        <v>18</v>
      </c>
      <c r="G37" s="3" t="s">
        <v>410</v>
      </c>
      <c r="H37" s="3">
        <v>1</v>
      </c>
      <c r="I37" s="5" t="s">
        <v>20</v>
      </c>
      <c r="J37" s="5" t="s">
        <v>410</v>
      </c>
      <c r="K37" s="5">
        <v>1</v>
      </c>
      <c r="L37" s="7" t="s">
        <v>25</v>
      </c>
      <c r="M37" s="7" t="s">
        <v>410</v>
      </c>
      <c r="N37" s="7">
        <v>0.64</v>
      </c>
      <c r="O37" s="9" t="s">
        <v>26</v>
      </c>
      <c r="P37" s="9" t="s">
        <v>410</v>
      </c>
      <c r="Q37" s="9">
        <v>0.73</v>
      </c>
      <c r="R37" t="s">
        <v>23</v>
      </c>
      <c r="S37">
        <v>4</v>
      </c>
    </row>
    <row r="38" spans="1:19">
      <c r="A38">
        <v>9</v>
      </c>
      <c r="B38" t="s">
        <v>46</v>
      </c>
      <c r="C38">
        <v>361.20429999999999</v>
      </c>
      <c r="D38">
        <v>192.1</v>
      </c>
      <c r="E38">
        <v>-0.80099664594911202</v>
      </c>
      <c r="F38" s="3" t="s">
        <v>18</v>
      </c>
      <c r="G38" s="3" t="s">
        <v>410</v>
      </c>
      <c r="H38" s="3">
        <v>1</v>
      </c>
      <c r="I38" s="5" t="s">
        <v>20</v>
      </c>
      <c r="J38" s="5" t="s">
        <v>410</v>
      </c>
      <c r="K38" s="5">
        <v>1</v>
      </c>
      <c r="L38" s="7" t="s">
        <v>25</v>
      </c>
      <c r="M38" s="7" t="s">
        <v>410</v>
      </c>
      <c r="N38" s="7">
        <v>0.79</v>
      </c>
      <c r="O38" s="9" t="s">
        <v>47</v>
      </c>
      <c r="P38" s="9" t="s">
        <v>410</v>
      </c>
      <c r="Q38" s="9">
        <v>1</v>
      </c>
      <c r="R38" t="s">
        <v>23</v>
      </c>
      <c r="S38">
        <v>4</v>
      </c>
    </row>
    <row r="39" spans="1:19">
      <c r="A39">
        <v>342</v>
      </c>
      <c r="B39" t="s">
        <v>397</v>
      </c>
      <c r="C39">
        <v>359.18579999999997</v>
      </c>
      <c r="D39">
        <v>187.7</v>
      </c>
      <c r="E39">
        <v>-0.78475040599613499</v>
      </c>
      <c r="F39" s="3" t="s">
        <v>18</v>
      </c>
      <c r="G39" s="3" t="s">
        <v>410</v>
      </c>
      <c r="H39" s="3">
        <v>1</v>
      </c>
      <c r="I39" s="5" t="s">
        <v>20</v>
      </c>
      <c r="J39" s="5" t="s">
        <v>410</v>
      </c>
      <c r="K39" s="5">
        <v>0.89</v>
      </c>
      <c r="L39" s="7" t="s">
        <v>25</v>
      </c>
      <c r="M39" s="7" t="s">
        <v>410</v>
      </c>
      <c r="N39" s="7">
        <v>0.87</v>
      </c>
      <c r="O39" s="9" t="s">
        <v>47</v>
      </c>
      <c r="P39" s="9" t="s">
        <v>410</v>
      </c>
      <c r="Q39" s="9">
        <v>0.99</v>
      </c>
      <c r="R39" t="s">
        <v>23</v>
      </c>
      <c r="S39">
        <v>4</v>
      </c>
    </row>
    <row r="40" spans="1:19">
      <c r="A40">
        <v>129</v>
      </c>
      <c r="B40" t="s">
        <v>201</v>
      </c>
      <c r="C40">
        <v>578.24580000000003</v>
      </c>
      <c r="D40">
        <v>221</v>
      </c>
      <c r="E40">
        <v>-0.60015854278083203</v>
      </c>
      <c r="F40" s="3" t="s">
        <v>18</v>
      </c>
      <c r="G40" s="3" t="s">
        <v>410</v>
      </c>
      <c r="H40" s="3">
        <v>1</v>
      </c>
      <c r="I40" s="5" t="s">
        <v>20</v>
      </c>
      <c r="J40" s="5" t="s">
        <v>410</v>
      </c>
      <c r="K40" s="5">
        <v>0.67</v>
      </c>
      <c r="L40" s="7" t="s">
        <v>25</v>
      </c>
      <c r="M40" s="7" t="s">
        <v>410</v>
      </c>
      <c r="N40" s="7">
        <v>0.84</v>
      </c>
      <c r="O40" s="9" t="s">
        <v>202</v>
      </c>
      <c r="P40" s="9" t="s">
        <v>410</v>
      </c>
      <c r="Q40" s="9">
        <v>0.91</v>
      </c>
      <c r="R40" t="s">
        <v>23</v>
      </c>
      <c r="S40">
        <v>4</v>
      </c>
    </row>
    <row r="41" spans="1:19">
      <c r="A41">
        <v>136</v>
      </c>
      <c r="B41" t="s">
        <v>209</v>
      </c>
      <c r="C41">
        <v>450.32049999999998</v>
      </c>
      <c r="D41">
        <v>196.9</v>
      </c>
      <c r="E41">
        <v>-0.81769378189056896</v>
      </c>
      <c r="F41" s="3" t="s">
        <v>18</v>
      </c>
      <c r="G41" s="3" t="s">
        <v>410</v>
      </c>
      <c r="H41" s="3">
        <v>1</v>
      </c>
      <c r="I41" s="5" t="s">
        <v>20</v>
      </c>
      <c r="J41" s="5" t="s">
        <v>410</v>
      </c>
      <c r="K41" s="5">
        <v>0.87</v>
      </c>
      <c r="L41" s="7" t="s">
        <v>25</v>
      </c>
      <c r="M41" s="7" t="s">
        <v>410</v>
      </c>
      <c r="N41" s="7">
        <v>0.91</v>
      </c>
      <c r="O41" s="9" t="s">
        <v>202</v>
      </c>
      <c r="P41" s="9" t="s">
        <v>410</v>
      </c>
      <c r="Q41" s="9">
        <v>0.93200000000000005</v>
      </c>
      <c r="R41" t="s">
        <v>23</v>
      </c>
      <c r="S41">
        <v>4</v>
      </c>
    </row>
    <row r="42" spans="1:19">
      <c r="A42">
        <v>227</v>
      </c>
      <c r="B42" t="s">
        <v>295</v>
      </c>
      <c r="C42">
        <v>407.27980000000002</v>
      </c>
      <c r="D42">
        <v>205.6</v>
      </c>
      <c r="E42">
        <v>-0.82505095803912798</v>
      </c>
      <c r="F42" s="3" t="s">
        <v>18</v>
      </c>
      <c r="G42" s="3" t="s">
        <v>410</v>
      </c>
      <c r="H42" s="3">
        <v>1</v>
      </c>
      <c r="I42" s="5" t="s">
        <v>20</v>
      </c>
      <c r="J42" s="5" t="s">
        <v>410</v>
      </c>
      <c r="K42" s="5">
        <v>0.94</v>
      </c>
      <c r="L42" s="7" t="s">
        <v>25</v>
      </c>
      <c r="M42" s="7" t="s">
        <v>410</v>
      </c>
      <c r="N42" s="7">
        <v>0.94</v>
      </c>
      <c r="O42" s="9" t="s">
        <v>202</v>
      </c>
      <c r="P42" s="9" t="s">
        <v>410</v>
      </c>
      <c r="Q42" s="9">
        <v>0.99099999999999999</v>
      </c>
      <c r="R42" t="s">
        <v>23</v>
      </c>
      <c r="S42">
        <v>4</v>
      </c>
    </row>
    <row r="43" spans="1:19">
      <c r="A43">
        <v>265</v>
      </c>
      <c r="B43" t="s">
        <v>326</v>
      </c>
      <c r="C43">
        <v>407.27980000000002</v>
      </c>
      <c r="D43">
        <v>204.2</v>
      </c>
      <c r="E43">
        <v>-0.82505095803912798</v>
      </c>
      <c r="F43" s="3" t="s">
        <v>18</v>
      </c>
      <c r="G43" s="3" t="s">
        <v>410</v>
      </c>
      <c r="H43" s="3">
        <v>1</v>
      </c>
      <c r="I43" s="5" t="s">
        <v>20</v>
      </c>
      <c r="J43" s="5" t="s">
        <v>410</v>
      </c>
      <c r="K43" s="5">
        <v>0.99</v>
      </c>
      <c r="L43" s="7" t="s">
        <v>25</v>
      </c>
      <c r="M43" s="7" t="s">
        <v>410</v>
      </c>
      <c r="N43" s="7">
        <v>0.95</v>
      </c>
      <c r="O43" s="9" t="s">
        <v>202</v>
      </c>
      <c r="P43" s="9" t="s">
        <v>410</v>
      </c>
      <c r="Q43" s="9">
        <v>0.99399999999999999</v>
      </c>
      <c r="R43" t="s">
        <v>23</v>
      </c>
      <c r="S43">
        <v>4</v>
      </c>
    </row>
    <row r="44" spans="1:19">
      <c r="A44">
        <v>5</v>
      </c>
      <c r="B44" t="s">
        <v>34</v>
      </c>
      <c r="C44">
        <v>737.54039999999998</v>
      </c>
      <c r="D44">
        <v>284.3</v>
      </c>
      <c r="E44">
        <v>-0.71689785158139296</v>
      </c>
      <c r="F44" s="3" t="s">
        <v>18</v>
      </c>
      <c r="G44" s="3" t="s">
        <v>410</v>
      </c>
      <c r="H44" s="3">
        <v>1</v>
      </c>
      <c r="I44" s="5" t="s">
        <v>20</v>
      </c>
      <c r="J44" s="5" t="s">
        <v>410</v>
      </c>
      <c r="K44" s="5">
        <v>1</v>
      </c>
      <c r="L44" s="7" t="s">
        <v>21</v>
      </c>
      <c r="M44" s="7" t="s">
        <v>410</v>
      </c>
      <c r="N44" s="7">
        <v>0.72</v>
      </c>
      <c r="O44" s="9" t="s">
        <v>35</v>
      </c>
      <c r="P44" s="9" t="s">
        <v>410</v>
      </c>
      <c r="Q44" s="9">
        <v>0.83799999999999997</v>
      </c>
      <c r="R44" t="s">
        <v>23</v>
      </c>
      <c r="S44">
        <v>4</v>
      </c>
    </row>
    <row r="45" spans="1:19">
      <c r="A45">
        <v>31</v>
      </c>
      <c r="B45" t="s">
        <v>81</v>
      </c>
      <c r="C45">
        <v>809.65359999999998</v>
      </c>
      <c r="D45">
        <v>299</v>
      </c>
      <c r="E45">
        <v>-0.74957971978915305</v>
      </c>
      <c r="F45" s="3" t="s">
        <v>18</v>
      </c>
      <c r="G45" s="3" t="s">
        <v>410</v>
      </c>
      <c r="H45" s="3">
        <v>1</v>
      </c>
      <c r="I45" s="5" t="s">
        <v>20</v>
      </c>
      <c r="J45" s="5" t="s">
        <v>410</v>
      </c>
      <c r="K45" s="5">
        <v>1</v>
      </c>
      <c r="L45" s="7" t="s">
        <v>21</v>
      </c>
      <c r="M45" s="7" t="s">
        <v>410</v>
      </c>
      <c r="N45" s="7">
        <v>0.94</v>
      </c>
      <c r="O45" s="9" t="s">
        <v>35</v>
      </c>
      <c r="P45" s="9" t="s">
        <v>410</v>
      </c>
      <c r="Q45" s="9">
        <v>0.63600000000000001</v>
      </c>
      <c r="R45" t="s">
        <v>23</v>
      </c>
      <c r="S45">
        <v>4</v>
      </c>
    </row>
    <row r="46" spans="1:19">
      <c r="A46">
        <v>91</v>
      </c>
      <c r="B46" t="s">
        <v>163</v>
      </c>
      <c r="C46">
        <v>855.66300000000001</v>
      </c>
      <c r="D46">
        <v>304.89999999999998</v>
      </c>
      <c r="E46">
        <v>-0.70760783596097099</v>
      </c>
      <c r="F46" s="3" t="s">
        <v>18</v>
      </c>
      <c r="G46" s="3" t="s">
        <v>410</v>
      </c>
      <c r="H46" s="3">
        <v>1</v>
      </c>
      <c r="I46" s="5" t="s">
        <v>20</v>
      </c>
      <c r="J46" s="5" t="s">
        <v>410</v>
      </c>
      <c r="K46" s="5">
        <v>1</v>
      </c>
      <c r="L46" s="7" t="s">
        <v>21</v>
      </c>
      <c r="M46" s="7" t="s">
        <v>410</v>
      </c>
      <c r="N46" s="7">
        <v>0.82</v>
      </c>
      <c r="O46" s="9" t="s">
        <v>35</v>
      </c>
      <c r="P46" s="9" t="s">
        <v>410</v>
      </c>
      <c r="Q46" s="9">
        <v>0.82199999999999995</v>
      </c>
      <c r="R46" t="s">
        <v>23</v>
      </c>
      <c r="S46">
        <v>4</v>
      </c>
    </row>
    <row r="47" spans="1:19">
      <c r="A47">
        <v>102</v>
      </c>
      <c r="B47" t="s">
        <v>174</v>
      </c>
      <c r="C47">
        <v>809.65120000000002</v>
      </c>
      <c r="D47">
        <v>297.2</v>
      </c>
      <c r="E47">
        <v>-0.74718239951380405</v>
      </c>
      <c r="F47" s="3" t="s">
        <v>18</v>
      </c>
      <c r="G47" s="3" t="s">
        <v>410</v>
      </c>
      <c r="H47" s="3">
        <v>1</v>
      </c>
      <c r="I47" s="5" t="s">
        <v>20</v>
      </c>
      <c r="J47" s="5" t="s">
        <v>410</v>
      </c>
      <c r="K47" s="5">
        <v>1</v>
      </c>
      <c r="L47" s="7" t="s">
        <v>21</v>
      </c>
      <c r="M47" s="7" t="s">
        <v>410</v>
      </c>
      <c r="N47" s="7">
        <v>1</v>
      </c>
      <c r="O47" s="9" t="s">
        <v>35</v>
      </c>
      <c r="P47" s="9" t="s">
        <v>410</v>
      </c>
      <c r="Q47" s="9">
        <v>0.91900000000000004</v>
      </c>
      <c r="R47" t="s">
        <v>23</v>
      </c>
      <c r="S47">
        <v>4</v>
      </c>
    </row>
    <row r="48" spans="1:19">
      <c r="A48">
        <v>216</v>
      </c>
      <c r="B48" t="s">
        <v>288</v>
      </c>
      <c r="C48">
        <v>799.66930000000002</v>
      </c>
      <c r="D48">
        <v>300.10000000000002</v>
      </c>
      <c r="E48">
        <v>-0.77642770910676995</v>
      </c>
      <c r="F48" s="3" t="s">
        <v>18</v>
      </c>
      <c r="G48" s="3" t="s">
        <v>410</v>
      </c>
      <c r="H48" s="3">
        <v>1</v>
      </c>
      <c r="I48" s="5" t="s">
        <v>20</v>
      </c>
      <c r="J48" s="5" t="s">
        <v>410</v>
      </c>
      <c r="K48" s="5">
        <v>1</v>
      </c>
      <c r="L48" s="7" t="s">
        <v>21</v>
      </c>
      <c r="M48" s="7" t="s">
        <v>410</v>
      </c>
      <c r="N48" s="7">
        <v>1</v>
      </c>
      <c r="O48" s="9" t="s">
        <v>35</v>
      </c>
      <c r="P48" s="9" t="s">
        <v>410</v>
      </c>
      <c r="Q48" s="9">
        <v>0.85199999999999998</v>
      </c>
      <c r="R48" t="s">
        <v>23</v>
      </c>
      <c r="S48">
        <v>4</v>
      </c>
    </row>
    <row r="49" spans="1:19">
      <c r="A49">
        <v>239</v>
      </c>
      <c r="B49" t="s">
        <v>305</v>
      </c>
      <c r="C49">
        <v>801.68489999999997</v>
      </c>
      <c r="D49">
        <v>302.3</v>
      </c>
      <c r="E49">
        <v>-0.78977718706028099</v>
      </c>
      <c r="F49" s="3" t="s">
        <v>18</v>
      </c>
      <c r="G49" s="3" t="s">
        <v>410</v>
      </c>
      <c r="H49" s="3">
        <v>1</v>
      </c>
      <c r="I49" s="5" t="s">
        <v>20</v>
      </c>
      <c r="J49" s="5" t="s">
        <v>410</v>
      </c>
      <c r="K49" s="5">
        <v>1</v>
      </c>
      <c r="L49" s="7" t="s">
        <v>21</v>
      </c>
      <c r="M49" s="7" t="s">
        <v>410</v>
      </c>
      <c r="N49" s="7">
        <v>1</v>
      </c>
      <c r="O49" s="9" t="s">
        <v>35</v>
      </c>
      <c r="P49" s="9" t="s">
        <v>410</v>
      </c>
      <c r="Q49" s="9">
        <v>0.876</v>
      </c>
      <c r="R49" t="s">
        <v>23</v>
      </c>
      <c r="S49">
        <v>4</v>
      </c>
    </row>
    <row r="50" spans="1:19">
      <c r="A50">
        <v>245</v>
      </c>
      <c r="B50" t="s">
        <v>309</v>
      </c>
      <c r="C50">
        <v>738.64530000000002</v>
      </c>
      <c r="D50">
        <v>287.8</v>
      </c>
      <c r="E50">
        <v>-0.82056417336696097</v>
      </c>
      <c r="F50" s="3" t="s">
        <v>18</v>
      </c>
      <c r="G50" s="3" t="s">
        <v>410</v>
      </c>
      <c r="H50" s="3">
        <v>1</v>
      </c>
      <c r="I50" s="5" t="s">
        <v>20</v>
      </c>
      <c r="J50" s="5" t="s">
        <v>410</v>
      </c>
      <c r="K50" s="5">
        <v>1</v>
      </c>
      <c r="L50" s="7" t="s">
        <v>21</v>
      </c>
      <c r="M50" s="7" t="s">
        <v>410</v>
      </c>
      <c r="N50" s="7">
        <v>0.97</v>
      </c>
      <c r="O50" s="9" t="s">
        <v>35</v>
      </c>
      <c r="P50" s="9" t="s">
        <v>410</v>
      </c>
      <c r="Q50" s="9">
        <v>0.626</v>
      </c>
      <c r="R50" t="s">
        <v>23</v>
      </c>
      <c r="S50">
        <v>4</v>
      </c>
    </row>
    <row r="51" spans="1:19">
      <c r="A51">
        <v>258</v>
      </c>
      <c r="B51" t="s">
        <v>320</v>
      </c>
      <c r="C51">
        <v>773.65359999999998</v>
      </c>
      <c r="D51">
        <v>297</v>
      </c>
      <c r="E51">
        <v>-0.78977558884673704</v>
      </c>
      <c r="F51" s="3" t="s">
        <v>18</v>
      </c>
      <c r="G51" s="3" t="s">
        <v>410</v>
      </c>
      <c r="H51" s="3">
        <v>1</v>
      </c>
      <c r="I51" s="5" t="s">
        <v>20</v>
      </c>
      <c r="J51" s="5" t="s">
        <v>410</v>
      </c>
      <c r="K51" s="5">
        <v>1</v>
      </c>
      <c r="L51" s="7" t="s">
        <v>21</v>
      </c>
      <c r="M51" s="7" t="s">
        <v>410</v>
      </c>
      <c r="N51" s="7">
        <v>1</v>
      </c>
      <c r="O51" s="9" t="s">
        <v>35</v>
      </c>
      <c r="P51" s="9" t="s">
        <v>410</v>
      </c>
      <c r="Q51" s="9">
        <v>0.87</v>
      </c>
      <c r="R51" t="s">
        <v>23</v>
      </c>
      <c r="S51">
        <v>4</v>
      </c>
    </row>
    <row r="52" spans="1:19">
      <c r="A52">
        <v>287</v>
      </c>
      <c r="B52" t="s">
        <v>348</v>
      </c>
      <c r="C52">
        <v>735.57799999999997</v>
      </c>
      <c r="D52">
        <v>290.3</v>
      </c>
      <c r="E52">
        <v>-0.75668897306581995</v>
      </c>
      <c r="F52" s="3" t="s">
        <v>18</v>
      </c>
      <c r="G52" s="3" t="s">
        <v>410</v>
      </c>
      <c r="H52" s="3">
        <v>1</v>
      </c>
      <c r="I52" s="5" t="s">
        <v>20</v>
      </c>
      <c r="J52" s="5" t="s">
        <v>410</v>
      </c>
      <c r="K52" s="5">
        <v>1</v>
      </c>
      <c r="L52" s="7" t="s">
        <v>21</v>
      </c>
      <c r="M52" s="7" t="s">
        <v>410</v>
      </c>
      <c r="N52" s="7">
        <v>0.86</v>
      </c>
      <c r="O52" s="9" t="s">
        <v>35</v>
      </c>
      <c r="P52" s="9" t="s">
        <v>410</v>
      </c>
      <c r="Q52" s="9">
        <v>0.69399999999999995</v>
      </c>
      <c r="R52" t="s">
        <v>23</v>
      </c>
      <c r="S52">
        <v>4</v>
      </c>
    </row>
    <row r="53" spans="1:19">
      <c r="A53">
        <v>303</v>
      </c>
      <c r="B53" t="s">
        <v>362</v>
      </c>
      <c r="C53">
        <v>793.60239999999999</v>
      </c>
      <c r="D53">
        <v>294.7</v>
      </c>
      <c r="E53">
        <v>-0.71630171793958697</v>
      </c>
      <c r="F53" s="3" t="s">
        <v>18</v>
      </c>
      <c r="G53" s="3" t="s">
        <v>410</v>
      </c>
      <c r="H53" s="3">
        <v>1</v>
      </c>
      <c r="I53" s="5" t="s">
        <v>20</v>
      </c>
      <c r="J53" s="5" t="s">
        <v>410</v>
      </c>
      <c r="K53" s="5">
        <v>1</v>
      </c>
      <c r="L53" s="7" t="s">
        <v>21</v>
      </c>
      <c r="M53" s="7" t="s">
        <v>410</v>
      </c>
      <c r="N53" s="7">
        <v>0.98</v>
      </c>
      <c r="O53" s="9" t="s">
        <v>35</v>
      </c>
      <c r="P53" s="9" t="s">
        <v>410</v>
      </c>
      <c r="Q53" s="9">
        <v>0.79600000000000004</v>
      </c>
      <c r="R53" t="s">
        <v>23</v>
      </c>
      <c r="S53">
        <v>4</v>
      </c>
    </row>
    <row r="54" spans="1:19">
      <c r="A54">
        <v>320</v>
      </c>
      <c r="B54" t="s">
        <v>379</v>
      </c>
      <c r="C54">
        <v>813.68489999999997</v>
      </c>
      <c r="D54">
        <v>302.2</v>
      </c>
      <c r="E54">
        <v>-0.77637856404101102</v>
      </c>
      <c r="F54" s="3" t="s">
        <v>18</v>
      </c>
      <c r="G54" s="3" t="s">
        <v>410</v>
      </c>
      <c r="H54" s="3">
        <v>1</v>
      </c>
      <c r="I54" s="5" t="s">
        <v>20</v>
      </c>
      <c r="J54" s="5" t="s">
        <v>410</v>
      </c>
      <c r="K54" s="5">
        <v>1</v>
      </c>
      <c r="L54" s="7" t="s">
        <v>21</v>
      </c>
      <c r="M54" s="7" t="s">
        <v>410</v>
      </c>
      <c r="N54" s="7">
        <v>1</v>
      </c>
      <c r="O54" s="9" t="s">
        <v>35</v>
      </c>
      <c r="P54" s="9" t="s">
        <v>410</v>
      </c>
      <c r="Q54" s="9">
        <v>0.877</v>
      </c>
      <c r="R54" t="s">
        <v>23</v>
      </c>
      <c r="S54">
        <v>4</v>
      </c>
    </row>
    <row r="55" spans="1:19">
      <c r="A55">
        <v>354</v>
      </c>
      <c r="B55" t="s">
        <v>348</v>
      </c>
      <c r="C55">
        <v>731.60670000000005</v>
      </c>
      <c r="D55">
        <v>288.39999999999998</v>
      </c>
      <c r="E55">
        <v>-0.78982313569895302</v>
      </c>
      <c r="F55" s="3" t="s">
        <v>18</v>
      </c>
      <c r="G55" s="3" t="s">
        <v>410</v>
      </c>
      <c r="H55" s="3">
        <v>1</v>
      </c>
      <c r="I55" s="5" t="s">
        <v>20</v>
      </c>
      <c r="J55" s="5" t="s">
        <v>410</v>
      </c>
      <c r="K55" s="5">
        <v>1</v>
      </c>
      <c r="L55" s="7" t="s">
        <v>21</v>
      </c>
      <c r="M55" s="7" t="s">
        <v>410</v>
      </c>
      <c r="N55" s="7">
        <v>1</v>
      </c>
      <c r="O55" s="9" t="s">
        <v>35</v>
      </c>
      <c r="P55" s="9" t="s">
        <v>410</v>
      </c>
      <c r="Q55" s="9">
        <v>0.91900000000000004</v>
      </c>
      <c r="R55" t="s">
        <v>23</v>
      </c>
      <c r="S55">
        <v>4</v>
      </c>
    </row>
    <row r="56" spans="1:19">
      <c r="A56">
        <v>18</v>
      </c>
      <c r="B56" t="s">
        <v>62</v>
      </c>
      <c r="C56">
        <v>780.67169999999999</v>
      </c>
      <c r="D56">
        <v>295.8</v>
      </c>
      <c r="E56">
        <v>-0.80003951582909805</v>
      </c>
      <c r="F56" s="3" t="s">
        <v>18</v>
      </c>
      <c r="G56" s="3" t="s">
        <v>410</v>
      </c>
      <c r="H56" s="3">
        <v>1</v>
      </c>
      <c r="I56" s="5" t="s">
        <v>20</v>
      </c>
      <c r="J56" s="5" t="s">
        <v>410</v>
      </c>
      <c r="K56" s="5">
        <v>1</v>
      </c>
      <c r="L56" s="7" t="s">
        <v>21</v>
      </c>
      <c r="M56" s="7" t="s">
        <v>410</v>
      </c>
      <c r="N56" s="7">
        <v>1</v>
      </c>
      <c r="O56" s="9" t="s">
        <v>63</v>
      </c>
      <c r="P56" s="9" t="s">
        <v>410</v>
      </c>
      <c r="Q56" s="9">
        <v>0.96499999999999997</v>
      </c>
      <c r="R56" t="s">
        <v>23</v>
      </c>
      <c r="S56">
        <v>4</v>
      </c>
    </row>
    <row r="57" spans="1:19">
      <c r="A57">
        <v>50</v>
      </c>
      <c r="B57" t="s">
        <v>113</v>
      </c>
      <c r="C57">
        <v>830.67660000000001</v>
      </c>
      <c r="D57">
        <v>298.10000000000002</v>
      </c>
      <c r="E57">
        <v>-0.749106448811517</v>
      </c>
      <c r="F57" s="3" t="s">
        <v>18</v>
      </c>
      <c r="G57" s="3" t="s">
        <v>410</v>
      </c>
      <c r="H57" s="3">
        <v>1</v>
      </c>
      <c r="I57" s="5" t="s">
        <v>20</v>
      </c>
      <c r="J57" s="5" t="s">
        <v>410</v>
      </c>
      <c r="K57" s="5">
        <v>1</v>
      </c>
      <c r="L57" s="7" t="s">
        <v>21</v>
      </c>
      <c r="M57" s="7" t="s">
        <v>410</v>
      </c>
      <c r="N57" s="7">
        <v>0.97</v>
      </c>
      <c r="O57" s="9" t="s">
        <v>63</v>
      </c>
      <c r="P57" s="9" t="s">
        <v>410</v>
      </c>
      <c r="Q57" s="9">
        <v>0.95199999999999996</v>
      </c>
      <c r="R57" t="s">
        <v>23</v>
      </c>
      <c r="S57">
        <v>4</v>
      </c>
    </row>
    <row r="58" spans="1:19">
      <c r="A58">
        <v>75</v>
      </c>
      <c r="B58" t="s">
        <v>138</v>
      </c>
      <c r="C58">
        <v>802.6173</v>
      </c>
      <c r="D58">
        <v>291.39999999999998</v>
      </c>
      <c r="E58">
        <v>-0.72113611405166</v>
      </c>
      <c r="F58" s="3" t="s">
        <v>18</v>
      </c>
      <c r="G58" s="3" t="s">
        <v>410</v>
      </c>
      <c r="H58" s="3">
        <v>1</v>
      </c>
      <c r="I58" s="5" t="s">
        <v>20</v>
      </c>
      <c r="J58" s="5" t="s">
        <v>410</v>
      </c>
      <c r="K58" s="5">
        <v>1</v>
      </c>
      <c r="L58" s="7" t="s">
        <v>21</v>
      </c>
      <c r="M58" s="7" t="s">
        <v>410</v>
      </c>
      <c r="N58" s="7">
        <v>0.94</v>
      </c>
      <c r="O58" s="9" t="s">
        <v>63</v>
      </c>
      <c r="P58" s="9" t="s">
        <v>410</v>
      </c>
      <c r="Q58" s="9">
        <v>0.84499999999999997</v>
      </c>
      <c r="R58" t="s">
        <v>23</v>
      </c>
      <c r="S58">
        <v>4</v>
      </c>
    </row>
    <row r="59" spans="1:19">
      <c r="A59">
        <v>92</v>
      </c>
      <c r="B59" t="s">
        <v>164</v>
      </c>
      <c r="C59">
        <v>874.6748</v>
      </c>
      <c r="D59">
        <v>307.89999999999998</v>
      </c>
      <c r="E59">
        <v>-0.69818017420118395</v>
      </c>
      <c r="F59" s="3" t="s">
        <v>18</v>
      </c>
      <c r="G59" s="3" t="s">
        <v>410</v>
      </c>
      <c r="H59" s="3">
        <v>1</v>
      </c>
      <c r="I59" s="5" t="s">
        <v>20</v>
      </c>
      <c r="J59" s="5" t="s">
        <v>410</v>
      </c>
      <c r="K59" s="5">
        <v>1</v>
      </c>
      <c r="L59" s="7" t="s">
        <v>21</v>
      </c>
      <c r="M59" s="7" t="s">
        <v>410</v>
      </c>
      <c r="N59" s="7">
        <v>0.95</v>
      </c>
      <c r="O59" s="9" t="s">
        <v>63</v>
      </c>
      <c r="P59" s="9" t="s">
        <v>410</v>
      </c>
      <c r="Q59" s="9">
        <v>0.97799999999999998</v>
      </c>
      <c r="R59" t="s">
        <v>23</v>
      </c>
      <c r="S59">
        <v>4</v>
      </c>
    </row>
    <row r="60" spans="1:19">
      <c r="A60">
        <v>121</v>
      </c>
      <c r="B60" t="s">
        <v>192</v>
      </c>
      <c r="C60">
        <v>828.6816</v>
      </c>
      <c r="D60">
        <v>298.2</v>
      </c>
      <c r="E60">
        <v>-0.75633396988837398</v>
      </c>
      <c r="F60" s="3" t="s">
        <v>18</v>
      </c>
      <c r="G60" s="3" t="s">
        <v>410</v>
      </c>
      <c r="H60" s="3">
        <v>1</v>
      </c>
      <c r="I60" s="5" t="s">
        <v>20</v>
      </c>
      <c r="J60" s="5" t="s">
        <v>410</v>
      </c>
      <c r="K60" s="5">
        <v>1</v>
      </c>
      <c r="L60" s="7" t="s">
        <v>21</v>
      </c>
      <c r="M60" s="7" t="s">
        <v>410</v>
      </c>
      <c r="N60" s="7">
        <v>0.99</v>
      </c>
      <c r="O60" s="9" t="s">
        <v>63</v>
      </c>
      <c r="P60" s="9" t="s">
        <v>410</v>
      </c>
      <c r="Q60" s="9">
        <v>0.97199999999999998</v>
      </c>
      <c r="R60" t="s">
        <v>23</v>
      </c>
      <c r="S60">
        <v>4</v>
      </c>
    </row>
    <row r="61" spans="1:19">
      <c r="A61">
        <v>130</v>
      </c>
      <c r="B61" t="s">
        <v>203</v>
      </c>
      <c r="C61">
        <v>854.67790000000002</v>
      </c>
      <c r="D61">
        <v>302</v>
      </c>
      <c r="E61">
        <v>-0.72360775125559895</v>
      </c>
      <c r="F61" s="3" t="s">
        <v>18</v>
      </c>
      <c r="G61" s="3" t="s">
        <v>410</v>
      </c>
      <c r="H61" s="3">
        <v>1</v>
      </c>
      <c r="I61" s="5" t="s">
        <v>20</v>
      </c>
      <c r="J61" s="5" t="s">
        <v>410</v>
      </c>
      <c r="K61" s="5">
        <v>1</v>
      </c>
      <c r="L61" s="7" t="s">
        <v>21</v>
      </c>
      <c r="M61" s="7" t="s">
        <v>410</v>
      </c>
      <c r="N61" s="7">
        <v>1</v>
      </c>
      <c r="O61" s="9" t="s">
        <v>63</v>
      </c>
      <c r="P61" s="9" t="s">
        <v>410</v>
      </c>
      <c r="Q61" s="9">
        <v>0.83499999999999996</v>
      </c>
      <c r="R61" t="s">
        <v>23</v>
      </c>
      <c r="S61">
        <v>4</v>
      </c>
    </row>
    <row r="62" spans="1:19">
      <c r="A62">
        <v>143</v>
      </c>
      <c r="B62" t="s">
        <v>220</v>
      </c>
      <c r="C62">
        <v>710.59339999999997</v>
      </c>
      <c r="D62">
        <v>281</v>
      </c>
      <c r="E62">
        <v>-0.79998557612293597</v>
      </c>
      <c r="F62" s="3" t="s">
        <v>18</v>
      </c>
      <c r="G62" s="3" t="s">
        <v>410</v>
      </c>
      <c r="H62" s="3">
        <v>1</v>
      </c>
      <c r="I62" s="5" t="s">
        <v>20</v>
      </c>
      <c r="J62" s="5" t="s">
        <v>410</v>
      </c>
      <c r="K62" s="5">
        <v>1</v>
      </c>
      <c r="L62" s="7" t="s">
        <v>21</v>
      </c>
      <c r="M62" s="7" t="s">
        <v>410</v>
      </c>
      <c r="N62" s="7">
        <v>0.96</v>
      </c>
      <c r="O62" s="9" t="s">
        <v>63</v>
      </c>
      <c r="P62" s="9" t="s">
        <v>410</v>
      </c>
      <c r="Q62" s="9">
        <v>0.89300000000000002</v>
      </c>
      <c r="R62" t="s">
        <v>23</v>
      </c>
      <c r="S62">
        <v>4</v>
      </c>
    </row>
    <row r="63" spans="1:19">
      <c r="A63">
        <v>155</v>
      </c>
      <c r="B63" t="s">
        <v>235</v>
      </c>
      <c r="C63">
        <v>872.65909999999997</v>
      </c>
      <c r="D63">
        <v>306</v>
      </c>
      <c r="E63">
        <v>-0.68473080790283802</v>
      </c>
      <c r="F63" s="3" t="s">
        <v>18</v>
      </c>
      <c r="G63" s="3" t="s">
        <v>410</v>
      </c>
      <c r="H63" s="3">
        <v>1</v>
      </c>
      <c r="I63" s="5" t="s">
        <v>20</v>
      </c>
      <c r="J63" s="5" t="s">
        <v>410</v>
      </c>
      <c r="K63" s="5">
        <v>1</v>
      </c>
      <c r="L63" s="7" t="s">
        <v>21</v>
      </c>
      <c r="M63" s="7" t="s">
        <v>410</v>
      </c>
      <c r="N63" s="7">
        <v>0.71</v>
      </c>
      <c r="O63" s="9" t="s">
        <v>63</v>
      </c>
      <c r="P63" s="9" t="s">
        <v>410</v>
      </c>
      <c r="Q63" s="9">
        <v>0.96</v>
      </c>
      <c r="R63" t="s">
        <v>23</v>
      </c>
      <c r="S63">
        <v>4</v>
      </c>
    </row>
    <row r="64" spans="1:19">
      <c r="A64">
        <v>182</v>
      </c>
      <c r="B64" t="s">
        <v>260</v>
      </c>
      <c r="C64">
        <v>506.33330000000001</v>
      </c>
      <c r="D64">
        <v>213.1</v>
      </c>
      <c r="E64">
        <v>-0.76795258260312904</v>
      </c>
      <c r="F64" s="3" t="s">
        <v>18</v>
      </c>
      <c r="G64" s="3" t="s">
        <v>410</v>
      </c>
      <c r="H64" s="3">
        <v>1</v>
      </c>
      <c r="I64" s="5" t="s">
        <v>20</v>
      </c>
      <c r="J64" s="5" t="s">
        <v>410</v>
      </c>
      <c r="K64" s="5">
        <v>0.92</v>
      </c>
      <c r="L64" s="7" t="s">
        <v>21</v>
      </c>
      <c r="M64" s="7" t="s">
        <v>410</v>
      </c>
      <c r="N64" s="7">
        <v>0.7</v>
      </c>
      <c r="O64" s="9" t="s">
        <v>63</v>
      </c>
      <c r="P64" s="9" t="s">
        <v>410</v>
      </c>
      <c r="Q64" s="9">
        <v>0.92</v>
      </c>
      <c r="R64" t="s">
        <v>23</v>
      </c>
      <c r="S64">
        <v>4</v>
      </c>
    </row>
    <row r="65" spans="1:19">
      <c r="A65">
        <v>215</v>
      </c>
      <c r="B65" t="s">
        <v>287</v>
      </c>
      <c r="C65">
        <v>798.65060000000005</v>
      </c>
      <c r="D65">
        <v>291.60000000000002</v>
      </c>
      <c r="E65">
        <v>-0.75886514054593601</v>
      </c>
      <c r="F65" s="3" t="s">
        <v>18</v>
      </c>
      <c r="G65" s="3" t="s">
        <v>410</v>
      </c>
      <c r="H65" s="3">
        <v>1</v>
      </c>
      <c r="I65" s="5" t="s">
        <v>20</v>
      </c>
      <c r="J65" s="5" t="s">
        <v>410</v>
      </c>
      <c r="K65" s="5">
        <v>1</v>
      </c>
      <c r="L65" s="7" t="s">
        <v>21</v>
      </c>
      <c r="M65" s="7" t="s">
        <v>410</v>
      </c>
      <c r="N65" s="7">
        <v>0.99</v>
      </c>
      <c r="O65" s="9" t="s">
        <v>63</v>
      </c>
      <c r="P65" s="9" t="s">
        <v>410</v>
      </c>
      <c r="Q65" s="9">
        <v>0.98299999999999998</v>
      </c>
      <c r="R65" t="s">
        <v>23</v>
      </c>
      <c r="S65">
        <v>4</v>
      </c>
    </row>
    <row r="66" spans="1:19">
      <c r="A66">
        <v>275</v>
      </c>
      <c r="B66" t="s">
        <v>337</v>
      </c>
      <c r="C66">
        <v>756.63530000000003</v>
      </c>
      <c r="D66">
        <v>289.3</v>
      </c>
      <c r="E66">
        <v>-0.79047740435737501</v>
      </c>
      <c r="F66" s="3" t="s">
        <v>18</v>
      </c>
      <c r="G66" s="3" t="s">
        <v>410</v>
      </c>
      <c r="H66" s="3">
        <v>1</v>
      </c>
      <c r="I66" s="5" t="s">
        <v>20</v>
      </c>
      <c r="J66" s="5" t="s">
        <v>410</v>
      </c>
      <c r="K66" s="5">
        <v>1</v>
      </c>
      <c r="L66" s="7" t="s">
        <v>21</v>
      </c>
      <c r="M66" s="7" t="s">
        <v>410</v>
      </c>
      <c r="N66" s="7">
        <v>0.96</v>
      </c>
      <c r="O66" s="9" t="s">
        <v>63</v>
      </c>
      <c r="P66" s="9" t="s">
        <v>410</v>
      </c>
      <c r="Q66" s="9">
        <v>0.9</v>
      </c>
      <c r="R66" t="s">
        <v>23</v>
      </c>
      <c r="S66">
        <v>4</v>
      </c>
    </row>
    <row r="67" spans="1:19">
      <c r="A67">
        <v>309</v>
      </c>
      <c r="B67" t="s">
        <v>370</v>
      </c>
      <c r="C67">
        <v>896.76829999999995</v>
      </c>
      <c r="D67">
        <v>318.8</v>
      </c>
      <c r="E67">
        <v>-0.76701163439497599</v>
      </c>
      <c r="F67" s="3" t="s">
        <v>18</v>
      </c>
      <c r="G67" s="3" t="s">
        <v>410</v>
      </c>
      <c r="H67" s="3">
        <v>1</v>
      </c>
      <c r="I67" s="5" t="s">
        <v>20</v>
      </c>
      <c r="J67" s="5" t="s">
        <v>410</v>
      </c>
      <c r="K67" s="5">
        <v>1</v>
      </c>
      <c r="L67" s="7" t="s">
        <v>21</v>
      </c>
      <c r="M67" s="7" t="s">
        <v>410</v>
      </c>
      <c r="N67" s="7">
        <v>0.96</v>
      </c>
      <c r="O67" s="9" t="s">
        <v>63</v>
      </c>
      <c r="P67" s="9" t="s">
        <v>410</v>
      </c>
      <c r="Q67" s="9">
        <v>0.98799999999999999</v>
      </c>
      <c r="R67" t="s">
        <v>23</v>
      </c>
      <c r="S67">
        <v>4</v>
      </c>
    </row>
    <row r="68" spans="1:19">
      <c r="A68">
        <v>326</v>
      </c>
      <c r="B68" t="s">
        <v>260</v>
      </c>
      <c r="C68">
        <v>460.32900000000001</v>
      </c>
      <c r="D68">
        <v>214</v>
      </c>
      <c r="E68">
        <v>-0.81501877201662898</v>
      </c>
      <c r="F68" s="3" t="s">
        <v>18</v>
      </c>
      <c r="G68" s="3" t="s">
        <v>410</v>
      </c>
      <c r="H68" s="3">
        <v>1</v>
      </c>
      <c r="I68" s="5" t="s">
        <v>20</v>
      </c>
      <c r="J68" s="5" t="s">
        <v>410</v>
      </c>
      <c r="K68" s="5">
        <v>0.92</v>
      </c>
      <c r="L68" s="7" t="s">
        <v>21</v>
      </c>
      <c r="M68" s="7" t="s">
        <v>410</v>
      </c>
      <c r="N68" s="7">
        <v>0.54</v>
      </c>
      <c r="O68" s="9" t="s">
        <v>63</v>
      </c>
      <c r="P68" s="9" t="s">
        <v>410</v>
      </c>
      <c r="Q68" s="9">
        <v>0.92100000000000004</v>
      </c>
      <c r="R68" t="s">
        <v>23</v>
      </c>
      <c r="S68">
        <v>4</v>
      </c>
    </row>
    <row r="69" spans="1:19">
      <c r="A69">
        <v>330</v>
      </c>
      <c r="B69" t="s">
        <v>387</v>
      </c>
      <c r="C69">
        <v>766.58090000000004</v>
      </c>
      <c r="D69">
        <v>288.7</v>
      </c>
      <c r="E69">
        <v>-0.72497262559909403</v>
      </c>
      <c r="F69" s="3" t="s">
        <v>18</v>
      </c>
      <c r="G69" s="3" t="s">
        <v>410</v>
      </c>
      <c r="H69" s="3">
        <v>1</v>
      </c>
      <c r="I69" s="5" t="s">
        <v>20</v>
      </c>
      <c r="J69" s="5" t="s">
        <v>410</v>
      </c>
      <c r="K69" s="5">
        <v>1</v>
      </c>
      <c r="L69" s="7" t="s">
        <v>21</v>
      </c>
      <c r="M69" s="7" t="s">
        <v>410</v>
      </c>
      <c r="N69" s="7">
        <v>0.97</v>
      </c>
      <c r="O69" s="9" t="s">
        <v>63</v>
      </c>
      <c r="P69" s="9" t="s">
        <v>410</v>
      </c>
      <c r="Q69" s="9">
        <v>0.73499999999999999</v>
      </c>
      <c r="R69" t="s">
        <v>23</v>
      </c>
      <c r="S69">
        <v>4</v>
      </c>
    </row>
    <row r="70" spans="1:19">
      <c r="A70">
        <v>1</v>
      </c>
      <c r="B70" t="s">
        <v>17</v>
      </c>
      <c r="C70">
        <v>666.64</v>
      </c>
      <c r="D70">
        <v>280.19</v>
      </c>
      <c r="E70">
        <v>-0.89566182920725601</v>
      </c>
      <c r="F70" s="3" t="s">
        <v>18</v>
      </c>
      <c r="G70" s="3" t="s">
        <v>410</v>
      </c>
      <c r="H70" s="3">
        <v>1</v>
      </c>
      <c r="I70" s="5" t="s">
        <v>20</v>
      </c>
      <c r="J70" s="5" t="s">
        <v>410</v>
      </c>
      <c r="K70" s="5">
        <v>1</v>
      </c>
      <c r="L70" s="7" t="s">
        <v>21</v>
      </c>
      <c r="M70" s="7" t="s">
        <v>410</v>
      </c>
      <c r="N70" s="7">
        <v>1</v>
      </c>
      <c r="O70" s="9" t="s">
        <v>22</v>
      </c>
      <c r="P70" s="9" t="s">
        <v>410</v>
      </c>
      <c r="Q70" s="9">
        <v>0.98399999999999999</v>
      </c>
      <c r="R70" t="s">
        <v>23</v>
      </c>
      <c r="S70">
        <v>4</v>
      </c>
    </row>
    <row r="71" spans="1:19">
      <c r="A71">
        <v>80</v>
      </c>
      <c r="B71" t="s">
        <v>146</v>
      </c>
      <c r="C71">
        <v>658.65020000000004</v>
      </c>
      <c r="D71">
        <v>281.91000000000003</v>
      </c>
      <c r="E71">
        <v>-0.91478285572384299</v>
      </c>
      <c r="F71" s="3" t="s">
        <v>18</v>
      </c>
      <c r="G71" s="3" t="s">
        <v>410</v>
      </c>
      <c r="H71" s="3">
        <v>1</v>
      </c>
      <c r="I71" s="5" t="s">
        <v>20</v>
      </c>
      <c r="J71" s="5" t="s">
        <v>410</v>
      </c>
      <c r="K71" s="5">
        <v>1</v>
      </c>
      <c r="L71" s="7" t="s">
        <v>21</v>
      </c>
      <c r="M71" s="7" t="s">
        <v>410</v>
      </c>
      <c r="N71" s="7">
        <v>1</v>
      </c>
      <c r="O71" s="9" t="s">
        <v>22</v>
      </c>
      <c r="P71" s="9" t="s">
        <v>410</v>
      </c>
      <c r="Q71" s="9">
        <v>0.98799999999999999</v>
      </c>
      <c r="R71" t="s">
        <v>23</v>
      </c>
      <c r="S71">
        <v>4</v>
      </c>
    </row>
    <row r="72" spans="1:19">
      <c r="A72">
        <v>88</v>
      </c>
      <c r="B72" t="s">
        <v>159</v>
      </c>
      <c r="C72">
        <v>596.53459999999995</v>
      </c>
      <c r="D72">
        <v>243.6</v>
      </c>
      <c r="E72">
        <v>-0.86853814805806495</v>
      </c>
      <c r="F72" s="3" t="s">
        <v>18</v>
      </c>
      <c r="G72" s="3" t="s">
        <v>410</v>
      </c>
      <c r="H72" s="3">
        <v>1</v>
      </c>
      <c r="I72" s="5" t="s">
        <v>20</v>
      </c>
      <c r="J72" s="5" t="s">
        <v>410</v>
      </c>
      <c r="K72" s="5">
        <v>0.99</v>
      </c>
      <c r="L72" s="7" t="s">
        <v>21</v>
      </c>
      <c r="M72" s="7" t="s">
        <v>410</v>
      </c>
      <c r="N72" s="7">
        <v>0.98</v>
      </c>
      <c r="O72" s="9" t="s">
        <v>22</v>
      </c>
      <c r="P72" s="9" t="s">
        <v>410</v>
      </c>
      <c r="Q72" s="9">
        <v>0.96599999999999997</v>
      </c>
      <c r="R72" t="s">
        <v>23</v>
      </c>
      <c r="S72">
        <v>4</v>
      </c>
    </row>
    <row r="73" spans="1:19">
      <c r="A73">
        <v>229</v>
      </c>
      <c r="B73" t="s">
        <v>297</v>
      </c>
      <c r="C73">
        <v>644.6345</v>
      </c>
      <c r="D73">
        <v>277.7</v>
      </c>
      <c r="E73">
        <v>-0.91473211244465302</v>
      </c>
      <c r="F73" s="3" t="s">
        <v>18</v>
      </c>
      <c r="G73" s="3" t="s">
        <v>410</v>
      </c>
      <c r="H73" s="3">
        <v>1</v>
      </c>
      <c r="I73" s="5" t="s">
        <v>20</v>
      </c>
      <c r="J73" s="5" t="s">
        <v>410</v>
      </c>
      <c r="K73" s="5">
        <v>1</v>
      </c>
      <c r="L73" s="7" t="s">
        <v>21</v>
      </c>
      <c r="M73" s="7" t="s">
        <v>410</v>
      </c>
      <c r="N73" s="7">
        <v>1</v>
      </c>
      <c r="O73" s="9" t="s">
        <v>22</v>
      </c>
      <c r="P73" s="9" t="s">
        <v>410</v>
      </c>
      <c r="Q73" s="9">
        <v>1</v>
      </c>
      <c r="R73" t="s">
        <v>23</v>
      </c>
      <c r="S73">
        <v>4</v>
      </c>
    </row>
    <row r="74" spans="1:19">
      <c r="A74">
        <v>264</v>
      </c>
      <c r="B74" t="s">
        <v>325</v>
      </c>
      <c r="C74">
        <v>640.62440000000004</v>
      </c>
      <c r="D74">
        <v>278.55</v>
      </c>
      <c r="E74">
        <v>-0.909109597292172</v>
      </c>
      <c r="F74" s="3" t="s">
        <v>18</v>
      </c>
      <c r="G74" s="3" t="s">
        <v>410</v>
      </c>
      <c r="H74" s="3">
        <v>1</v>
      </c>
      <c r="I74" s="5" t="s">
        <v>20</v>
      </c>
      <c r="J74" s="5" t="s">
        <v>410</v>
      </c>
      <c r="K74" s="5">
        <v>1</v>
      </c>
      <c r="L74" s="7" t="s">
        <v>21</v>
      </c>
      <c r="M74" s="7" t="s">
        <v>410</v>
      </c>
      <c r="N74" s="7">
        <v>1</v>
      </c>
      <c r="O74" s="9" t="s">
        <v>22</v>
      </c>
      <c r="P74" s="9" t="s">
        <v>410</v>
      </c>
      <c r="Q74" s="9">
        <v>1</v>
      </c>
      <c r="R74" t="s">
        <v>23</v>
      </c>
      <c r="S74">
        <v>4</v>
      </c>
    </row>
    <row r="75" spans="1:19">
      <c r="A75">
        <v>13</v>
      </c>
      <c r="B75" t="s">
        <v>52</v>
      </c>
      <c r="C75">
        <v>876.51570000000004</v>
      </c>
      <c r="D75">
        <v>296.60000000000002</v>
      </c>
      <c r="E75">
        <v>-0.53702471377493999</v>
      </c>
      <c r="F75" s="3" t="s">
        <v>18</v>
      </c>
      <c r="G75" s="3" t="s">
        <v>410</v>
      </c>
      <c r="H75" s="3">
        <v>1</v>
      </c>
      <c r="I75" s="5" t="s">
        <v>20</v>
      </c>
      <c r="J75" s="5" t="s">
        <v>410</v>
      </c>
      <c r="K75" s="5">
        <v>1</v>
      </c>
      <c r="L75" s="7" t="s">
        <v>28</v>
      </c>
      <c r="M75" s="7" t="s">
        <v>410</v>
      </c>
      <c r="N75" s="7">
        <v>1</v>
      </c>
      <c r="O75" s="9" t="s">
        <v>53</v>
      </c>
      <c r="P75" s="9" t="s">
        <v>410</v>
      </c>
      <c r="Q75" s="9">
        <v>1</v>
      </c>
      <c r="R75" t="s">
        <v>23</v>
      </c>
      <c r="S75">
        <v>4</v>
      </c>
    </row>
    <row r="76" spans="1:19">
      <c r="A76">
        <v>15</v>
      </c>
      <c r="B76" t="s">
        <v>58</v>
      </c>
      <c r="C76">
        <v>894.62</v>
      </c>
      <c r="D76">
        <v>304.39999999999998</v>
      </c>
      <c r="E76">
        <v>-0.62111032288100898</v>
      </c>
      <c r="F76" s="3" t="s">
        <v>18</v>
      </c>
      <c r="G76" s="3" t="s">
        <v>410</v>
      </c>
      <c r="H76" s="3">
        <v>1</v>
      </c>
      <c r="I76" s="5" t="s">
        <v>20</v>
      </c>
      <c r="J76" s="5" t="s">
        <v>410</v>
      </c>
      <c r="K76" s="5">
        <v>1</v>
      </c>
      <c r="L76" s="7" t="s">
        <v>28</v>
      </c>
      <c r="M76" s="7" t="s">
        <v>410</v>
      </c>
      <c r="N76" s="7">
        <v>1</v>
      </c>
      <c r="O76" s="9" t="s">
        <v>53</v>
      </c>
      <c r="P76" s="9" t="s">
        <v>410</v>
      </c>
      <c r="Q76" s="9">
        <v>0.97</v>
      </c>
      <c r="R76" t="s">
        <v>23</v>
      </c>
      <c r="S76">
        <v>4</v>
      </c>
    </row>
    <row r="77" spans="1:19">
      <c r="A77">
        <v>35</v>
      </c>
      <c r="B77" t="s">
        <v>90</v>
      </c>
      <c r="C77">
        <v>858.52610000000004</v>
      </c>
      <c r="D77">
        <v>294</v>
      </c>
      <c r="E77">
        <v>-0.56751103616375098</v>
      </c>
      <c r="F77" s="3" t="s">
        <v>18</v>
      </c>
      <c r="G77" s="3" t="s">
        <v>410</v>
      </c>
      <c r="H77" s="3">
        <v>1</v>
      </c>
      <c r="I77" s="5" t="s">
        <v>20</v>
      </c>
      <c r="J77" s="5" t="s">
        <v>410</v>
      </c>
      <c r="K77" s="5">
        <v>0.99</v>
      </c>
      <c r="L77" s="7" t="s">
        <v>28</v>
      </c>
      <c r="M77" s="7" t="s">
        <v>410</v>
      </c>
      <c r="N77" s="7">
        <v>1</v>
      </c>
      <c r="O77" s="9" t="s">
        <v>53</v>
      </c>
      <c r="P77" s="9" t="s">
        <v>410</v>
      </c>
      <c r="Q77" s="9">
        <v>0.97499999999999998</v>
      </c>
      <c r="R77" t="s">
        <v>23</v>
      </c>
      <c r="S77">
        <v>4</v>
      </c>
    </row>
    <row r="78" spans="1:19">
      <c r="A78">
        <v>55</v>
      </c>
      <c r="B78" t="s">
        <v>118</v>
      </c>
      <c r="C78">
        <v>860.53930000000003</v>
      </c>
      <c r="D78">
        <v>294.8</v>
      </c>
      <c r="E78">
        <v>-0.57846319384191203</v>
      </c>
      <c r="F78" s="3" t="s">
        <v>18</v>
      </c>
      <c r="G78" s="3" t="s">
        <v>410</v>
      </c>
      <c r="H78" s="3">
        <v>1</v>
      </c>
      <c r="I78" s="5" t="s">
        <v>20</v>
      </c>
      <c r="J78" s="5" t="s">
        <v>410</v>
      </c>
      <c r="K78" s="5">
        <v>1</v>
      </c>
      <c r="L78" s="7" t="s">
        <v>28</v>
      </c>
      <c r="M78" s="7" t="s">
        <v>410</v>
      </c>
      <c r="N78" s="7">
        <v>1</v>
      </c>
      <c r="O78" s="9" t="s">
        <v>53</v>
      </c>
      <c r="P78" s="9" t="s">
        <v>410</v>
      </c>
      <c r="Q78" s="9">
        <v>0.99199999999999999</v>
      </c>
      <c r="R78" t="s">
        <v>23</v>
      </c>
      <c r="S78">
        <v>4</v>
      </c>
    </row>
    <row r="79" spans="1:19">
      <c r="A79">
        <v>67</v>
      </c>
      <c r="B79" t="s">
        <v>130</v>
      </c>
      <c r="C79">
        <v>842.59109999999998</v>
      </c>
      <c r="D79">
        <v>294.89999999999998</v>
      </c>
      <c r="E79">
        <v>-0.65030329098124195</v>
      </c>
      <c r="F79" s="3" t="s">
        <v>18</v>
      </c>
      <c r="G79" s="3" t="s">
        <v>410</v>
      </c>
      <c r="H79" s="3">
        <v>1</v>
      </c>
      <c r="I79" s="5" t="s">
        <v>20</v>
      </c>
      <c r="J79" s="5" t="s">
        <v>410</v>
      </c>
      <c r="K79" s="5">
        <v>1</v>
      </c>
      <c r="L79" s="7" t="s">
        <v>28</v>
      </c>
      <c r="M79" s="7" t="s">
        <v>410</v>
      </c>
      <c r="N79" s="7">
        <v>1</v>
      </c>
      <c r="O79" s="9" t="s">
        <v>53</v>
      </c>
      <c r="P79" s="9" t="s">
        <v>410</v>
      </c>
      <c r="Q79" s="9">
        <v>0.64400000000000002</v>
      </c>
      <c r="R79" t="s">
        <v>23</v>
      </c>
      <c r="S79">
        <v>4</v>
      </c>
    </row>
    <row r="80" spans="1:19">
      <c r="A80">
        <v>68</v>
      </c>
      <c r="B80" t="s">
        <v>131</v>
      </c>
      <c r="C80">
        <v>874.46109999999999</v>
      </c>
      <c r="D80">
        <v>287.10000000000002</v>
      </c>
      <c r="E80">
        <v>-0.48471878134614599</v>
      </c>
      <c r="F80" s="3" t="s">
        <v>18</v>
      </c>
      <c r="G80" s="3" t="s">
        <v>410</v>
      </c>
      <c r="H80" s="3">
        <v>0.996</v>
      </c>
      <c r="I80" s="5" t="s">
        <v>20</v>
      </c>
      <c r="J80" s="5" t="s">
        <v>410</v>
      </c>
      <c r="K80" s="5">
        <v>0.81</v>
      </c>
      <c r="L80" s="7" t="s">
        <v>28</v>
      </c>
      <c r="M80" s="7" t="s">
        <v>410</v>
      </c>
      <c r="N80" s="7">
        <v>1</v>
      </c>
      <c r="O80" s="9" t="s">
        <v>53</v>
      </c>
      <c r="P80" s="9" t="s">
        <v>410</v>
      </c>
      <c r="Q80" s="9">
        <v>0.82399999999999995</v>
      </c>
      <c r="R80" t="s">
        <v>23</v>
      </c>
      <c r="S80">
        <v>4</v>
      </c>
    </row>
    <row r="81" spans="1:19">
      <c r="A81">
        <v>109</v>
      </c>
      <c r="B81" t="s">
        <v>130</v>
      </c>
      <c r="C81">
        <v>864.57299999999998</v>
      </c>
      <c r="D81">
        <v>298.60000000000002</v>
      </c>
      <c r="E81">
        <v>-0.607659358369119</v>
      </c>
      <c r="F81" s="3" t="s">
        <v>18</v>
      </c>
      <c r="G81" s="3" t="s">
        <v>410</v>
      </c>
      <c r="H81" s="3">
        <v>1</v>
      </c>
      <c r="I81" s="5" t="s">
        <v>20</v>
      </c>
      <c r="J81" s="5" t="s">
        <v>410</v>
      </c>
      <c r="K81" s="5">
        <v>1</v>
      </c>
      <c r="L81" s="7" t="s">
        <v>28</v>
      </c>
      <c r="M81" s="7" t="s">
        <v>410</v>
      </c>
      <c r="N81" s="7">
        <v>1</v>
      </c>
      <c r="O81" s="9" t="s">
        <v>53</v>
      </c>
      <c r="P81" s="9" t="s">
        <v>410</v>
      </c>
      <c r="Q81" s="9">
        <v>0.90400000000000003</v>
      </c>
      <c r="R81" t="s">
        <v>23</v>
      </c>
      <c r="S81">
        <v>4</v>
      </c>
    </row>
    <row r="82" spans="1:19">
      <c r="A82">
        <v>167</v>
      </c>
      <c r="B82" t="s">
        <v>245</v>
      </c>
      <c r="C82">
        <v>777.54200000000003</v>
      </c>
      <c r="D82">
        <v>265.5</v>
      </c>
      <c r="E82">
        <v>-0.67383398836773301</v>
      </c>
      <c r="F82" s="3" t="s">
        <v>18</v>
      </c>
      <c r="G82" s="3" t="s">
        <v>410</v>
      </c>
      <c r="H82" s="3">
        <v>1</v>
      </c>
      <c r="I82" s="5" t="s">
        <v>20</v>
      </c>
      <c r="J82" s="5" t="s">
        <v>410</v>
      </c>
      <c r="K82" s="5">
        <v>0.69</v>
      </c>
      <c r="L82" s="7" t="s">
        <v>28</v>
      </c>
      <c r="M82" s="7" t="s">
        <v>410</v>
      </c>
      <c r="N82" s="7">
        <v>1</v>
      </c>
      <c r="O82" s="9" t="s">
        <v>53</v>
      </c>
      <c r="P82" s="9" t="s">
        <v>410</v>
      </c>
      <c r="Q82" s="9">
        <v>0.51900000000000002</v>
      </c>
      <c r="R82" t="s">
        <v>23</v>
      </c>
      <c r="S82">
        <v>4</v>
      </c>
    </row>
    <row r="83" spans="1:19">
      <c r="A83">
        <v>184</v>
      </c>
      <c r="B83" t="s">
        <v>52</v>
      </c>
      <c r="C83">
        <v>882.52369999999996</v>
      </c>
      <c r="D83">
        <v>299.5</v>
      </c>
      <c r="E83">
        <v>-0.53831646984986004</v>
      </c>
      <c r="F83" s="3" t="s">
        <v>18</v>
      </c>
      <c r="G83" s="3" t="s">
        <v>410</v>
      </c>
      <c r="H83" s="3">
        <v>0.996</v>
      </c>
      <c r="I83" s="5" t="s">
        <v>20</v>
      </c>
      <c r="J83" s="5" t="s">
        <v>410</v>
      </c>
      <c r="K83" s="5">
        <v>1</v>
      </c>
      <c r="L83" s="7" t="s">
        <v>28</v>
      </c>
      <c r="M83" s="7" t="s">
        <v>410</v>
      </c>
      <c r="N83" s="7">
        <v>1</v>
      </c>
      <c r="O83" s="9" t="s">
        <v>53</v>
      </c>
      <c r="P83" s="9" t="s">
        <v>410</v>
      </c>
      <c r="Q83" s="9">
        <v>1</v>
      </c>
      <c r="R83" t="s">
        <v>23</v>
      </c>
      <c r="S83">
        <v>4</v>
      </c>
    </row>
    <row r="84" spans="1:19">
      <c r="A84">
        <v>221</v>
      </c>
      <c r="B84" t="s">
        <v>290</v>
      </c>
      <c r="C84">
        <v>804.51310000000001</v>
      </c>
      <c r="D84">
        <v>284.60000000000002</v>
      </c>
      <c r="E84">
        <v>-0.61481935492497497</v>
      </c>
      <c r="F84" s="3" t="s">
        <v>18</v>
      </c>
      <c r="G84" s="3" t="s">
        <v>410</v>
      </c>
      <c r="H84" s="3">
        <v>1</v>
      </c>
      <c r="I84" s="5" t="s">
        <v>20</v>
      </c>
      <c r="J84" s="5" t="s">
        <v>410</v>
      </c>
      <c r="K84" s="5">
        <v>1</v>
      </c>
      <c r="L84" s="7" t="s">
        <v>28</v>
      </c>
      <c r="M84" s="7" t="s">
        <v>410</v>
      </c>
      <c r="N84" s="7">
        <v>1</v>
      </c>
      <c r="O84" s="9" t="s">
        <v>53</v>
      </c>
      <c r="P84" s="9" t="s">
        <v>410</v>
      </c>
      <c r="Q84" s="9">
        <v>0.61199999999999999</v>
      </c>
      <c r="R84" t="s">
        <v>23</v>
      </c>
      <c r="S84">
        <v>4</v>
      </c>
    </row>
    <row r="85" spans="1:19">
      <c r="A85">
        <v>223</v>
      </c>
      <c r="B85" t="s">
        <v>292</v>
      </c>
      <c r="C85">
        <v>844.60670000000005</v>
      </c>
      <c r="D85">
        <v>296.3</v>
      </c>
      <c r="E85">
        <v>-0.66365276893486702</v>
      </c>
      <c r="F85" s="3" t="s">
        <v>18</v>
      </c>
      <c r="G85" s="3" t="s">
        <v>410</v>
      </c>
      <c r="H85" s="3">
        <v>1</v>
      </c>
      <c r="I85" s="5" t="s">
        <v>20</v>
      </c>
      <c r="J85" s="5" t="s">
        <v>410</v>
      </c>
      <c r="K85" s="5">
        <v>1</v>
      </c>
      <c r="L85" s="7" t="s">
        <v>28</v>
      </c>
      <c r="M85" s="7" t="s">
        <v>410</v>
      </c>
      <c r="N85" s="7">
        <v>1</v>
      </c>
      <c r="O85" s="9" t="s">
        <v>53</v>
      </c>
      <c r="P85" s="9" t="s">
        <v>410</v>
      </c>
      <c r="Q85" s="9">
        <v>0.66</v>
      </c>
      <c r="R85" t="s">
        <v>23</v>
      </c>
      <c r="S85">
        <v>4</v>
      </c>
    </row>
    <row r="86" spans="1:19">
      <c r="A86">
        <v>296</v>
      </c>
      <c r="B86" t="s">
        <v>357</v>
      </c>
      <c r="C86">
        <v>894.52369999999996</v>
      </c>
      <c r="D86">
        <v>298.5</v>
      </c>
      <c r="E86">
        <v>-0.52491784683070397</v>
      </c>
      <c r="F86" s="3" t="s">
        <v>18</v>
      </c>
      <c r="G86" s="3" t="s">
        <v>410</v>
      </c>
      <c r="H86" s="3">
        <v>1</v>
      </c>
      <c r="I86" s="5" t="s">
        <v>20</v>
      </c>
      <c r="J86" s="5" t="s">
        <v>410</v>
      </c>
      <c r="K86" s="5">
        <v>0.99</v>
      </c>
      <c r="L86" s="7" t="s">
        <v>28</v>
      </c>
      <c r="M86" s="7" t="s">
        <v>410</v>
      </c>
      <c r="N86" s="7">
        <v>1</v>
      </c>
      <c r="O86" s="9" t="s">
        <v>53</v>
      </c>
      <c r="P86" s="9" t="s">
        <v>410</v>
      </c>
      <c r="Q86" s="9">
        <v>1</v>
      </c>
      <c r="R86" t="s">
        <v>23</v>
      </c>
      <c r="S86">
        <v>4</v>
      </c>
    </row>
    <row r="87" spans="1:19">
      <c r="A87">
        <v>333</v>
      </c>
      <c r="B87" t="s">
        <v>90</v>
      </c>
      <c r="C87">
        <v>874.5</v>
      </c>
      <c r="D87">
        <v>295.10000000000002</v>
      </c>
      <c r="E87">
        <v>-0.52357534747659396</v>
      </c>
      <c r="F87" s="3" t="s">
        <v>18</v>
      </c>
      <c r="G87" s="3" t="s">
        <v>410</v>
      </c>
      <c r="H87" s="3">
        <v>0.95799999999999996</v>
      </c>
      <c r="I87" s="5" t="s">
        <v>20</v>
      </c>
      <c r="J87" s="5" t="s">
        <v>410</v>
      </c>
      <c r="K87" s="5">
        <v>0.98</v>
      </c>
      <c r="L87" s="7" t="s">
        <v>28</v>
      </c>
      <c r="M87" s="7" t="s">
        <v>410</v>
      </c>
      <c r="N87" s="7">
        <v>0.98</v>
      </c>
      <c r="O87" s="9" t="s">
        <v>53</v>
      </c>
      <c r="P87" s="9" t="s">
        <v>410</v>
      </c>
      <c r="Q87" s="9">
        <v>1</v>
      </c>
      <c r="R87" t="s">
        <v>23</v>
      </c>
      <c r="S87">
        <v>4</v>
      </c>
    </row>
    <row r="88" spans="1:19">
      <c r="A88">
        <v>341</v>
      </c>
      <c r="B88" t="s">
        <v>396</v>
      </c>
      <c r="C88">
        <v>848.48440000000005</v>
      </c>
      <c r="D88">
        <v>288.89999999999998</v>
      </c>
      <c r="E88">
        <v>-0.53702311556139604</v>
      </c>
      <c r="F88" s="3" t="s">
        <v>18</v>
      </c>
      <c r="G88" s="3" t="s">
        <v>410</v>
      </c>
      <c r="H88" s="3">
        <v>1</v>
      </c>
      <c r="I88" s="5" t="s">
        <v>20</v>
      </c>
      <c r="J88" s="5" t="s">
        <v>410</v>
      </c>
      <c r="K88" s="5">
        <v>0.94</v>
      </c>
      <c r="L88" s="7" t="s">
        <v>28</v>
      </c>
      <c r="M88" s="7" t="s">
        <v>410</v>
      </c>
      <c r="N88" s="7">
        <v>1</v>
      </c>
      <c r="O88" s="9" t="s">
        <v>53</v>
      </c>
      <c r="P88" s="9" t="s">
        <v>410</v>
      </c>
      <c r="Q88" s="9">
        <v>0.91400000000000003</v>
      </c>
      <c r="R88" t="s">
        <v>23</v>
      </c>
      <c r="S88">
        <v>4</v>
      </c>
    </row>
    <row r="89" spans="1:19">
      <c r="A89">
        <v>345</v>
      </c>
      <c r="B89" t="s">
        <v>399</v>
      </c>
      <c r="C89">
        <v>850.5</v>
      </c>
      <c r="D89">
        <v>291.7</v>
      </c>
      <c r="E89">
        <v>-0.55037259351490797</v>
      </c>
      <c r="F89" s="3" t="s">
        <v>18</v>
      </c>
      <c r="G89" s="3" t="s">
        <v>410</v>
      </c>
      <c r="H89" s="3">
        <v>1</v>
      </c>
      <c r="I89" s="5" t="s">
        <v>20</v>
      </c>
      <c r="J89" s="5" t="s">
        <v>410</v>
      </c>
      <c r="K89" s="5">
        <v>0.94</v>
      </c>
      <c r="L89" s="7" t="s">
        <v>28</v>
      </c>
      <c r="M89" s="7" t="s">
        <v>410</v>
      </c>
      <c r="N89" s="7">
        <v>1</v>
      </c>
      <c r="O89" s="9" t="s">
        <v>53</v>
      </c>
      <c r="P89" s="9" t="s">
        <v>410</v>
      </c>
      <c r="Q89" s="9">
        <v>0.96899999999999997</v>
      </c>
      <c r="R89" t="s">
        <v>23</v>
      </c>
      <c r="S89">
        <v>4</v>
      </c>
    </row>
    <row r="90" spans="1:19">
      <c r="A90">
        <v>7</v>
      </c>
      <c r="B90" t="s">
        <v>40</v>
      </c>
      <c r="C90">
        <v>804.54949999999997</v>
      </c>
      <c r="D90">
        <v>287.89999999999998</v>
      </c>
      <c r="E90">
        <v>-0.65117871243512604</v>
      </c>
      <c r="F90" s="3" t="s">
        <v>18</v>
      </c>
      <c r="G90" s="3" t="s">
        <v>410</v>
      </c>
      <c r="H90" s="3">
        <v>1</v>
      </c>
      <c r="I90" s="5" t="s">
        <v>20</v>
      </c>
      <c r="J90" s="5" t="s">
        <v>410</v>
      </c>
      <c r="K90" s="5">
        <v>1</v>
      </c>
      <c r="L90" s="7" t="s">
        <v>28</v>
      </c>
      <c r="M90" s="7" t="s">
        <v>410</v>
      </c>
      <c r="N90" s="7">
        <v>1</v>
      </c>
      <c r="O90" s="9" t="s">
        <v>41</v>
      </c>
      <c r="P90" s="9" t="s">
        <v>410</v>
      </c>
      <c r="Q90" s="9">
        <v>0.60499999999999998</v>
      </c>
      <c r="R90" t="s">
        <v>23</v>
      </c>
      <c r="S90">
        <v>4</v>
      </c>
    </row>
    <row r="91" spans="1:19">
      <c r="A91">
        <v>26</v>
      </c>
      <c r="B91" t="s">
        <v>74</v>
      </c>
      <c r="C91">
        <v>580.39779999999996</v>
      </c>
      <c r="D91">
        <v>248.8</v>
      </c>
      <c r="E91">
        <v>-0.74975572305265803</v>
      </c>
      <c r="F91" s="3" t="s">
        <v>18</v>
      </c>
      <c r="G91" s="3" t="s">
        <v>410</v>
      </c>
      <c r="H91" s="3">
        <v>1</v>
      </c>
      <c r="I91" s="5" t="s">
        <v>20</v>
      </c>
      <c r="J91" s="5" t="s">
        <v>410</v>
      </c>
      <c r="K91" s="5">
        <v>1</v>
      </c>
      <c r="L91" s="7" t="s">
        <v>28</v>
      </c>
      <c r="M91" s="7" t="s">
        <v>410</v>
      </c>
      <c r="N91" s="7">
        <v>1</v>
      </c>
      <c r="O91" s="9" t="s">
        <v>41</v>
      </c>
      <c r="P91" s="9" t="s">
        <v>410</v>
      </c>
      <c r="Q91" s="9">
        <v>0.73799999999999999</v>
      </c>
      <c r="R91" t="s">
        <v>23</v>
      </c>
      <c r="S91">
        <v>4</v>
      </c>
    </row>
    <row r="92" spans="1:19">
      <c r="A92">
        <v>28</v>
      </c>
      <c r="B92" t="s">
        <v>76</v>
      </c>
      <c r="C92">
        <v>810.50250000000005</v>
      </c>
      <c r="D92">
        <v>284.7</v>
      </c>
      <c r="E92">
        <v>-0.59753187886576598</v>
      </c>
      <c r="F92" s="3" t="s">
        <v>18</v>
      </c>
      <c r="G92" s="3" t="s">
        <v>410</v>
      </c>
      <c r="H92" s="3">
        <v>1</v>
      </c>
      <c r="I92" s="5" t="s">
        <v>20</v>
      </c>
      <c r="J92" s="5" t="s">
        <v>410</v>
      </c>
      <c r="K92" s="5">
        <v>0.92</v>
      </c>
      <c r="L92" s="7" t="s">
        <v>28</v>
      </c>
      <c r="M92" s="7" t="s">
        <v>410</v>
      </c>
      <c r="N92" s="7">
        <v>1</v>
      </c>
      <c r="O92" s="9" t="s">
        <v>41</v>
      </c>
      <c r="P92" s="9" t="s">
        <v>410</v>
      </c>
      <c r="Q92" s="9">
        <v>0.79200000000000004</v>
      </c>
      <c r="R92" t="s">
        <v>23</v>
      </c>
      <c r="S92">
        <v>4</v>
      </c>
    </row>
    <row r="93" spans="1:19">
      <c r="A93">
        <v>94</v>
      </c>
      <c r="B93" t="s">
        <v>165</v>
      </c>
      <c r="C93">
        <v>770.50760000000002</v>
      </c>
      <c r="D93">
        <v>279.2</v>
      </c>
      <c r="E93">
        <v>-0.64728826118164295</v>
      </c>
      <c r="F93" s="3" t="s">
        <v>18</v>
      </c>
      <c r="G93" s="3" t="s">
        <v>410</v>
      </c>
      <c r="H93" s="3">
        <v>1</v>
      </c>
      <c r="I93" s="5" t="s">
        <v>20</v>
      </c>
      <c r="J93" s="5" t="s">
        <v>410</v>
      </c>
      <c r="K93" s="5">
        <v>1</v>
      </c>
      <c r="L93" s="7" t="s">
        <v>28</v>
      </c>
      <c r="M93" s="7" t="s">
        <v>410</v>
      </c>
      <c r="N93" s="7">
        <v>1</v>
      </c>
      <c r="O93" s="9" t="s">
        <v>41</v>
      </c>
      <c r="P93" s="9" t="s">
        <v>410</v>
      </c>
      <c r="Q93" s="9">
        <v>0.89900000000000002</v>
      </c>
      <c r="R93" t="s">
        <v>23</v>
      </c>
      <c r="S93">
        <v>4</v>
      </c>
    </row>
    <row r="94" spans="1:19">
      <c r="A94">
        <v>105</v>
      </c>
      <c r="B94" t="s">
        <v>177</v>
      </c>
      <c r="C94">
        <v>466.25700000000001</v>
      </c>
      <c r="D94">
        <v>213.4</v>
      </c>
      <c r="E94">
        <v>-0.73639985224514204</v>
      </c>
      <c r="F94" s="3" t="s">
        <v>18</v>
      </c>
      <c r="G94" s="3" t="s">
        <v>410</v>
      </c>
      <c r="H94" s="3">
        <v>1</v>
      </c>
      <c r="I94" s="5" t="s">
        <v>20</v>
      </c>
      <c r="J94" s="5" t="s">
        <v>410</v>
      </c>
      <c r="K94" s="5">
        <v>0.95</v>
      </c>
      <c r="L94" s="7" t="s">
        <v>28</v>
      </c>
      <c r="M94" s="7" t="s">
        <v>410</v>
      </c>
      <c r="N94" s="7">
        <v>0.66</v>
      </c>
      <c r="O94" s="9" t="s">
        <v>41</v>
      </c>
      <c r="P94" s="9" t="s">
        <v>410</v>
      </c>
      <c r="Q94" s="9">
        <v>0.876</v>
      </c>
      <c r="R94" t="s">
        <v>23</v>
      </c>
      <c r="S94">
        <v>4</v>
      </c>
    </row>
    <row r="95" spans="1:19">
      <c r="A95">
        <v>111</v>
      </c>
      <c r="B95" t="s">
        <v>183</v>
      </c>
      <c r="C95">
        <v>686.47609999999997</v>
      </c>
      <c r="D95">
        <v>289.5</v>
      </c>
      <c r="E95">
        <v>-0.70961379370135103</v>
      </c>
      <c r="F95" s="3" t="s">
        <v>18</v>
      </c>
      <c r="G95" s="3" t="s">
        <v>410</v>
      </c>
      <c r="H95" s="3">
        <v>1</v>
      </c>
      <c r="I95" s="5" t="s">
        <v>20</v>
      </c>
      <c r="J95" s="5" t="s">
        <v>410</v>
      </c>
      <c r="K95" s="5">
        <v>1</v>
      </c>
      <c r="L95" s="7" t="s">
        <v>28</v>
      </c>
      <c r="M95" s="7" t="s">
        <v>410</v>
      </c>
      <c r="N95" s="7">
        <v>0.82</v>
      </c>
      <c r="O95" s="9" t="s">
        <v>41</v>
      </c>
      <c r="P95" s="9" t="s">
        <v>410</v>
      </c>
      <c r="Q95" s="9">
        <v>0.81200000000000006</v>
      </c>
      <c r="R95" t="s">
        <v>23</v>
      </c>
      <c r="S95">
        <v>4</v>
      </c>
    </row>
    <row r="96" spans="1:19">
      <c r="A96">
        <v>119</v>
      </c>
      <c r="B96" t="s">
        <v>74</v>
      </c>
      <c r="C96">
        <v>602.37980000000005</v>
      </c>
      <c r="D96">
        <v>253.7</v>
      </c>
      <c r="E96">
        <v>-0.70721167878548397</v>
      </c>
      <c r="F96" s="3" t="s">
        <v>18</v>
      </c>
      <c r="G96" s="3" t="s">
        <v>410</v>
      </c>
      <c r="H96" s="3">
        <v>1</v>
      </c>
      <c r="I96" s="5" t="s">
        <v>20</v>
      </c>
      <c r="J96" s="5" t="s">
        <v>410</v>
      </c>
      <c r="K96" s="5">
        <v>0.97</v>
      </c>
      <c r="L96" s="7" t="s">
        <v>28</v>
      </c>
      <c r="M96" s="7" t="s">
        <v>410</v>
      </c>
      <c r="N96" s="7">
        <v>1</v>
      </c>
      <c r="O96" s="9" t="s">
        <v>41</v>
      </c>
      <c r="P96" s="9" t="s">
        <v>410</v>
      </c>
      <c r="Q96" s="9">
        <v>0.81499999999999995</v>
      </c>
      <c r="R96" t="s">
        <v>23</v>
      </c>
      <c r="S96">
        <v>4</v>
      </c>
    </row>
    <row r="97" spans="1:19">
      <c r="A97">
        <v>125</v>
      </c>
      <c r="B97" t="s">
        <v>197</v>
      </c>
      <c r="C97">
        <v>740.52059999999994</v>
      </c>
      <c r="D97">
        <v>281.7</v>
      </c>
      <c r="E97">
        <v>-0.69377030355462899</v>
      </c>
      <c r="F97" s="3" t="s">
        <v>18</v>
      </c>
      <c r="G97" s="3" t="s">
        <v>410</v>
      </c>
      <c r="H97" s="3">
        <v>1</v>
      </c>
      <c r="I97" s="5" t="s">
        <v>20</v>
      </c>
      <c r="J97" s="5" t="s">
        <v>410</v>
      </c>
      <c r="K97" s="5">
        <v>0.99</v>
      </c>
      <c r="L97" s="7" t="s">
        <v>28</v>
      </c>
      <c r="M97" s="7" t="s">
        <v>410</v>
      </c>
      <c r="N97" s="7">
        <v>1</v>
      </c>
      <c r="O97" s="9" t="s">
        <v>41</v>
      </c>
      <c r="P97" s="9" t="s">
        <v>410</v>
      </c>
      <c r="Q97" s="9">
        <v>0.88200000000000001</v>
      </c>
      <c r="R97" t="s">
        <v>23</v>
      </c>
      <c r="S97">
        <v>4</v>
      </c>
    </row>
    <row r="98" spans="1:19">
      <c r="A98">
        <v>145</v>
      </c>
      <c r="B98" t="s">
        <v>223</v>
      </c>
      <c r="C98">
        <v>856.5258</v>
      </c>
      <c r="D98">
        <v>287.2</v>
      </c>
      <c r="E98">
        <v>-0.56944447496584905</v>
      </c>
      <c r="F98" s="3" t="s">
        <v>18</v>
      </c>
      <c r="G98" s="3" t="s">
        <v>410</v>
      </c>
      <c r="H98" s="3">
        <v>1</v>
      </c>
      <c r="I98" s="5" t="s">
        <v>20</v>
      </c>
      <c r="J98" s="5" t="s">
        <v>410</v>
      </c>
      <c r="K98" s="5">
        <v>0.94</v>
      </c>
      <c r="L98" s="7" t="s">
        <v>28</v>
      </c>
      <c r="M98" s="7" t="s">
        <v>410</v>
      </c>
      <c r="N98" s="7">
        <v>1</v>
      </c>
      <c r="O98" s="9" t="s">
        <v>41</v>
      </c>
      <c r="P98" s="9" t="s">
        <v>410</v>
      </c>
      <c r="Q98" s="9">
        <v>0.55000000000000004</v>
      </c>
      <c r="R98" t="s">
        <v>23</v>
      </c>
      <c r="S98">
        <v>4</v>
      </c>
    </row>
    <row r="99" spans="1:19">
      <c r="A99">
        <v>174</v>
      </c>
      <c r="B99" t="s">
        <v>252</v>
      </c>
      <c r="C99">
        <v>774.53890000000001</v>
      </c>
      <c r="D99">
        <v>282</v>
      </c>
      <c r="E99">
        <v>-0.67408710543350003</v>
      </c>
      <c r="F99" s="3" t="s">
        <v>18</v>
      </c>
      <c r="G99" s="3" t="s">
        <v>410</v>
      </c>
      <c r="H99" s="3">
        <v>1</v>
      </c>
      <c r="I99" s="5" t="s">
        <v>20</v>
      </c>
      <c r="J99" s="5" t="s">
        <v>410</v>
      </c>
      <c r="K99" s="5">
        <v>1</v>
      </c>
      <c r="L99" s="7" t="s">
        <v>28</v>
      </c>
      <c r="M99" s="7" t="s">
        <v>410</v>
      </c>
      <c r="N99" s="7">
        <v>1</v>
      </c>
      <c r="O99" s="9" t="s">
        <v>41</v>
      </c>
      <c r="P99" s="9" t="s">
        <v>410</v>
      </c>
      <c r="Q99" s="9">
        <v>0.78400000000000003</v>
      </c>
      <c r="R99" t="s">
        <v>23</v>
      </c>
      <c r="S99">
        <v>4</v>
      </c>
    </row>
    <row r="100" spans="1:19">
      <c r="A100">
        <v>198</v>
      </c>
      <c r="B100" t="s">
        <v>271</v>
      </c>
      <c r="C100">
        <v>690.50739999999996</v>
      </c>
      <c r="D100">
        <v>262.5</v>
      </c>
      <c r="E100">
        <v>-0.73641263795320799</v>
      </c>
      <c r="F100" s="3" t="s">
        <v>18</v>
      </c>
      <c r="G100" s="3" t="s">
        <v>410</v>
      </c>
      <c r="H100" s="3">
        <v>1</v>
      </c>
      <c r="I100" s="5" t="s">
        <v>20</v>
      </c>
      <c r="J100" s="5" t="s">
        <v>410</v>
      </c>
      <c r="K100" s="5">
        <v>0.99</v>
      </c>
      <c r="L100" s="7" t="s">
        <v>28</v>
      </c>
      <c r="M100" s="7" t="s">
        <v>410</v>
      </c>
      <c r="N100" s="7">
        <v>1</v>
      </c>
      <c r="O100" s="9" t="s">
        <v>41</v>
      </c>
      <c r="P100" s="9" t="s">
        <v>410</v>
      </c>
      <c r="Q100" s="9">
        <v>0.91500000000000004</v>
      </c>
      <c r="R100" t="s">
        <v>23</v>
      </c>
      <c r="S100">
        <v>4</v>
      </c>
    </row>
    <row r="101" spans="1:19">
      <c r="A101">
        <v>205</v>
      </c>
      <c r="B101" t="s">
        <v>276</v>
      </c>
      <c r="C101">
        <v>822.53890000000001</v>
      </c>
      <c r="D101">
        <v>289.3</v>
      </c>
      <c r="E101">
        <v>-0.62049261335675998</v>
      </c>
      <c r="F101" s="3" t="s">
        <v>18</v>
      </c>
      <c r="G101" s="3" t="s">
        <v>410</v>
      </c>
      <c r="H101" s="3">
        <v>1</v>
      </c>
      <c r="I101" s="5" t="s">
        <v>20</v>
      </c>
      <c r="J101" s="5" t="s">
        <v>410</v>
      </c>
      <c r="K101" s="5">
        <v>1</v>
      </c>
      <c r="L101" s="7" t="s">
        <v>28</v>
      </c>
      <c r="M101" s="7" t="s">
        <v>410</v>
      </c>
      <c r="N101" s="7">
        <v>1</v>
      </c>
      <c r="O101" s="9" t="s">
        <v>41</v>
      </c>
      <c r="P101" s="9" t="s">
        <v>410</v>
      </c>
      <c r="Q101" s="9">
        <v>0.64500000000000002</v>
      </c>
      <c r="R101" t="s">
        <v>23</v>
      </c>
      <c r="S101">
        <v>4</v>
      </c>
    </row>
    <row r="102" spans="1:19">
      <c r="A102">
        <v>208</v>
      </c>
      <c r="B102" t="s">
        <v>279</v>
      </c>
      <c r="C102">
        <v>790.53380000000004</v>
      </c>
      <c r="D102">
        <v>284.89999999999998</v>
      </c>
      <c r="E102">
        <v>-0.65112796915604998</v>
      </c>
      <c r="F102" s="3" t="s">
        <v>18</v>
      </c>
      <c r="G102" s="3" t="s">
        <v>410</v>
      </c>
      <c r="H102" s="3">
        <v>1</v>
      </c>
      <c r="I102" s="5" t="s">
        <v>20</v>
      </c>
      <c r="J102" s="5" t="s">
        <v>410</v>
      </c>
      <c r="K102" s="5">
        <v>1</v>
      </c>
      <c r="L102" s="7" t="s">
        <v>28</v>
      </c>
      <c r="M102" s="7" t="s">
        <v>410</v>
      </c>
      <c r="N102" s="7">
        <v>1</v>
      </c>
      <c r="O102" s="9" t="s">
        <v>41</v>
      </c>
      <c r="P102" s="9" t="s">
        <v>410</v>
      </c>
      <c r="Q102" s="9">
        <v>0.627</v>
      </c>
      <c r="R102" t="s">
        <v>23</v>
      </c>
      <c r="S102">
        <v>4</v>
      </c>
    </row>
    <row r="103" spans="1:19">
      <c r="A103">
        <v>218</v>
      </c>
      <c r="B103" t="s">
        <v>223</v>
      </c>
      <c r="C103">
        <v>834.50250000000005</v>
      </c>
      <c r="D103">
        <v>289</v>
      </c>
      <c r="E103">
        <v>-0.57073463282745296</v>
      </c>
      <c r="F103" s="3" t="s">
        <v>18</v>
      </c>
      <c r="G103" s="3" t="s">
        <v>410</v>
      </c>
      <c r="H103" s="3">
        <v>1</v>
      </c>
      <c r="I103" s="5" t="s">
        <v>20</v>
      </c>
      <c r="J103" s="5" t="s">
        <v>410</v>
      </c>
      <c r="K103" s="5">
        <v>0.88</v>
      </c>
      <c r="L103" s="7" t="s">
        <v>28</v>
      </c>
      <c r="M103" s="7" t="s">
        <v>410</v>
      </c>
      <c r="N103" s="7">
        <v>1</v>
      </c>
      <c r="O103" s="9" t="s">
        <v>41</v>
      </c>
      <c r="P103" s="9" t="s">
        <v>410</v>
      </c>
      <c r="Q103" s="9">
        <v>0.63200000000000001</v>
      </c>
      <c r="R103" t="s">
        <v>23</v>
      </c>
      <c r="S103">
        <v>4</v>
      </c>
    </row>
    <row r="104" spans="1:19">
      <c r="A104">
        <v>231</v>
      </c>
      <c r="B104" t="s">
        <v>298</v>
      </c>
      <c r="C104">
        <v>728.55970000000002</v>
      </c>
      <c r="D104">
        <v>270.10000000000002</v>
      </c>
      <c r="E104">
        <v>-0.74622526939390399</v>
      </c>
      <c r="F104" s="3" t="s">
        <v>18</v>
      </c>
      <c r="G104" s="3" t="s">
        <v>410</v>
      </c>
      <c r="H104" s="3">
        <v>1</v>
      </c>
      <c r="I104" s="5" t="s">
        <v>20</v>
      </c>
      <c r="J104" s="5" t="s">
        <v>410</v>
      </c>
      <c r="K104" s="5">
        <v>1</v>
      </c>
      <c r="L104" s="7" t="s">
        <v>28</v>
      </c>
      <c r="M104" s="7" t="s">
        <v>410</v>
      </c>
      <c r="N104" s="7">
        <v>0.98</v>
      </c>
      <c r="O104" s="9" t="s">
        <v>41</v>
      </c>
      <c r="P104" s="9" t="s">
        <v>410</v>
      </c>
      <c r="Q104" s="9">
        <v>0.99</v>
      </c>
      <c r="R104" t="s">
        <v>23</v>
      </c>
      <c r="S104">
        <v>4</v>
      </c>
    </row>
    <row r="105" spans="1:19">
      <c r="A105">
        <v>240</v>
      </c>
      <c r="B105" t="s">
        <v>306</v>
      </c>
      <c r="C105">
        <v>546.31719999999996</v>
      </c>
      <c r="D105">
        <v>242.9</v>
      </c>
      <c r="E105">
        <v>-0.70720848235839595</v>
      </c>
      <c r="F105" s="3" t="s">
        <v>18</v>
      </c>
      <c r="G105" s="3" t="s">
        <v>410</v>
      </c>
      <c r="H105" s="3">
        <v>1</v>
      </c>
      <c r="I105" s="5" t="s">
        <v>20</v>
      </c>
      <c r="J105" s="5" t="s">
        <v>410</v>
      </c>
      <c r="K105" s="5">
        <v>0.98</v>
      </c>
      <c r="L105" s="7" t="s">
        <v>28</v>
      </c>
      <c r="M105" s="7" t="s">
        <v>410</v>
      </c>
      <c r="N105" s="7">
        <v>0.99</v>
      </c>
      <c r="O105" s="9" t="s">
        <v>41</v>
      </c>
      <c r="P105" s="9" t="s">
        <v>410</v>
      </c>
      <c r="Q105" s="9">
        <v>0.61199999999999999</v>
      </c>
      <c r="R105" t="s">
        <v>23</v>
      </c>
      <c r="S105">
        <v>4</v>
      </c>
    </row>
    <row r="106" spans="1:19">
      <c r="A106">
        <v>271</v>
      </c>
      <c r="B106" t="s">
        <v>334</v>
      </c>
      <c r="C106">
        <v>686.47360000000003</v>
      </c>
      <c r="D106">
        <v>270.3</v>
      </c>
      <c r="E106">
        <v>-0.70711658508116704</v>
      </c>
      <c r="F106" s="3" t="s">
        <v>18</v>
      </c>
      <c r="G106" s="3" t="s">
        <v>410</v>
      </c>
      <c r="H106" s="3">
        <v>1</v>
      </c>
      <c r="I106" s="5" t="s">
        <v>20</v>
      </c>
      <c r="J106" s="5" t="s">
        <v>410</v>
      </c>
      <c r="K106" s="5">
        <v>1</v>
      </c>
      <c r="L106" s="7" t="s">
        <v>28</v>
      </c>
      <c r="M106" s="7" t="s">
        <v>410</v>
      </c>
      <c r="N106" s="7">
        <v>1</v>
      </c>
      <c r="O106" s="9" t="s">
        <v>41</v>
      </c>
      <c r="P106" s="9" t="s">
        <v>410</v>
      </c>
      <c r="Q106" s="9">
        <v>0.63300000000000001</v>
      </c>
      <c r="R106" t="s">
        <v>23</v>
      </c>
      <c r="S106">
        <v>4</v>
      </c>
    </row>
    <row r="107" spans="1:19">
      <c r="A107">
        <v>290</v>
      </c>
      <c r="B107" t="s">
        <v>351</v>
      </c>
      <c r="C107">
        <v>838.53629999999998</v>
      </c>
      <c r="D107">
        <v>292.3</v>
      </c>
      <c r="E107">
        <v>-0.60003068569949403</v>
      </c>
      <c r="F107" s="3" t="s">
        <v>18</v>
      </c>
      <c r="G107" s="3" t="s">
        <v>410</v>
      </c>
      <c r="H107" s="3">
        <v>1</v>
      </c>
      <c r="I107" s="5" t="s">
        <v>20</v>
      </c>
      <c r="J107" s="5" t="s">
        <v>410</v>
      </c>
      <c r="K107" s="5">
        <v>0.99</v>
      </c>
      <c r="L107" s="7" t="s">
        <v>28</v>
      </c>
      <c r="M107" s="7" t="s">
        <v>410</v>
      </c>
      <c r="N107" s="7">
        <v>1</v>
      </c>
      <c r="O107" s="9" t="s">
        <v>41</v>
      </c>
      <c r="P107" s="9" t="s">
        <v>410</v>
      </c>
      <c r="Q107" s="9">
        <v>0.70899999999999996</v>
      </c>
      <c r="R107" t="s">
        <v>23</v>
      </c>
      <c r="S107">
        <v>4</v>
      </c>
    </row>
    <row r="108" spans="1:19">
      <c r="A108">
        <v>295</v>
      </c>
      <c r="B108" t="s">
        <v>252</v>
      </c>
      <c r="C108">
        <v>752.55700000000002</v>
      </c>
      <c r="D108">
        <v>281.5</v>
      </c>
      <c r="E108">
        <v>-0.71673103804562299</v>
      </c>
      <c r="F108" s="3" t="s">
        <v>18</v>
      </c>
      <c r="G108" s="3" t="s">
        <v>410</v>
      </c>
      <c r="H108" s="3">
        <v>1</v>
      </c>
      <c r="I108" s="5" t="s">
        <v>20</v>
      </c>
      <c r="J108" s="5" t="s">
        <v>410</v>
      </c>
      <c r="K108" s="5">
        <v>1</v>
      </c>
      <c r="L108" s="7" t="s">
        <v>28</v>
      </c>
      <c r="M108" s="7" t="s">
        <v>410</v>
      </c>
      <c r="N108" s="7">
        <v>0.67</v>
      </c>
      <c r="O108" s="9" t="s">
        <v>41</v>
      </c>
      <c r="P108" s="9" t="s">
        <v>410</v>
      </c>
      <c r="Q108" s="9">
        <v>0.80400000000000005</v>
      </c>
      <c r="R108" t="s">
        <v>23</v>
      </c>
      <c r="S108">
        <v>4</v>
      </c>
    </row>
    <row r="109" spans="1:19">
      <c r="A109">
        <v>317</v>
      </c>
      <c r="B109" t="s">
        <v>376</v>
      </c>
      <c r="C109">
        <v>742.54179999999997</v>
      </c>
      <c r="D109">
        <v>272</v>
      </c>
      <c r="E109">
        <v>-0.71271352881740302</v>
      </c>
      <c r="F109" s="3" t="s">
        <v>18</v>
      </c>
      <c r="G109" s="3" t="s">
        <v>410</v>
      </c>
      <c r="H109" s="3">
        <v>1</v>
      </c>
      <c r="I109" s="5" t="s">
        <v>20</v>
      </c>
      <c r="J109" s="5" t="s">
        <v>410</v>
      </c>
      <c r="K109" s="5">
        <v>0.98</v>
      </c>
      <c r="L109" s="7" t="s">
        <v>28</v>
      </c>
      <c r="M109" s="7" t="s">
        <v>410</v>
      </c>
      <c r="N109" s="7">
        <v>0.88</v>
      </c>
      <c r="O109" s="9" t="s">
        <v>41</v>
      </c>
      <c r="P109" s="9" t="s">
        <v>410</v>
      </c>
      <c r="Q109" s="9">
        <v>0.998</v>
      </c>
      <c r="R109" t="s">
        <v>23</v>
      </c>
      <c r="S109">
        <v>4</v>
      </c>
    </row>
    <row r="110" spans="1:19">
      <c r="A110">
        <v>336</v>
      </c>
      <c r="B110" t="s">
        <v>392</v>
      </c>
      <c r="C110">
        <v>509.3329</v>
      </c>
      <c r="D110">
        <v>224.3</v>
      </c>
      <c r="E110">
        <v>-0.76420337346911504</v>
      </c>
      <c r="F110" s="3" t="s">
        <v>18</v>
      </c>
      <c r="G110" s="3" t="s">
        <v>410</v>
      </c>
      <c r="H110" s="3">
        <v>1</v>
      </c>
      <c r="I110" s="5" t="s">
        <v>20</v>
      </c>
      <c r="J110" s="5" t="s">
        <v>410</v>
      </c>
      <c r="K110" s="5">
        <v>0.95</v>
      </c>
      <c r="L110" s="7" t="s">
        <v>28</v>
      </c>
      <c r="M110" s="7" t="s">
        <v>410</v>
      </c>
      <c r="N110" s="7">
        <v>0.95</v>
      </c>
      <c r="O110" s="9" t="s">
        <v>41</v>
      </c>
      <c r="P110" s="9" t="s">
        <v>410</v>
      </c>
      <c r="Q110" s="9">
        <v>0.64300000000000002</v>
      </c>
      <c r="R110" t="s">
        <v>23</v>
      </c>
      <c r="S110">
        <v>4</v>
      </c>
    </row>
    <row r="111" spans="1:19">
      <c r="A111">
        <v>338</v>
      </c>
      <c r="B111" t="s">
        <v>394</v>
      </c>
      <c r="C111">
        <v>730.57079999999996</v>
      </c>
      <c r="D111">
        <v>271.7</v>
      </c>
      <c r="E111">
        <v>-0.75507977183099195</v>
      </c>
      <c r="F111" s="3" t="s">
        <v>18</v>
      </c>
      <c r="G111" s="3" t="s">
        <v>410</v>
      </c>
      <c r="H111" s="3">
        <v>1</v>
      </c>
      <c r="I111" s="5" t="s">
        <v>20</v>
      </c>
      <c r="J111" s="5" t="s">
        <v>410</v>
      </c>
      <c r="K111" s="5">
        <v>1</v>
      </c>
      <c r="L111" s="7" t="s">
        <v>28</v>
      </c>
      <c r="M111" s="7" t="s">
        <v>410</v>
      </c>
      <c r="N111" s="7">
        <v>0.99</v>
      </c>
      <c r="O111" s="9" t="s">
        <v>41</v>
      </c>
      <c r="P111" s="9" t="s">
        <v>410</v>
      </c>
      <c r="Q111" s="9">
        <v>0.95099999999999996</v>
      </c>
      <c r="R111" t="s">
        <v>23</v>
      </c>
      <c r="S111">
        <v>4</v>
      </c>
    </row>
    <row r="112" spans="1:19">
      <c r="A112">
        <v>3</v>
      </c>
      <c r="B112" t="s">
        <v>27</v>
      </c>
      <c r="C112">
        <v>782.5675</v>
      </c>
      <c r="D112">
        <v>292.10000000000002</v>
      </c>
      <c r="E112">
        <v>-0.69372275670252703</v>
      </c>
      <c r="F112" s="3" t="s">
        <v>18</v>
      </c>
      <c r="G112" s="3" t="s">
        <v>410</v>
      </c>
      <c r="H112" s="3">
        <v>1</v>
      </c>
      <c r="I112" s="5" t="s">
        <v>20</v>
      </c>
      <c r="J112" s="5" t="s">
        <v>410</v>
      </c>
      <c r="K112" s="5">
        <v>1</v>
      </c>
      <c r="L112" s="7" t="s">
        <v>28</v>
      </c>
      <c r="M112" s="7" t="s">
        <v>410</v>
      </c>
      <c r="N112" s="7">
        <v>0.86</v>
      </c>
      <c r="O112" s="9" t="s">
        <v>29</v>
      </c>
      <c r="P112" s="9" t="s">
        <v>410</v>
      </c>
      <c r="Q112" s="9">
        <v>0.96</v>
      </c>
      <c r="R112" t="s">
        <v>23</v>
      </c>
      <c r="S112">
        <v>4</v>
      </c>
    </row>
    <row r="113" spans="1:19">
      <c r="A113">
        <v>21</v>
      </c>
      <c r="B113" t="s">
        <v>69</v>
      </c>
      <c r="C113">
        <v>820.54679999999996</v>
      </c>
      <c r="D113">
        <v>288.10000000000002</v>
      </c>
      <c r="E113">
        <v>-0.63061689643302499</v>
      </c>
      <c r="F113" s="3" t="s">
        <v>18</v>
      </c>
      <c r="G113" s="3" t="s">
        <v>410</v>
      </c>
      <c r="H113" s="3">
        <v>1</v>
      </c>
      <c r="I113" s="5" t="s">
        <v>20</v>
      </c>
      <c r="J113" s="5" t="s">
        <v>410</v>
      </c>
      <c r="K113" s="5">
        <v>1</v>
      </c>
      <c r="L113" s="7" t="s">
        <v>28</v>
      </c>
      <c r="M113" s="7" t="s">
        <v>410</v>
      </c>
      <c r="N113" s="7">
        <v>1</v>
      </c>
      <c r="O113" s="9" t="s">
        <v>29</v>
      </c>
      <c r="P113" s="9" t="s">
        <v>410</v>
      </c>
      <c r="Q113" s="9">
        <v>0.76300000000000001</v>
      </c>
      <c r="R113" t="s">
        <v>23</v>
      </c>
      <c r="S113">
        <v>4</v>
      </c>
    </row>
    <row r="114" spans="1:19">
      <c r="A114">
        <v>52</v>
      </c>
      <c r="B114" t="s">
        <v>115</v>
      </c>
      <c r="C114">
        <v>529.39919999999995</v>
      </c>
      <c r="D114">
        <v>235</v>
      </c>
      <c r="E114">
        <v>-0.80809830771158897</v>
      </c>
      <c r="F114" s="3" t="s">
        <v>18</v>
      </c>
      <c r="G114" s="3" t="s">
        <v>410</v>
      </c>
      <c r="H114" s="3">
        <v>1</v>
      </c>
      <c r="I114" s="5" t="s">
        <v>20</v>
      </c>
      <c r="J114" s="5" t="s">
        <v>410</v>
      </c>
      <c r="K114" s="5">
        <v>1</v>
      </c>
      <c r="L114" s="7" t="s">
        <v>28</v>
      </c>
      <c r="M114" s="7" t="s">
        <v>410</v>
      </c>
      <c r="N114" s="7">
        <v>0.94</v>
      </c>
      <c r="O114" s="9" t="s">
        <v>29</v>
      </c>
      <c r="P114" s="9" t="s">
        <v>410</v>
      </c>
      <c r="Q114" s="9">
        <v>0.96899999999999997</v>
      </c>
      <c r="R114" t="s">
        <v>23</v>
      </c>
      <c r="S114">
        <v>4</v>
      </c>
    </row>
    <row r="115" spans="1:19">
      <c r="A115">
        <v>60</v>
      </c>
      <c r="B115" t="s">
        <v>123</v>
      </c>
      <c r="C115">
        <v>476.27530000000002</v>
      </c>
      <c r="D115">
        <v>222.5</v>
      </c>
      <c r="E115">
        <v>-0.74351390016238394</v>
      </c>
      <c r="F115" s="3" t="s">
        <v>18</v>
      </c>
      <c r="G115" s="3" t="s">
        <v>410</v>
      </c>
      <c r="H115" s="3">
        <v>1</v>
      </c>
      <c r="I115" s="5" t="s">
        <v>20</v>
      </c>
      <c r="J115" s="5" t="s">
        <v>410</v>
      </c>
      <c r="K115" s="5">
        <v>0.94</v>
      </c>
      <c r="L115" s="7" t="s">
        <v>28</v>
      </c>
      <c r="M115" s="7" t="s">
        <v>410</v>
      </c>
      <c r="N115" s="7">
        <v>0.95</v>
      </c>
      <c r="O115" s="9" t="s">
        <v>29</v>
      </c>
      <c r="P115" s="9" t="s">
        <v>410</v>
      </c>
      <c r="Q115" s="9">
        <v>0.85099999999999998</v>
      </c>
      <c r="R115" t="s">
        <v>23</v>
      </c>
      <c r="S115">
        <v>4</v>
      </c>
    </row>
    <row r="116" spans="1:19">
      <c r="A116">
        <v>70</v>
      </c>
      <c r="B116" t="s">
        <v>133</v>
      </c>
      <c r="C116">
        <v>790.52020000000005</v>
      </c>
      <c r="D116">
        <v>288</v>
      </c>
      <c r="E116">
        <v>-0.637543154262175</v>
      </c>
      <c r="F116" s="3" t="s">
        <v>18</v>
      </c>
      <c r="G116" s="3" t="s">
        <v>410</v>
      </c>
      <c r="H116" s="3">
        <v>1</v>
      </c>
      <c r="I116" s="5" t="s">
        <v>20</v>
      </c>
      <c r="J116" s="5" t="s">
        <v>410</v>
      </c>
      <c r="K116" s="5">
        <v>1</v>
      </c>
      <c r="L116" s="7" t="s">
        <v>28</v>
      </c>
      <c r="M116" s="7" t="s">
        <v>410</v>
      </c>
      <c r="N116" s="7">
        <v>1</v>
      </c>
      <c r="O116" s="9" t="s">
        <v>29</v>
      </c>
      <c r="P116" s="9" t="s">
        <v>410</v>
      </c>
      <c r="Q116" s="9">
        <v>0.78400000000000003</v>
      </c>
      <c r="R116" t="s">
        <v>23</v>
      </c>
      <c r="S116">
        <v>4</v>
      </c>
    </row>
    <row r="117" spans="1:19">
      <c r="A117">
        <v>108</v>
      </c>
      <c r="B117" t="s">
        <v>180</v>
      </c>
      <c r="C117">
        <v>834.59879999999998</v>
      </c>
      <c r="D117">
        <v>294.2</v>
      </c>
      <c r="E117">
        <v>-0.66692710887764395</v>
      </c>
      <c r="F117" s="3" t="s">
        <v>18</v>
      </c>
      <c r="G117" s="3" t="s">
        <v>410</v>
      </c>
      <c r="H117" s="3">
        <v>1</v>
      </c>
      <c r="I117" s="5" t="s">
        <v>20</v>
      </c>
      <c r="J117" s="5" t="s">
        <v>410</v>
      </c>
      <c r="K117" s="5">
        <v>1</v>
      </c>
      <c r="L117" s="7" t="s">
        <v>28</v>
      </c>
      <c r="M117" s="7" t="s">
        <v>410</v>
      </c>
      <c r="N117" s="7">
        <v>1</v>
      </c>
      <c r="O117" s="9" t="s">
        <v>29</v>
      </c>
      <c r="P117" s="9" t="s">
        <v>410</v>
      </c>
      <c r="Q117" s="9">
        <v>0.83299999999999996</v>
      </c>
      <c r="R117" t="s">
        <v>23</v>
      </c>
      <c r="S117">
        <v>4</v>
      </c>
    </row>
    <row r="118" spans="1:19">
      <c r="A118">
        <v>116</v>
      </c>
      <c r="B118" t="s">
        <v>187</v>
      </c>
      <c r="C118">
        <v>546.35350000000005</v>
      </c>
      <c r="D118">
        <v>242.2</v>
      </c>
      <c r="E118">
        <v>-0.74346795152382605</v>
      </c>
      <c r="F118" s="3" t="s">
        <v>18</v>
      </c>
      <c r="G118" s="3" t="s">
        <v>410</v>
      </c>
      <c r="H118" s="3">
        <v>1</v>
      </c>
      <c r="I118" s="5" t="s">
        <v>20</v>
      </c>
      <c r="J118" s="5" t="s">
        <v>410</v>
      </c>
      <c r="K118" s="5">
        <v>1</v>
      </c>
      <c r="L118" s="7" t="s">
        <v>28</v>
      </c>
      <c r="M118" s="7" t="s">
        <v>410</v>
      </c>
      <c r="N118" s="7">
        <v>1</v>
      </c>
      <c r="O118" s="9" t="s">
        <v>29</v>
      </c>
      <c r="P118" s="9" t="s">
        <v>410</v>
      </c>
      <c r="Q118" s="9">
        <v>0.998</v>
      </c>
      <c r="R118" t="s">
        <v>23</v>
      </c>
      <c r="S118">
        <v>4</v>
      </c>
    </row>
    <row r="119" spans="1:19">
      <c r="A119">
        <v>152</v>
      </c>
      <c r="B119" t="s">
        <v>115</v>
      </c>
      <c r="C119">
        <v>573.39520000000005</v>
      </c>
      <c r="D119">
        <v>229</v>
      </c>
      <c r="E119">
        <v>-0.754974489515575</v>
      </c>
      <c r="F119" s="3" t="s">
        <v>18</v>
      </c>
      <c r="G119" s="3" t="s">
        <v>410</v>
      </c>
      <c r="H119" s="3">
        <v>1</v>
      </c>
      <c r="I119" s="5" t="s">
        <v>20</v>
      </c>
      <c r="J119" s="5" t="s">
        <v>410</v>
      </c>
      <c r="K119" s="5">
        <v>0.87</v>
      </c>
      <c r="L119" s="7" t="s">
        <v>28</v>
      </c>
      <c r="M119" s="7" t="s">
        <v>410</v>
      </c>
      <c r="N119" s="7">
        <v>0.91</v>
      </c>
      <c r="O119" s="9" t="s">
        <v>29</v>
      </c>
      <c r="P119" s="9" t="s">
        <v>410</v>
      </c>
      <c r="Q119" s="9">
        <v>0.89600000000000002</v>
      </c>
      <c r="R119" t="s">
        <v>23</v>
      </c>
      <c r="S119">
        <v>4</v>
      </c>
    </row>
    <row r="120" spans="1:19">
      <c r="A120">
        <v>171</v>
      </c>
      <c r="B120" t="s">
        <v>249</v>
      </c>
      <c r="C120">
        <v>812.61450000000002</v>
      </c>
      <c r="D120">
        <v>298.60000000000002</v>
      </c>
      <c r="E120">
        <v>-0.70717372121441702</v>
      </c>
      <c r="F120" s="3" t="s">
        <v>18</v>
      </c>
      <c r="G120" s="3" t="s">
        <v>410</v>
      </c>
      <c r="H120" s="3">
        <v>1</v>
      </c>
      <c r="I120" s="5" t="s">
        <v>20</v>
      </c>
      <c r="J120" s="5" t="s">
        <v>410</v>
      </c>
      <c r="K120" s="5">
        <v>1</v>
      </c>
      <c r="L120" s="7" t="s">
        <v>28</v>
      </c>
      <c r="M120" s="7" t="s">
        <v>410</v>
      </c>
      <c r="N120" s="7">
        <v>0.74</v>
      </c>
      <c r="O120" s="9" t="s">
        <v>29</v>
      </c>
      <c r="P120" s="9" t="s">
        <v>410</v>
      </c>
      <c r="Q120" s="9">
        <v>0.95</v>
      </c>
      <c r="R120" t="s">
        <v>23</v>
      </c>
      <c r="S120">
        <v>4</v>
      </c>
    </row>
    <row r="121" spans="1:19">
      <c r="A121">
        <v>177</v>
      </c>
      <c r="B121" t="s">
        <v>254</v>
      </c>
      <c r="C121">
        <v>830.5951</v>
      </c>
      <c r="D121">
        <v>295.5</v>
      </c>
      <c r="E121">
        <v>-0.66769744779276197</v>
      </c>
      <c r="F121" s="3" t="s">
        <v>18</v>
      </c>
      <c r="G121" s="3" t="s">
        <v>410</v>
      </c>
      <c r="H121" s="3">
        <v>1</v>
      </c>
      <c r="I121" s="5" t="s">
        <v>20</v>
      </c>
      <c r="J121" s="5" t="s">
        <v>410</v>
      </c>
      <c r="K121" s="5">
        <v>1</v>
      </c>
      <c r="L121" s="7" t="s">
        <v>28</v>
      </c>
      <c r="M121" s="7" t="s">
        <v>410</v>
      </c>
      <c r="N121" s="7">
        <v>1</v>
      </c>
      <c r="O121" s="9" t="s">
        <v>29</v>
      </c>
      <c r="P121" s="9" t="s">
        <v>410</v>
      </c>
      <c r="Q121" s="9">
        <v>0.876</v>
      </c>
      <c r="R121" t="s">
        <v>23</v>
      </c>
      <c r="S121">
        <v>4</v>
      </c>
    </row>
    <row r="122" spans="1:19">
      <c r="A122">
        <v>186</v>
      </c>
      <c r="B122" t="s">
        <v>263</v>
      </c>
      <c r="C122">
        <v>560.36919999999998</v>
      </c>
      <c r="D122">
        <v>242.6</v>
      </c>
      <c r="E122">
        <v>-0.743518694802901</v>
      </c>
      <c r="F122" s="3" t="s">
        <v>18</v>
      </c>
      <c r="G122" s="3" t="s">
        <v>410</v>
      </c>
      <c r="H122" s="3">
        <v>1</v>
      </c>
      <c r="I122" s="5" t="s">
        <v>20</v>
      </c>
      <c r="J122" s="5" t="s">
        <v>410</v>
      </c>
      <c r="K122" s="5">
        <v>1</v>
      </c>
      <c r="L122" s="7" t="s">
        <v>28</v>
      </c>
      <c r="M122" s="7" t="s">
        <v>410</v>
      </c>
      <c r="N122" s="7">
        <v>1</v>
      </c>
      <c r="O122" s="9" t="s">
        <v>29</v>
      </c>
      <c r="P122" s="9" t="s">
        <v>410</v>
      </c>
      <c r="Q122" s="9">
        <v>0.98</v>
      </c>
      <c r="R122" t="s">
        <v>23</v>
      </c>
      <c r="S122">
        <v>4</v>
      </c>
    </row>
    <row r="123" spans="1:19">
      <c r="A123">
        <v>237</v>
      </c>
      <c r="B123" t="s">
        <v>303</v>
      </c>
      <c r="C123">
        <v>524.37159999999994</v>
      </c>
      <c r="D123">
        <v>234.8</v>
      </c>
      <c r="E123">
        <v>-0.78611188413583499</v>
      </c>
      <c r="F123" s="3" t="s">
        <v>18</v>
      </c>
      <c r="G123" s="3" t="s">
        <v>410</v>
      </c>
      <c r="H123" s="3">
        <v>1</v>
      </c>
      <c r="I123" s="5" t="s">
        <v>20</v>
      </c>
      <c r="J123" s="5" t="s">
        <v>410</v>
      </c>
      <c r="K123" s="5">
        <v>1</v>
      </c>
      <c r="L123" s="7" t="s">
        <v>28</v>
      </c>
      <c r="M123" s="7" t="s">
        <v>410</v>
      </c>
      <c r="N123" s="7">
        <v>1</v>
      </c>
      <c r="O123" s="9" t="s">
        <v>29</v>
      </c>
      <c r="P123" s="9" t="s">
        <v>410</v>
      </c>
      <c r="Q123" s="9">
        <v>0.98099999999999998</v>
      </c>
      <c r="R123" t="s">
        <v>23</v>
      </c>
      <c r="S123">
        <v>4</v>
      </c>
    </row>
    <row r="124" spans="1:19">
      <c r="A124">
        <v>257</v>
      </c>
      <c r="B124" t="s">
        <v>319</v>
      </c>
      <c r="C124">
        <v>806.56510000000003</v>
      </c>
      <c r="D124">
        <v>287.2</v>
      </c>
      <c r="E124">
        <v>-0.66452819038875099</v>
      </c>
      <c r="F124" s="3" t="s">
        <v>18</v>
      </c>
      <c r="G124" s="3" t="s">
        <v>410</v>
      </c>
      <c r="H124" s="3">
        <v>0.99199999999999999</v>
      </c>
      <c r="I124" s="5" t="s">
        <v>20</v>
      </c>
      <c r="J124" s="5" t="s">
        <v>410</v>
      </c>
      <c r="K124" s="5">
        <v>1</v>
      </c>
      <c r="L124" s="7" t="s">
        <v>28</v>
      </c>
      <c r="M124" s="7" t="s">
        <v>410</v>
      </c>
      <c r="N124" s="7">
        <v>1</v>
      </c>
      <c r="O124" s="9" t="s">
        <v>29</v>
      </c>
      <c r="P124" s="9" t="s">
        <v>410</v>
      </c>
      <c r="Q124" s="9">
        <v>0.84099999999999997</v>
      </c>
      <c r="R124" t="s">
        <v>23</v>
      </c>
      <c r="S124">
        <v>4</v>
      </c>
    </row>
    <row r="125" spans="1:19">
      <c r="A125">
        <v>262</v>
      </c>
      <c r="B125" t="s">
        <v>323</v>
      </c>
      <c r="C125">
        <v>842.54579999999999</v>
      </c>
      <c r="D125">
        <v>297.10000000000002</v>
      </c>
      <c r="E125">
        <v>-0.60505387078319495</v>
      </c>
      <c r="F125" s="3" t="s">
        <v>18</v>
      </c>
      <c r="G125" s="3" t="s">
        <v>410</v>
      </c>
      <c r="H125" s="3">
        <v>1</v>
      </c>
      <c r="I125" s="5" t="s">
        <v>20</v>
      </c>
      <c r="J125" s="5" t="s">
        <v>410</v>
      </c>
      <c r="K125" s="5">
        <v>1</v>
      </c>
      <c r="L125" s="7" t="s">
        <v>28</v>
      </c>
      <c r="M125" s="7" t="s">
        <v>410</v>
      </c>
      <c r="N125" s="7">
        <v>1</v>
      </c>
      <c r="O125" s="9" t="s">
        <v>29</v>
      </c>
      <c r="P125" s="9" t="s">
        <v>410</v>
      </c>
      <c r="Q125" s="9">
        <v>0.88300000000000001</v>
      </c>
      <c r="R125" t="s">
        <v>23</v>
      </c>
      <c r="S125">
        <v>4</v>
      </c>
    </row>
    <row r="126" spans="1:19">
      <c r="A126">
        <v>278</v>
      </c>
      <c r="B126" t="s">
        <v>340</v>
      </c>
      <c r="C126">
        <v>850.56690000000003</v>
      </c>
      <c r="D126">
        <v>296</v>
      </c>
      <c r="E126">
        <v>-0.61719789619166898</v>
      </c>
      <c r="F126" s="3" t="s">
        <v>18</v>
      </c>
      <c r="G126" s="3" t="s">
        <v>410</v>
      </c>
      <c r="H126" s="3">
        <v>1</v>
      </c>
      <c r="I126" s="5" t="s">
        <v>20</v>
      </c>
      <c r="J126" s="5" t="s">
        <v>410</v>
      </c>
      <c r="K126" s="5">
        <v>1</v>
      </c>
      <c r="L126" s="7" t="s">
        <v>28</v>
      </c>
      <c r="M126" s="7" t="s">
        <v>410</v>
      </c>
      <c r="N126" s="7">
        <v>1</v>
      </c>
      <c r="O126" s="9" t="s">
        <v>29</v>
      </c>
      <c r="P126" s="9" t="s">
        <v>410</v>
      </c>
      <c r="Q126" s="9">
        <v>0.89500000000000002</v>
      </c>
      <c r="R126" t="s">
        <v>23</v>
      </c>
      <c r="S126">
        <v>4</v>
      </c>
    </row>
    <row r="127" spans="1:19">
      <c r="A127">
        <v>292</v>
      </c>
      <c r="B127" t="s">
        <v>355</v>
      </c>
      <c r="C127">
        <v>776.54790000000003</v>
      </c>
      <c r="D127">
        <v>284.7</v>
      </c>
      <c r="E127">
        <v>-0.68084395262974295</v>
      </c>
      <c r="F127" s="3" t="s">
        <v>18</v>
      </c>
      <c r="G127" s="3" t="s">
        <v>410</v>
      </c>
      <c r="H127" s="3">
        <v>1</v>
      </c>
      <c r="I127" s="5" t="s">
        <v>20</v>
      </c>
      <c r="J127" s="5" t="s">
        <v>410</v>
      </c>
      <c r="K127" s="5">
        <v>1</v>
      </c>
      <c r="L127" s="7" t="s">
        <v>28</v>
      </c>
      <c r="M127" s="7" t="s">
        <v>410</v>
      </c>
      <c r="N127" s="7">
        <v>1</v>
      </c>
      <c r="O127" s="9" t="s">
        <v>29</v>
      </c>
      <c r="P127" s="9" t="s">
        <v>410</v>
      </c>
      <c r="Q127" s="9">
        <v>0.73899999999999999</v>
      </c>
      <c r="R127" t="s">
        <v>23</v>
      </c>
      <c r="S127">
        <v>4</v>
      </c>
    </row>
    <row r="128" spans="1:19">
      <c r="A128">
        <v>306</v>
      </c>
      <c r="B128" t="s">
        <v>365</v>
      </c>
      <c r="C128">
        <v>856.58320000000003</v>
      </c>
      <c r="D128">
        <v>295.60000000000002</v>
      </c>
      <c r="E128">
        <v>-0.62678038488570598</v>
      </c>
      <c r="F128" s="3" t="s">
        <v>18</v>
      </c>
      <c r="G128" s="3" t="s">
        <v>410</v>
      </c>
      <c r="H128" s="3">
        <v>1</v>
      </c>
      <c r="I128" s="5" t="s">
        <v>20</v>
      </c>
      <c r="J128" s="5" t="s">
        <v>410</v>
      </c>
      <c r="K128" s="5">
        <v>1</v>
      </c>
      <c r="L128" s="7" t="s">
        <v>28</v>
      </c>
      <c r="M128" s="7" t="s">
        <v>410</v>
      </c>
      <c r="N128" s="7">
        <v>1</v>
      </c>
      <c r="O128" s="9" t="s">
        <v>29</v>
      </c>
      <c r="P128" s="9" t="s">
        <v>410</v>
      </c>
      <c r="Q128" s="9">
        <v>0.91600000000000004</v>
      </c>
      <c r="R128" t="s">
        <v>23</v>
      </c>
      <c r="S128">
        <v>4</v>
      </c>
    </row>
    <row r="129" spans="1:19">
      <c r="A129">
        <v>312</v>
      </c>
      <c r="B129" t="s">
        <v>373</v>
      </c>
      <c r="C129">
        <v>830.56510000000003</v>
      </c>
      <c r="D129">
        <v>291.5</v>
      </c>
      <c r="E129">
        <v>-0.63773094435043698</v>
      </c>
      <c r="F129" s="3" t="s">
        <v>18</v>
      </c>
      <c r="G129" s="3" t="s">
        <v>410</v>
      </c>
      <c r="H129" s="3">
        <v>1</v>
      </c>
      <c r="I129" s="5" t="s">
        <v>20</v>
      </c>
      <c r="J129" s="5" t="s">
        <v>410</v>
      </c>
      <c r="K129" s="5">
        <v>1</v>
      </c>
      <c r="L129" s="7" t="s">
        <v>28</v>
      </c>
      <c r="M129" s="7" t="s">
        <v>410</v>
      </c>
      <c r="N129" s="7">
        <v>1</v>
      </c>
      <c r="O129" s="9" t="s">
        <v>29</v>
      </c>
      <c r="P129" s="9" t="s">
        <v>410</v>
      </c>
      <c r="Q129" s="9">
        <v>0.70299999999999996</v>
      </c>
      <c r="R129" t="s">
        <v>23</v>
      </c>
      <c r="S129">
        <v>4</v>
      </c>
    </row>
    <row r="130" spans="1:19">
      <c r="A130">
        <v>313</v>
      </c>
      <c r="B130" t="s">
        <v>374</v>
      </c>
      <c r="C130">
        <v>736.51279999999997</v>
      </c>
      <c r="D130">
        <v>278.5</v>
      </c>
      <c r="E130">
        <v>-0.69044522033266298</v>
      </c>
      <c r="F130" s="3" t="s">
        <v>18</v>
      </c>
      <c r="G130" s="3" t="s">
        <v>410</v>
      </c>
      <c r="H130" s="3">
        <v>1</v>
      </c>
      <c r="I130" s="5" t="s">
        <v>20</v>
      </c>
      <c r="J130" s="5" t="s">
        <v>410</v>
      </c>
      <c r="K130" s="5">
        <v>1</v>
      </c>
      <c r="L130" s="7" t="s">
        <v>28</v>
      </c>
      <c r="M130" s="7" t="s">
        <v>410</v>
      </c>
      <c r="N130" s="7">
        <v>1</v>
      </c>
      <c r="O130" s="9" t="s">
        <v>29</v>
      </c>
      <c r="P130" s="9" t="s">
        <v>410</v>
      </c>
      <c r="Q130" s="9">
        <v>0.70699999999999996</v>
      </c>
      <c r="R130" t="s">
        <v>23</v>
      </c>
      <c r="S130">
        <v>4</v>
      </c>
    </row>
    <row r="131" spans="1:19">
      <c r="A131">
        <v>319</v>
      </c>
      <c r="B131" t="s">
        <v>378</v>
      </c>
      <c r="C131">
        <v>752.52059999999994</v>
      </c>
      <c r="D131">
        <v>278</v>
      </c>
      <c r="E131">
        <v>-0.68037168053535901</v>
      </c>
      <c r="F131" s="3" t="s">
        <v>18</v>
      </c>
      <c r="G131" s="3" t="s">
        <v>410</v>
      </c>
      <c r="H131" s="3">
        <v>1</v>
      </c>
      <c r="I131" s="5" t="s">
        <v>20</v>
      </c>
      <c r="J131" s="5" t="s">
        <v>410</v>
      </c>
      <c r="K131" s="5">
        <v>1</v>
      </c>
      <c r="L131" s="7" t="s">
        <v>28</v>
      </c>
      <c r="M131" s="7" t="s">
        <v>410</v>
      </c>
      <c r="N131" s="7">
        <v>1</v>
      </c>
      <c r="O131" s="9" t="s">
        <v>29</v>
      </c>
      <c r="P131" s="9" t="s">
        <v>410</v>
      </c>
      <c r="Q131" s="9">
        <v>0.70799999999999996</v>
      </c>
      <c r="R131" t="s">
        <v>23</v>
      </c>
      <c r="S131">
        <v>4</v>
      </c>
    </row>
    <row r="132" spans="1:19">
      <c r="A132">
        <v>343</v>
      </c>
      <c r="B132" t="s">
        <v>398</v>
      </c>
      <c r="C132">
        <v>858.59879999999998</v>
      </c>
      <c r="D132">
        <v>296.89999999999998</v>
      </c>
      <c r="E132">
        <v>-0.64012986283921702</v>
      </c>
      <c r="F132" s="3" t="s">
        <v>18</v>
      </c>
      <c r="G132" s="3" t="s">
        <v>410</v>
      </c>
      <c r="H132" s="3">
        <v>1</v>
      </c>
      <c r="I132" s="5" t="s">
        <v>20</v>
      </c>
      <c r="J132" s="5" t="s">
        <v>410</v>
      </c>
      <c r="K132" s="5">
        <v>1</v>
      </c>
      <c r="L132" s="7" t="s">
        <v>28</v>
      </c>
      <c r="M132" s="7" t="s">
        <v>410</v>
      </c>
      <c r="N132" s="7">
        <v>1</v>
      </c>
      <c r="O132" s="9" t="s">
        <v>29</v>
      </c>
      <c r="P132" s="9" t="s">
        <v>410</v>
      </c>
      <c r="Q132" s="9">
        <v>0.93500000000000005</v>
      </c>
      <c r="R132" t="s">
        <v>23</v>
      </c>
      <c r="S132">
        <v>4</v>
      </c>
    </row>
    <row r="133" spans="1:19">
      <c r="A133">
        <v>41</v>
      </c>
      <c r="B133" t="s">
        <v>101</v>
      </c>
      <c r="C133">
        <v>734.49789999999996</v>
      </c>
      <c r="D133">
        <v>257</v>
      </c>
      <c r="E133">
        <v>-0.67779496079276702</v>
      </c>
      <c r="F133" s="3" t="s">
        <v>18</v>
      </c>
      <c r="G133" s="3" t="s">
        <v>410</v>
      </c>
      <c r="H133" s="3">
        <v>1</v>
      </c>
      <c r="I133" s="5" t="s">
        <v>20</v>
      </c>
      <c r="J133" s="5" t="s">
        <v>410</v>
      </c>
      <c r="K133" s="5">
        <v>0.69</v>
      </c>
      <c r="L133" s="7" t="s">
        <v>28</v>
      </c>
      <c r="M133" s="7" t="s">
        <v>410</v>
      </c>
      <c r="N133" s="7">
        <v>0.87</v>
      </c>
      <c r="O133" s="9" t="s">
        <v>102</v>
      </c>
      <c r="P133" s="9" t="s">
        <v>410</v>
      </c>
      <c r="Q133" s="9">
        <v>0.61199999999999999</v>
      </c>
      <c r="R133" t="s">
        <v>23</v>
      </c>
      <c r="S133">
        <v>4</v>
      </c>
    </row>
    <row r="134" spans="1:19">
      <c r="A134">
        <v>115</v>
      </c>
      <c r="B134" t="s">
        <v>186</v>
      </c>
      <c r="C134">
        <v>721.47839999999997</v>
      </c>
      <c r="D134">
        <v>272</v>
      </c>
      <c r="E134">
        <v>-0.67283190849263996</v>
      </c>
      <c r="F134" s="3" t="s">
        <v>18</v>
      </c>
      <c r="G134" s="3" t="s">
        <v>410</v>
      </c>
      <c r="H134" s="3">
        <v>1</v>
      </c>
      <c r="I134" s="5" t="s">
        <v>20</v>
      </c>
      <c r="J134" s="5" t="s">
        <v>410</v>
      </c>
      <c r="K134" s="5">
        <v>1</v>
      </c>
      <c r="L134" s="7" t="s">
        <v>28</v>
      </c>
      <c r="M134" s="7" t="s">
        <v>410</v>
      </c>
      <c r="N134" s="7">
        <v>1</v>
      </c>
      <c r="O134" s="9" t="s">
        <v>102</v>
      </c>
      <c r="P134" s="9" t="s">
        <v>410</v>
      </c>
      <c r="Q134" s="9">
        <v>0.80900000000000005</v>
      </c>
      <c r="R134" t="s">
        <v>23</v>
      </c>
      <c r="S134">
        <v>4</v>
      </c>
    </row>
    <row r="135" spans="1:19">
      <c r="A135">
        <v>194</v>
      </c>
      <c r="B135" t="s">
        <v>270</v>
      </c>
      <c r="C135">
        <v>795.49159999999995</v>
      </c>
      <c r="D135">
        <v>284.2</v>
      </c>
      <c r="E135">
        <v>-0.60339232805563403</v>
      </c>
      <c r="F135" s="3" t="s">
        <v>18</v>
      </c>
      <c r="G135" s="3" t="s">
        <v>410</v>
      </c>
      <c r="H135" s="3">
        <v>1</v>
      </c>
      <c r="I135" s="5" t="s">
        <v>20</v>
      </c>
      <c r="J135" s="5" t="s">
        <v>410</v>
      </c>
      <c r="K135" s="5">
        <v>1</v>
      </c>
      <c r="L135" s="7" t="s">
        <v>28</v>
      </c>
      <c r="M135" s="7" t="s">
        <v>410</v>
      </c>
      <c r="N135" s="7">
        <v>1</v>
      </c>
      <c r="O135" s="9" t="s">
        <v>102</v>
      </c>
      <c r="P135" s="9" t="s">
        <v>410</v>
      </c>
      <c r="Q135" s="9">
        <v>0.57199999999999995</v>
      </c>
      <c r="R135" t="s">
        <v>23</v>
      </c>
      <c r="S135">
        <v>4</v>
      </c>
    </row>
    <row r="136" spans="1:19">
      <c r="A136">
        <v>36</v>
      </c>
      <c r="B136" t="s">
        <v>91</v>
      </c>
      <c r="C136">
        <v>295.22730000000001</v>
      </c>
      <c r="D136">
        <v>183.4</v>
      </c>
      <c r="E136">
        <v>-0.89766339186058997</v>
      </c>
      <c r="F136" s="3" t="s">
        <v>18</v>
      </c>
      <c r="G136" s="3" t="s">
        <v>410</v>
      </c>
      <c r="H136" s="3">
        <v>0.998</v>
      </c>
      <c r="I136" s="5" t="s">
        <v>20</v>
      </c>
      <c r="J136" s="5" t="s">
        <v>410</v>
      </c>
      <c r="K136" s="5">
        <v>1</v>
      </c>
      <c r="L136" s="7" t="s">
        <v>86</v>
      </c>
      <c r="M136" s="7" t="s">
        <v>410</v>
      </c>
      <c r="N136" s="7">
        <v>1</v>
      </c>
      <c r="O136" s="9" t="s">
        <v>92</v>
      </c>
      <c r="P136" s="9" t="s">
        <v>410</v>
      </c>
      <c r="Q136" s="9">
        <v>0.97899999999999998</v>
      </c>
      <c r="R136" t="s">
        <v>23</v>
      </c>
      <c r="S136">
        <v>4</v>
      </c>
    </row>
    <row r="137" spans="1:19">
      <c r="A137">
        <v>314</v>
      </c>
      <c r="B137" t="s">
        <v>375</v>
      </c>
      <c r="C137">
        <v>277.21640000000002</v>
      </c>
      <c r="D137">
        <v>174.5</v>
      </c>
      <c r="E137">
        <v>-0.90687349680530405</v>
      </c>
      <c r="F137" s="3" t="s">
        <v>18</v>
      </c>
      <c r="G137" s="3" t="s">
        <v>410</v>
      </c>
      <c r="H137" s="3">
        <v>1</v>
      </c>
      <c r="I137" s="5" t="s">
        <v>20</v>
      </c>
      <c r="J137" s="5" t="s">
        <v>410</v>
      </c>
      <c r="K137" s="5">
        <v>1</v>
      </c>
      <c r="L137" s="7" t="s">
        <v>86</v>
      </c>
      <c r="M137" s="7" t="s">
        <v>410</v>
      </c>
      <c r="N137" s="7">
        <v>1</v>
      </c>
      <c r="O137" s="9" t="s">
        <v>92</v>
      </c>
      <c r="P137" s="9" t="s">
        <v>410</v>
      </c>
      <c r="Q137" s="9">
        <v>0.93899999999999995</v>
      </c>
      <c r="R137" t="s">
        <v>23</v>
      </c>
      <c r="S137">
        <v>4</v>
      </c>
    </row>
    <row r="138" spans="1:19">
      <c r="A138">
        <v>337</v>
      </c>
      <c r="B138" t="s">
        <v>393</v>
      </c>
      <c r="C138">
        <v>295.22730000000001</v>
      </c>
      <c r="D138">
        <v>182.5</v>
      </c>
      <c r="E138">
        <v>-0.89766339186058997</v>
      </c>
      <c r="F138" s="3" t="s">
        <v>18</v>
      </c>
      <c r="G138" s="3" t="s">
        <v>410</v>
      </c>
      <c r="H138" s="3">
        <v>1</v>
      </c>
      <c r="I138" s="5" t="s">
        <v>20</v>
      </c>
      <c r="J138" s="5" t="s">
        <v>410</v>
      </c>
      <c r="K138" s="5">
        <v>1</v>
      </c>
      <c r="L138" s="7" t="s">
        <v>86</v>
      </c>
      <c r="M138" s="7" t="s">
        <v>410</v>
      </c>
      <c r="N138" s="7">
        <v>1</v>
      </c>
      <c r="O138" s="9" t="s">
        <v>92</v>
      </c>
      <c r="P138" s="9" t="s">
        <v>410</v>
      </c>
      <c r="Q138" s="9">
        <v>0.98299999999999998</v>
      </c>
      <c r="R138" t="s">
        <v>23</v>
      </c>
      <c r="S138">
        <v>4</v>
      </c>
    </row>
    <row r="139" spans="1:19">
      <c r="A139">
        <v>34</v>
      </c>
      <c r="B139" t="s">
        <v>88</v>
      </c>
      <c r="C139">
        <v>149.029</v>
      </c>
      <c r="D139">
        <v>167.3</v>
      </c>
      <c r="E139">
        <v>-0.862601384172763</v>
      </c>
      <c r="F139" s="3" t="s">
        <v>18</v>
      </c>
      <c r="G139" s="3" t="s">
        <v>410</v>
      </c>
      <c r="H139" s="3">
        <v>1</v>
      </c>
      <c r="I139" s="5" t="s">
        <v>20</v>
      </c>
      <c r="J139" s="5" t="s">
        <v>410</v>
      </c>
      <c r="K139" s="5">
        <v>0.75</v>
      </c>
      <c r="L139" s="7" t="s">
        <v>86</v>
      </c>
      <c r="M139" s="7" t="s">
        <v>410</v>
      </c>
      <c r="N139" s="7">
        <v>1</v>
      </c>
      <c r="O139" s="9" t="s">
        <v>89</v>
      </c>
      <c r="P139" s="9" t="s">
        <v>410</v>
      </c>
      <c r="Q139" s="9">
        <v>0.99299999999999999</v>
      </c>
      <c r="R139" t="s">
        <v>23</v>
      </c>
      <c r="S139">
        <v>4</v>
      </c>
    </row>
    <row r="140" spans="1:19">
      <c r="A140">
        <v>38</v>
      </c>
      <c r="B140" t="s">
        <v>94</v>
      </c>
      <c r="C140">
        <v>167.03219999999999</v>
      </c>
      <c r="D140">
        <v>133</v>
      </c>
      <c r="E140">
        <v>-0.84569987667782698</v>
      </c>
      <c r="F140" s="3" t="s">
        <v>18</v>
      </c>
      <c r="G140" s="3" t="s">
        <v>410</v>
      </c>
      <c r="H140" s="3">
        <v>1</v>
      </c>
      <c r="I140" s="5" t="s">
        <v>20</v>
      </c>
      <c r="J140" s="5" t="s">
        <v>410</v>
      </c>
      <c r="K140" s="5">
        <v>0.97</v>
      </c>
      <c r="L140" s="7" t="s">
        <v>86</v>
      </c>
      <c r="M140" s="7" t="s">
        <v>410</v>
      </c>
      <c r="N140" s="7">
        <v>1</v>
      </c>
      <c r="O140" s="9" t="s">
        <v>89</v>
      </c>
      <c r="P140" s="9" t="s">
        <v>410</v>
      </c>
      <c r="Q140" s="9">
        <v>1</v>
      </c>
      <c r="R140" t="s">
        <v>23</v>
      </c>
      <c r="S140">
        <v>4</v>
      </c>
    </row>
    <row r="141" spans="1:19">
      <c r="A141">
        <v>73</v>
      </c>
      <c r="B141" t="s">
        <v>136</v>
      </c>
      <c r="C141">
        <v>281.24829999999997</v>
      </c>
      <c r="D141">
        <v>175.5</v>
      </c>
      <c r="E141">
        <v>-0.93427167112599796</v>
      </c>
      <c r="F141" s="3" t="s">
        <v>18</v>
      </c>
      <c r="G141" s="3" t="s">
        <v>410</v>
      </c>
      <c r="H141" s="3">
        <v>1</v>
      </c>
      <c r="I141" s="5" t="s">
        <v>20</v>
      </c>
      <c r="J141" s="5" t="s">
        <v>410</v>
      </c>
      <c r="K141" s="5">
        <v>1</v>
      </c>
      <c r="L141" s="7" t="s">
        <v>86</v>
      </c>
      <c r="M141" s="7" t="s">
        <v>410</v>
      </c>
      <c r="N141" s="7">
        <v>1</v>
      </c>
      <c r="O141" s="9" t="s">
        <v>89</v>
      </c>
      <c r="P141" s="9" t="s">
        <v>410</v>
      </c>
      <c r="Q141" s="9">
        <v>0.875</v>
      </c>
      <c r="R141" t="s">
        <v>23</v>
      </c>
      <c r="S141">
        <v>4</v>
      </c>
    </row>
    <row r="142" spans="1:19">
      <c r="A142">
        <v>126</v>
      </c>
      <c r="B142" t="s">
        <v>198</v>
      </c>
      <c r="C142">
        <v>675.40840000000003</v>
      </c>
      <c r="D142">
        <v>254</v>
      </c>
      <c r="E142">
        <v>-0.65427145536716602</v>
      </c>
      <c r="F142" s="3" t="s">
        <v>18</v>
      </c>
      <c r="G142" s="3" t="s">
        <v>410</v>
      </c>
      <c r="H142" s="3">
        <v>1</v>
      </c>
      <c r="I142" s="5" t="s">
        <v>20</v>
      </c>
      <c r="J142" s="5" t="s">
        <v>410</v>
      </c>
      <c r="K142" s="5">
        <v>0.85</v>
      </c>
      <c r="L142" s="7" t="s">
        <v>86</v>
      </c>
      <c r="M142" s="7" t="s">
        <v>410</v>
      </c>
      <c r="N142" s="7">
        <v>0.96</v>
      </c>
      <c r="O142" s="9" t="s">
        <v>89</v>
      </c>
      <c r="P142" s="9" t="s">
        <v>410</v>
      </c>
      <c r="Q142" s="9">
        <v>1</v>
      </c>
      <c r="R142" t="s">
        <v>23</v>
      </c>
      <c r="S142">
        <v>4</v>
      </c>
    </row>
    <row r="143" spans="1:19">
      <c r="A143">
        <v>127</v>
      </c>
      <c r="B143" t="s">
        <v>199</v>
      </c>
      <c r="C143">
        <v>225.10890000000001</v>
      </c>
      <c r="D143">
        <v>152.9</v>
      </c>
      <c r="E143">
        <v>-0.85755422588630403</v>
      </c>
      <c r="F143" s="3" t="s">
        <v>18</v>
      </c>
      <c r="G143" s="3" t="s">
        <v>410</v>
      </c>
      <c r="H143" s="3">
        <v>0.998</v>
      </c>
      <c r="I143" s="5" t="s">
        <v>20</v>
      </c>
      <c r="J143" s="5" t="s">
        <v>410</v>
      </c>
      <c r="K143" s="5">
        <v>0.61</v>
      </c>
      <c r="L143" s="7" t="s">
        <v>86</v>
      </c>
      <c r="M143" s="7" t="s">
        <v>410</v>
      </c>
      <c r="N143" s="7">
        <v>0.99</v>
      </c>
      <c r="O143" s="9" t="s">
        <v>89</v>
      </c>
      <c r="P143" s="9" t="s">
        <v>410</v>
      </c>
      <c r="Q143" s="9">
        <v>0.98599999999999999</v>
      </c>
      <c r="R143" t="s">
        <v>23</v>
      </c>
      <c r="S143">
        <v>4</v>
      </c>
    </row>
    <row r="144" spans="1:19">
      <c r="A144">
        <v>131</v>
      </c>
      <c r="B144" t="s">
        <v>204</v>
      </c>
      <c r="C144">
        <v>183.0626</v>
      </c>
      <c r="D144">
        <v>140.19999999999999</v>
      </c>
      <c r="E144">
        <v>-0.85820110280727102</v>
      </c>
      <c r="F144" s="3" t="s">
        <v>18</v>
      </c>
      <c r="G144" s="3" t="s">
        <v>410</v>
      </c>
      <c r="H144" s="3">
        <v>1</v>
      </c>
      <c r="I144" s="5" t="s">
        <v>20</v>
      </c>
      <c r="J144" s="5" t="s">
        <v>410</v>
      </c>
      <c r="K144" s="5">
        <v>0.6</v>
      </c>
      <c r="L144" s="7" t="s">
        <v>86</v>
      </c>
      <c r="M144" s="7" t="s">
        <v>410</v>
      </c>
      <c r="N144" s="7">
        <v>1</v>
      </c>
      <c r="O144" s="9" t="s">
        <v>89</v>
      </c>
      <c r="P144" s="9" t="s">
        <v>410</v>
      </c>
      <c r="Q144" s="9">
        <v>1</v>
      </c>
      <c r="R144" t="s">
        <v>23</v>
      </c>
      <c r="S144">
        <v>4</v>
      </c>
    </row>
    <row r="145" spans="1:19">
      <c r="A145">
        <v>212</v>
      </c>
      <c r="B145" t="s">
        <v>284</v>
      </c>
      <c r="C145">
        <v>327.23</v>
      </c>
      <c r="D145">
        <v>179.8</v>
      </c>
      <c r="E145">
        <v>-0.86463071578589301</v>
      </c>
      <c r="F145" s="3" t="s">
        <v>18</v>
      </c>
      <c r="G145" s="3" t="s">
        <v>410</v>
      </c>
      <c r="H145" s="3">
        <v>1</v>
      </c>
      <c r="I145" s="5" t="s">
        <v>20</v>
      </c>
      <c r="J145" s="5" t="s">
        <v>410</v>
      </c>
      <c r="K145" s="5">
        <v>0.89</v>
      </c>
      <c r="L145" s="7" t="s">
        <v>86</v>
      </c>
      <c r="M145" s="7" t="s">
        <v>410</v>
      </c>
      <c r="N145" s="7">
        <v>0.96</v>
      </c>
      <c r="O145" s="9" t="s">
        <v>89</v>
      </c>
      <c r="P145" s="9" t="s">
        <v>410</v>
      </c>
      <c r="Q145" s="9">
        <v>0.93600000000000005</v>
      </c>
      <c r="R145" t="s">
        <v>23</v>
      </c>
      <c r="S145">
        <v>4</v>
      </c>
    </row>
    <row r="146" spans="1:19">
      <c r="A146">
        <v>213</v>
      </c>
      <c r="B146" t="s">
        <v>285</v>
      </c>
      <c r="C146">
        <v>197.07859999999999</v>
      </c>
      <c r="D146">
        <v>144.19999999999999</v>
      </c>
      <c r="E146">
        <v>-0.85855151112085104</v>
      </c>
      <c r="F146" s="3" t="s">
        <v>18</v>
      </c>
      <c r="G146" s="3" t="s">
        <v>410</v>
      </c>
      <c r="H146" s="3">
        <v>1</v>
      </c>
      <c r="I146" s="5" t="s">
        <v>20</v>
      </c>
      <c r="J146" s="5" t="s">
        <v>410</v>
      </c>
      <c r="K146" s="5">
        <v>0.64</v>
      </c>
      <c r="L146" s="7" t="s">
        <v>86</v>
      </c>
      <c r="M146" s="7" t="s">
        <v>410</v>
      </c>
      <c r="N146" s="7">
        <v>1</v>
      </c>
      <c r="O146" s="9" t="s">
        <v>89</v>
      </c>
      <c r="P146" s="9" t="s">
        <v>410</v>
      </c>
      <c r="Q146" s="9">
        <v>0.97599999999999998</v>
      </c>
      <c r="R146" t="s">
        <v>23</v>
      </c>
      <c r="S146">
        <v>4</v>
      </c>
    </row>
    <row r="147" spans="1:19">
      <c r="A147">
        <v>222</v>
      </c>
      <c r="B147" t="s">
        <v>291</v>
      </c>
      <c r="C147">
        <v>281.24689999999998</v>
      </c>
      <c r="D147">
        <v>175.6</v>
      </c>
      <c r="E147">
        <v>-0.93287323429865399</v>
      </c>
      <c r="F147" s="3" t="s">
        <v>18</v>
      </c>
      <c r="G147" s="3" t="s">
        <v>410</v>
      </c>
      <c r="H147" s="3">
        <v>1</v>
      </c>
      <c r="I147" s="5" t="s">
        <v>20</v>
      </c>
      <c r="J147" s="5" t="s">
        <v>410</v>
      </c>
      <c r="K147" s="5">
        <v>1</v>
      </c>
      <c r="L147" s="7" t="s">
        <v>86</v>
      </c>
      <c r="M147" s="7" t="s">
        <v>410</v>
      </c>
      <c r="N147" s="7">
        <v>1</v>
      </c>
      <c r="O147" s="9" t="s">
        <v>89</v>
      </c>
      <c r="P147" s="9" t="s">
        <v>410</v>
      </c>
      <c r="Q147" s="9">
        <v>0.78500000000000003</v>
      </c>
      <c r="R147" t="s">
        <v>23</v>
      </c>
      <c r="S147">
        <v>4</v>
      </c>
    </row>
    <row r="148" spans="1:19">
      <c r="A148">
        <v>241</v>
      </c>
      <c r="B148" t="s">
        <v>307</v>
      </c>
      <c r="C148">
        <v>327.23169999999999</v>
      </c>
      <c r="D148">
        <v>190.5</v>
      </c>
      <c r="E148">
        <v>-0.86632881764762704</v>
      </c>
      <c r="F148" s="3" t="s">
        <v>18</v>
      </c>
      <c r="G148" s="3" t="s">
        <v>410</v>
      </c>
      <c r="H148" s="3">
        <v>1</v>
      </c>
      <c r="I148" s="5" t="s">
        <v>20</v>
      </c>
      <c r="J148" s="5" t="s">
        <v>410</v>
      </c>
      <c r="K148" s="5">
        <v>1</v>
      </c>
      <c r="L148" s="7" t="s">
        <v>86</v>
      </c>
      <c r="M148" s="7" t="s">
        <v>410</v>
      </c>
      <c r="N148" s="7">
        <v>0.93</v>
      </c>
      <c r="O148" s="9" t="s">
        <v>89</v>
      </c>
      <c r="P148" s="9" t="s">
        <v>410</v>
      </c>
      <c r="Q148" s="9">
        <v>0.876</v>
      </c>
      <c r="R148" t="s">
        <v>23</v>
      </c>
      <c r="S148">
        <v>4</v>
      </c>
    </row>
    <row r="149" spans="1:19">
      <c r="A149">
        <v>263</v>
      </c>
      <c r="B149" t="s">
        <v>324</v>
      </c>
      <c r="C149">
        <v>305.24860000000001</v>
      </c>
      <c r="D149">
        <v>182.6</v>
      </c>
      <c r="E149">
        <v>-0.90777409012207499</v>
      </c>
      <c r="F149" s="3" t="s">
        <v>18</v>
      </c>
      <c r="G149" s="3" t="s">
        <v>410</v>
      </c>
      <c r="H149" s="3">
        <v>1</v>
      </c>
      <c r="I149" s="5" t="s">
        <v>20</v>
      </c>
      <c r="J149" s="5" t="s">
        <v>410</v>
      </c>
      <c r="K149" s="5">
        <v>1</v>
      </c>
      <c r="L149" s="7" t="s">
        <v>86</v>
      </c>
      <c r="M149" s="7" t="s">
        <v>410</v>
      </c>
      <c r="N149" s="7">
        <v>1</v>
      </c>
      <c r="O149" s="9" t="s">
        <v>89</v>
      </c>
      <c r="P149" s="9" t="s">
        <v>410</v>
      </c>
      <c r="Q149" s="9">
        <v>0.995</v>
      </c>
      <c r="R149" t="s">
        <v>23</v>
      </c>
      <c r="S149">
        <v>4</v>
      </c>
    </row>
    <row r="150" spans="1:19">
      <c r="A150">
        <v>273</v>
      </c>
      <c r="B150" t="s">
        <v>336</v>
      </c>
      <c r="C150">
        <v>367.22489999999999</v>
      </c>
      <c r="D150">
        <v>190.3</v>
      </c>
      <c r="E150">
        <v>-0.81487433347001603</v>
      </c>
      <c r="F150" s="3" t="s">
        <v>18</v>
      </c>
      <c r="G150" s="3" t="s">
        <v>410</v>
      </c>
      <c r="H150" s="3">
        <v>1</v>
      </c>
      <c r="I150" s="5" t="s">
        <v>20</v>
      </c>
      <c r="J150" s="5" t="s">
        <v>410</v>
      </c>
      <c r="K150" s="5">
        <v>1</v>
      </c>
      <c r="L150" s="7" t="s">
        <v>86</v>
      </c>
      <c r="M150" s="7" t="s">
        <v>410</v>
      </c>
      <c r="N150" s="7">
        <v>0.99</v>
      </c>
      <c r="O150" s="9" t="s">
        <v>89</v>
      </c>
      <c r="P150" s="9" t="s">
        <v>410</v>
      </c>
      <c r="Q150" s="9">
        <v>0.82499999999999996</v>
      </c>
      <c r="R150" t="s">
        <v>23</v>
      </c>
      <c r="S150">
        <v>4</v>
      </c>
    </row>
    <row r="151" spans="1:19">
      <c r="A151">
        <v>302</v>
      </c>
      <c r="B151" t="s">
        <v>361</v>
      </c>
      <c r="C151">
        <v>283.26429999999999</v>
      </c>
      <c r="D151">
        <v>177.3</v>
      </c>
      <c r="E151">
        <v>-0.948020702458791</v>
      </c>
      <c r="F151" s="3" t="s">
        <v>18</v>
      </c>
      <c r="G151" s="3" t="s">
        <v>410</v>
      </c>
      <c r="H151" s="3">
        <v>1</v>
      </c>
      <c r="I151" s="5" t="s">
        <v>20</v>
      </c>
      <c r="J151" s="5" t="s">
        <v>410</v>
      </c>
      <c r="K151" s="5">
        <v>1</v>
      </c>
      <c r="L151" s="7" t="s">
        <v>86</v>
      </c>
      <c r="M151" s="7" t="s">
        <v>410</v>
      </c>
      <c r="N151" s="7">
        <v>1</v>
      </c>
      <c r="O151" s="9" t="s">
        <v>89</v>
      </c>
      <c r="P151" s="9" t="s">
        <v>410</v>
      </c>
      <c r="Q151" s="9">
        <v>0.996</v>
      </c>
      <c r="R151" t="s">
        <v>23</v>
      </c>
      <c r="S151">
        <v>4</v>
      </c>
    </row>
    <row r="152" spans="1:19">
      <c r="A152">
        <v>310</v>
      </c>
      <c r="B152" t="s">
        <v>371</v>
      </c>
      <c r="C152">
        <v>365.34050000000002</v>
      </c>
      <c r="D152">
        <v>197.3</v>
      </c>
      <c r="E152">
        <v>-0.93257836390483795</v>
      </c>
      <c r="F152" s="3" t="s">
        <v>18</v>
      </c>
      <c r="G152" s="3" t="s">
        <v>410</v>
      </c>
      <c r="H152" s="3">
        <v>1</v>
      </c>
      <c r="I152" s="5" t="s">
        <v>20</v>
      </c>
      <c r="J152" s="5" t="s">
        <v>410</v>
      </c>
      <c r="K152" s="5">
        <v>0.98</v>
      </c>
      <c r="L152" s="7" t="s">
        <v>86</v>
      </c>
      <c r="M152" s="7" t="s">
        <v>410</v>
      </c>
      <c r="N152" s="7">
        <v>0.98</v>
      </c>
      <c r="O152" s="9" t="s">
        <v>89</v>
      </c>
      <c r="P152" s="9" t="s">
        <v>410</v>
      </c>
      <c r="Q152" s="9">
        <v>0.97199999999999998</v>
      </c>
      <c r="R152" t="s">
        <v>23</v>
      </c>
      <c r="S152">
        <v>4</v>
      </c>
    </row>
    <row r="153" spans="1:19">
      <c r="A153">
        <v>316</v>
      </c>
      <c r="B153" t="s">
        <v>198</v>
      </c>
      <c r="C153">
        <v>693.41899999999998</v>
      </c>
      <c r="D153">
        <v>244.3</v>
      </c>
      <c r="E153">
        <v>-0.644761685388062</v>
      </c>
      <c r="F153" s="3" t="s">
        <v>18</v>
      </c>
      <c r="G153" s="3" t="s">
        <v>410</v>
      </c>
      <c r="H153" s="3">
        <v>1</v>
      </c>
      <c r="I153" s="5" t="s">
        <v>20</v>
      </c>
      <c r="J153" s="5" t="s">
        <v>410</v>
      </c>
      <c r="K153" s="5">
        <v>0.97</v>
      </c>
      <c r="L153" s="7" t="s">
        <v>86</v>
      </c>
      <c r="M153" s="7" t="s">
        <v>410</v>
      </c>
      <c r="N153" s="7">
        <v>0.99</v>
      </c>
      <c r="O153" s="9" t="s">
        <v>89</v>
      </c>
      <c r="P153" s="9" t="s">
        <v>410</v>
      </c>
      <c r="Q153" s="9">
        <v>0.997</v>
      </c>
      <c r="R153" t="s">
        <v>23</v>
      </c>
      <c r="S153">
        <v>4</v>
      </c>
    </row>
    <row r="154" spans="1:19">
      <c r="A154">
        <v>351</v>
      </c>
      <c r="B154" t="s">
        <v>406</v>
      </c>
      <c r="C154">
        <v>279.23090000000002</v>
      </c>
      <c r="D154">
        <v>177.8</v>
      </c>
      <c r="E154">
        <v>-0.91912420296591801</v>
      </c>
      <c r="F154" s="3" t="s">
        <v>18</v>
      </c>
      <c r="G154" s="3" t="s">
        <v>410</v>
      </c>
      <c r="H154" s="3">
        <v>1</v>
      </c>
      <c r="I154" s="5" t="s">
        <v>20</v>
      </c>
      <c r="J154" s="5" t="s">
        <v>410</v>
      </c>
      <c r="K154" s="5">
        <v>1</v>
      </c>
      <c r="L154" s="7" t="s">
        <v>86</v>
      </c>
      <c r="M154" s="7" t="s">
        <v>410</v>
      </c>
      <c r="N154" s="7">
        <v>1</v>
      </c>
      <c r="O154" s="9" t="s">
        <v>89</v>
      </c>
      <c r="P154" s="9" t="s">
        <v>410</v>
      </c>
      <c r="Q154" s="9">
        <v>0.65</v>
      </c>
      <c r="R154" t="s">
        <v>23</v>
      </c>
      <c r="S154">
        <v>4</v>
      </c>
    </row>
    <row r="155" spans="1:19">
      <c r="A155">
        <v>100</v>
      </c>
      <c r="B155" t="s">
        <v>171</v>
      </c>
      <c r="C155">
        <v>204.12219999999999</v>
      </c>
      <c r="D155">
        <v>143.5</v>
      </c>
      <c r="E155">
        <v>-0.89428696602934099</v>
      </c>
      <c r="F155" s="3" t="s">
        <v>18</v>
      </c>
      <c r="G155" s="3" t="s">
        <v>410</v>
      </c>
      <c r="H155" s="3">
        <v>1</v>
      </c>
      <c r="I155" s="5" t="s">
        <v>20</v>
      </c>
      <c r="J155" s="5" t="s">
        <v>410</v>
      </c>
      <c r="K155" s="5">
        <v>0.78</v>
      </c>
      <c r="L155" s="7" t="s">
        <v>86</v>
      </c>
      <c r="M155" s="7" t="s">
        <v>410</v>
      </c>
      <c r="N155" s="7">
        <v>1</v>
      </c>
      <c r="O155" s="9" t="s">
        <v>172</v>
      </c>
      <c r="P155" s="9" t="s">
        <v>410</v>
      </c>
      <c r="Q155" s="9">
        <v>0.628</v>
      </c>
      <c r="R155" t="s">
        <v>23</v>
      </c>
      <c r="S155">
        <v>4</v>
      </c>
    </row>
    <row r="156" spans="1:19">
      <c r="A156">
        <v>269</v>
      </c>
      <c r="B156" t="s">
        <v>330</v>
      </c>
      <c r="C156">
        <v>745.62840000000006</v>
      </c>
      <c r="D156">
        <v>291.2</v>
      </c>
      <c r="E156">
        <v>-0.79586717966662901</v>
      </c>
      <c r="F156" s="3" t="s">
        <v>18</v>
      </c>
      <c r="G156" s="3" t="s">
        <v>410</v>
      </c>
      <c r="H156" s="3">
        <v>1</v>
      </c>
      <c r="I156" s="5" t="s">
        <v>20</v>
      </c>
      <c r="J156" s="5" t="s">
        <v>410</v>
      </c>
      <c r="K156" s="5">
        <v>0.98</v>
      </c>
      <c r="L156" s="7" t="s">
        <v>86</v>
      </c>
      <c r="M156" s="7" t="s">
        <v>410</v>
      </c>
      <c r="N156" s="7">
        <v>0.69</v>
      </c>
      <c r="O156" s="9" t="s">
        <v>172</v>
      </c>
      <c r="P156" s="9" t="s">
        <v>410</v>
      </c>
      <c r="Q156" s="9">
        <v>0.61299999999999999</v>
      </c>
      <c r="R156" t="s">
        <v>23</v>
      </c>
      <c r="S156">
        <v>4</v>
      </c>
    </row>
    <row r="157" spans="1:19">
      <c r="A157">
        <v>293</v>
      </c>
      <c r="B157" t="s">
        <v>356</v>
      </c>
      <c r="C157">
        <v>400.33850000000001</v>
      </c>
      <c r="D157">
        <v>213.8</v>
      </c>
      <c r="E157">
        <v>-0.891501279869374</v>
      </c>
      <c r="F157" s="3" t="s">
        <v>18</v>
      </c>
      <c r="G157" s="3" t="s">
        <v>410</v>
      </c>
      <c r="H157" s="3">
        <v>1</v>
      </c>
      <c r="I157" s="5" t="s">
        <v>20</v>
      </c>
      <c r="J157" s="5" t="s">
        <v>410</v>
      </c>
      <c r="K157" s="5">
        <v>0.96</v>
      </c>
      <c r="L157" s="7" t="s">
        <v>86</v>
      </c>
      <c r="M157" s="7" t="s">
        <v>410</v>
      </c>
      <c r="N157" s="7">
        <v>1</v>
      </c>
      <c r="O157" s="9" t="s">
        <v>172</v>
      </c>
      <c r="P157" s="9" t="s">
        <v>410</v>
      </c>
      <c r="Q157" s="9">
        <v>0.93</v>
      </c>
      <c r="R157" t="s">
        <v>23</v>
      </c>
      <c r="S157">
        <v>4</v>
      </c>
    </row>
    <row r="158" spans="1:19">
      <c r="A158">
        <v>33</v>
      </c>
      <c r="B158" t="s">
        <v>85</v>
      </c>
      <c r="C158">
        <v>343.22109999999998</v>
      </c>
      <c r="D158">
        <v>193.2</v>
      </c>
      <c r="E158">
        <v>-0.83787582240569203</v>
      </c>
      <c r="F158" s="3" t="s">
        <v>18</v>
      </c>
      <c r="G158" s="3" t="s">
        <v>410</v>
      </c>
      <c r="H158" s="3">
        <v>1</v>
      </c>
      <c r="I158" s="5" t="s">
        <v>20</v>
      </c>
      <c r="J158" s="5" t="s">
        <v>410</v>
      </c>
      <c r="K158" s="5">
        <v>1</v>
      </c>
      <c r="L158" s="7" t="s">
        <v>86</v>
      </c>
      <c r="M158" s="7" t="s">
        <v>410</v>
      </c>
      <c r="N158" s="7">
        <v>1</v>
      </c>
      <c r="O158" s="9" t="s">
        <v>87</v>
      </c>
      <c r="P158" s="9" t="s">
        <v>410</v>
      </c>
      <c r="Q158" s="9">
        <v>0.96399999999999997</v>
      </c>
      <c r="R158" t="s">
        <v>23</v>
      </c>
      <c r="S158">
        <v>4</v>
      </c>
    </row>
    <row r="159" spans="1:19">
      <c r="A159">
        <v>72</v>
      </c>
      <c r="B159" t="s">
        <v>135</v>
      </c>
      <c r="C159">
        <v>495.25290000000001</v>
      </c>
      <c r="D159">
        <v>225.5</v>
      </c>
      <c r="E159">
        <v>-0.69992442447829695</v>
      </c>
      <c r="F159" s="3" t="s">
        <v>18</v>
      </c>
      <c r="G159" s="3" t="s">
        <v>410</v>
      </c>
      <c r="H159" s="3">
        <v>1</v>
      </c>
      <c r="I159" s="5" t="s">
        <v>20</v>
      </c>
      <c r="J159" s="5" t="s">
        <v>410</v>
      </c>
      <c r="K159" s="5">
        <v>0.81</v>
      </c>
      <c r="L159" s="7" t="s">
        <v>86</v>
      </c>
      <c r="M159" s="7" t="s">
        <v>410</v>
      </c>
      <c r="N159" s="7">
        <v>0.62</v>
      </c>
      <c r="O159" s="9" t="s">
        <v>87</v>
      </c>
      <c r="P159" s="9" t="s">
        <v>410</v>
      </c>
      <c r="Q159" s="9">
        <v>0.97499999999999998</v>
      </c>
      <c r="R159" t="s">
        <v>23</v>
      </c>
      <c r="S159">
        <v>4</v>
      </c>
    </row>
    <row r="160" spans="1:19">
      <c r="A160">
        <v>83</v>
      </c>
      <c r="B160" t="s">
        <v>149</v>
      </c>
      <c r="C160">
        <v>391.20960000000002</v>
      </c>
      <c r="D160">
        <v>198</v>
      </c>
      <c r="E160">
        <v>-0.77279417067603595</v>
      </c>
      <c r="F160" s="3" t="s">
        <v>18</v>
      </c>
      <c r="G160" s="3" t="s">
        <v>410</v>
      </c>
      <c r="H160" s="3">
        <v>1</v>
      </c>
      <c r="I160" s="5" t="s">
        <v>20</v>
      </c>
      <c r="J160" s="5" t="s">
        <v>410</v>
      </c>
      <c r="K160" s="5">
        <v>0.99</v>
      </c>
      <c r="L160" s="7" t="s">
        <v>86</v>
      </c>
      <c r="M160" s="7" t="s">
        <v>410</v>
      </c>
      <c r="N160" s="7">
        <v>0.89</v>
      </c>
      <c r="O160" s="9" t="s">
        <v>87</v>
      </c>
      <c r="P160" s="9" t="s">
        <v>410</v>
      </c>
      <c r="Q160" s="9">
        <v>0.83099999999999996</v>
      </c>
      <c r="R160" t="s">
        <v>23</v>
      </c>
      <c r="S160">
        <v>4</v>
      </c>
    </row>
    <row r="161" spans="1:19">
      <c r="A161">
        <v>104</v>
      </c>
      <c r="B161" t="s">
        <v>176</v>
      </c>
      <c r="C161">
        <v>375.21469999999999</v>
      </c>
      <c r="D161">
        <v>195.4</v>
      </c>
      <c r="E161">
        <v>-0.79575330695348601</v>
      </c>
      <c r="F161" s="3" t="s">
        <v>18</v>
      </c>
      <c r="G161" s="3" t="s">
        <v>410</v>
      </c>
      <c r="H161" s="3">
        <v>1</v>
      </c>
      <c r="I161" s="5" t="s">
        <v>20</v>
      </c>
      <c r="J161" s="5" t="s">
        <v>410</v>
      </c>
      <c r="K161" s="5">
        <v>1</v>
      </c>
      <c r="L161" s="7" t="s">
        <v>86</v>
      </c>
      <c r="M161" s="7" t="s">
        <v>410</v>
      </c>
      <c r="N161" s="7">
        <v>0.98</v>
      </c>
      <c r="O161" s="9" t="s">
        <v>87</v>
      </c>
      <c r="P161" s="9" t="s">
        <v>410</v>
      </c>
      <c r="Q161" s="9">
        <v>0.96599999999999997</v>
      </c>
      <c r="R161" t="s">
        <v>23</v>
      </c>
      <c r="S161">
        <v>4</v>
      </c>
    </row>
    <row r="162" spans="1:19">
      <c r="A162">
        <v>166</v>
      </c>
      <c r="B162" t="s">
        <v>244</v>
      </c>
      <c r="C162">
        <v>438.23140000000001</v>
      </c>
      <c r="D162">
        <v>213.2</v>
      </c>
      <c r="E162">
        <v>-0.74209188968569595</v>
      </c>
      <c r="F162" s="3" t="s">
        <v>18</v>
      </c>
      <c r="G162" s="3" t="s">
        <v>410</v>
      </c>
      <c r="H162" s="3">
        <v>1</v>
      </c>
      <c r="I162" s="5" t="s">
        <v>20</v>
      </c>
      <c r="J162" s="5" t="s">
        <v>410</v>
      </c>
      <c r="K162" s="5">
        <v>0.94</v>
      </c>
      <c r="L162" s="7" t="s">
        <v>86</v>
      </c>
      <c r="M162" s="7" t="s">
        <v>410</v>
      </c>
      <c r="N162" s="7">
        <v>0.7</v>
      </c>
      <c r="O162" s="9" t="s">
        <v>87</v>
      </c>
      <c r="P162" s="9" t="s">
        <v>410</v>
      </c>
      <c r="Q162" s="9">
        <v>0.95899999999999996</v>
      </c>
      <c r="R162" t="s">
        <v>23</v>
      </c>
      <c r="S162">
        <v>4</v>
      </c>
    </row>
    <row r="163" spans="1:19">
      <c r="A163">
        <v>168</v>
      </c>
      <c r="B163" t="s">
        <v>246</v>
      </c>
      <c r="C163">
        <v>359.21980000000002</v>
      </c>
      <c r="D163">
        <v>194.8</v>
      </c>
      <c r="E163">
        <v>-0.81871244323093595</v>
      </c>
      <c r="F163" s="3" t="s">
        <v>18</v>
      </c>
      <c r="G163" s="3" t="s">
        <v>410</v>
      </c>
      <c r="H163" s="3">
        <v>1</v>
      </c>
      <c r="I163" s="5" t="s">
        <v>20</v>
      </c>
      <c r="J163" s="5" t="s">
        <v>410</v>
      </c>
      <c r="K163" s="5">
        <v>0.99</v>
      </c>
      <c r="L163" s="7" t="s">
        <v>86</v>
      </c>
      <c r="M163" s="7" t="s">
        <v>410</v>
      </c>
      <c r="N163" s="7">
        <v>0.84</v>
      </c>
      <c r="O163" s="9" t="s">
        <v>87</v>
      </c>
      <c r="P163" s="9" t="s">
        <v>410</v>
      </c>
      <c r="Q163" s="9">
        <v>0.84599999999999997</v>
      </c>
      <c r="R163" t="s">
        <v>23</v>
      </c>
      <c r="S163">
        <v>4</v>
      </c>
    </row>
    <row r="164" spans="1:19">
      <c r="A164">
        <v>206</v>
      </c>
      <c r="B164" t="s">
        <v>277</v>
      </c>
      <c r="C164">
        <v>393.2253</v>
      </c>
      <c r="D164">
        <v>202.9</v>
      </c>
      <c r="E164">
        <v>-0.78624353697432503</v>
      </c>
      <c r="F164" s="3" t="s">
        <v>18</v>
      </c>
      <c r="G164" s="3" t="s">
        <v>410</v>
      </c>
      <c r="H164" s="3">
        <v>1</v>
      </c>
      <c r="I164" s="5" t="s">
        <v>20</v>
      </c>
      <c r="J164" s="5" t="s">
        <v>410</v>
      </c>
      <c r="K164" s="5">
        <v>0.9</v>
      </c>
      <c r="L164" s="7" t="s">
        <v>86</v>
      </c>
      <c r="M164" s="7" t="s">
        <v>410</v>
      </c>
      <c r="N164" s="7">
        <v>0.71</v>
      </c>
      <c r="O164" s="9" t="s">
        <v>87</v>
      </c>
      <c r="P164" s="9" t="s">
        <v>410</v>
      </c>
      <c r="Q164" s="9">
        <v>0.97699999999999998</v>
      </c>
      <c r="R164" t="s">
        <v>23</v>
      </c>
      <c r="S164">
        <v>4</v>
      </c>
    </row>
    <row r="165" spans="1:19">
      <c r="A165">
        <v>251</v>
      </c>
      <c r="B165" t="s">
        <v>315</v>
      </c>
      <c r="C165">
        <v>375.21469999999999</v>
      </c>
      <c r="D165">
        <v>195.4</v>
      </c>
      <c r="E165">
        <v>-0.79575330695348601</v>
      </c>
      <c r="F165" s="3" t="s">
        <v>18</v>
      </c>
      <c r="G165" s="3" t="s">
        <v>410</v>
      </c>
      <c r="H165" s="3">
        <v>1</v>
      </c>
      <c r="I165" s="5" t="s">
        <v>20</v>
      </c>
      <c r="J165" s="5" t="s">
        <v>410</v>
      </c>
      <c r="K165" s="5">
        <v>1</v>
      </c>
      <c r="L165" s="7" t="s">
        <v>86</v>
      </c>
      <c r="M165" s="7" t="s">
        <v>410</v>
      </c>
      <c r="N165" s="7">
        <v>0.98</v>
      </c>
      <c r="O165" s="9" t="s">
        <v>87</v>
      </c>
      <c r="P165" s="9" t="s">
        <v>410</v>
      </c>
      <c r="Q165" s="9">
        <v>0.96599999999999997</v>
      </c>
      <c r="R165" t="s">
        <v>23</v>
      </c>
      <c r="S165">
        <v>4</v>
      </c>
    </row>
    <row r="166" spans="1:19">
      <c r="A166">
        <v>328</v>
      </c>
      <c r="B166" t="s">
        <v>385</v>
      </c>
      <c r="C166">
        <v>353.2328</v>
      </c>
      <c r="D166">
        <v>196.6</v>
      </c>
      <c r="E166">
        <v>-0.83839723956560896</v>
      </c>
      <c r="F166" s="3" t="s">
        <v>18</v>
      </c>
      <c r="G166" s="3" t="s">
        <v>410</v>
      </c>
      <c r="H166" s="3">
        <v>1</v>
      </c>
      <c r="I166" s="5" t="s">
        <v>20</v>
      </c>
      <c r="J166" s="5" t="s">
        <v>410</v>
      </c>
      <c r="K166" s="5">
        <v>1</v>
      </c>
      <c r="L166" s="7" t="s">
        <v>86</v>
      </c>
      <c r="M166" s="7" t="s">
        <v>410</v>
      </c>
      <c r="N166" s="7">
        <v>1</v>
      </c>
      <c r="O166" s="9" t="s">
        <v>87</v>
      </c>
      <c r="P166" s="9" t="s">
        <v>410</v>
      </c>
      <c r="Q166" s="9">
        <v>0.996</v>
      </c>
      <c r="R166" t="s">
        <v>23</v>
      </c>
      <c r="S166">
        <v>4</v>
      </c>
    </row>
    <row r="167" spans="1:19">
      <c r="A167">
        <v>29</v>
      </c>
      <c r="B167" t="s">
        <v>77</v>
      </c>
      <c r="C167">
        <v>506.9545</v>
      </c>
      <c r="D167">
        <v>188.5</v>
      </c>
      <c r="E167">
        <v>-0.38845898055149097</v>
      </c>
      <c r="F167" s="3" t="s">
        <v>18</v>
      </c>
      <c r="G167" s="3" t="s">
        <v>410</v>
      </c>
      <c r="H167" s="3">
        <v>1</v>
      </c>
      <c r="I167" s="5" t="s">
        <v>65</v>
      </c>
      <c r="J167" s="5" t="s">
        <v>410</v>
      </c>
      <c r="K167" s="5">
        <v>0.99</v>
      </c>
      <c r="L167" s="7" t="s">
        <v>78</v>
      </c>
      <c r="M167" s="7" t="s">
        <v>410</v>
      </c>
      <c r="N167" s="7">
        <v>0.63</v>
      </c>
      <c r="O167" s="9" t="s">
        <v>79</v>
      </c>
      <c r="P167" s="9" t="s">
        <v>410</v>
      </c>
      <c r="Q167" s="9">
        <v>0.79600000000000004</v>
      </c>
      <c r="R167" t="s">
        <v>23</v>
      </c>
      <c r="S167">
        <v>4</v>
      </c>
    </row>
    <row r="168" spans="1:19">
      <c r="A168">
        <v>37</v>
      </c>
      <c r="B168" t="s">
        <v>93</v>
      </c>
      <c r="C168">
        <v>511.09710000000001</v>
      </c>
      <c r="D168">
        <v>207.7</v>
      </c>
      <c r="E168">
        <v>-0.52643355257492896</v>
      </c>
      <c r="F168" s="3" t="s">
        <v>18</v>
      </c>
      <c r="G168" s="3" t="s">
        <v>410</v>
      </c>
      <c r="H168" s="3">
        <v>1</v>
      </c>
      <c r="I168" s="5" t="s">
        <v>65</v>
      </c>
      <c r="J168" s="5" t="s">
        <v>410</v>
      </c>
      <c r="K168" s="5">
        <v>0.85</v>
      </c>
      <c r="L168" s="7" t="s">
        <v>78</v>
      </c>
      <c r="M168" s="7" t="s">
        <v>410</v>
      </c>
      <c r="N168" s="7">
        <v>1</v>
      </c>
      <c r="O168" s="9" t="s">
        <v>79</v>
      </c>
      <c r="P168" s="9" t="s">
        <v>410</v>
      </c>
      <c r="Q168" s="9">
        <v>0.996</v>
      </c>
      <c r="R168" t="s">
        <v>23</v>
      </c>
      <c r="S168">
        <v>4</v>
      </c>
    </row>
    <row r="169" spans="1:19">
      <c r="A169">
        <v>65</v>
      </c>
      <c r="B169" t="s">
        <v>128</v>
      </c>
      <c r="C169">
        <v>402.99560000000002</v>
      </c>
      <c r="D169">
        <v>172.9</v>
      </c>
      <c r="E169">
        <v>-0.54563448976733797</v>
      </c>
      <c r="F169" s="3" t="s">
        <v>18</v>
      </c>
      <c r="G169" s="3" t="s">
        <v>410</v>
      </c>
      <c r="H169" s="3">
        <v>1</v>
      </c>
      <c r="I169" s="5" t="s">
        <v>65</v>
      </c>
      <c r="J169" s="5" t="s">
        <v>410</v>
      </c>
      <c r="K169" s="5">
        <v>0.9</v>
      </c>
      <c r="L169" s="7" t="s">
        <v>78</v>
      </c>
      <c r="M169" s="7" t="s">
        <v>410</v>
      </c>
      <c r="N169" s="7">
        <v>0.94</v>
      </c>
      <c r="O169" s="9" t="s">
        <v>79</v>
      </c>
      <c r="P169" s="9" t="s">
        <v>410</v>
      </c>
      <c r="Q169" s="9">
        <v>0.999</v>
      </c>
      <c r="R169" t="s">
        <v>23</v>
      </c>
      <c r="S169">
        <v>4</v>
      </c>
    </row>
    <row r="170" spans="1:19">
      <c r="A170">
        <v>243</v>
      </c>
      <c r="B170" t="s">
        <v>128</v>
      </c>
      <c r="C170">
        <v>405.0095</v>
      </c>
      <c r="D170">
        <v>176.5</v>
      </c>
      <c r="E170">
        <v>-0.55728586585911399</v>
      </c>
      <c r="F170" s="3" t="s">
        <v>18</v>
      </c>
      <c r="G170" s="3" t="s">
        <v>410</v>
      </c>
      <c r="H170" s="3">
        <v>1</v>
      </c>
      <c r="I170" s="5" t="s">
        <v>65</v>
      </c>
      <c r="J170" s="5" t="s">
        <v>410</v>
      </c>
      <c r="K170" s="5">
        <v>0.97</v>
      </c>
      <c r="L170" s="7" t="s">
        <v>78</v>
      </c>
      <c r="M170" s="7" t="s">
        <v>410</v>
      </c>
      <c r="N170" s="7">
        <v>0.97</v>
      </c>
      <c r="O170" s="9" t="s">
        <v>79</v>
      </c>
      <c r="P170" s="9" t="s">
        <v>410</v>
      </c>
      <c r="Q170" s="9">
        <v>0.99199999999999999</v>
      </c>
      <c r="R170" t="s">
        <v>23</v>
      </c>
      <c r="S170">
        <v>4</v>
      </c>
    </row>
    <row r="171" spans="1:19">
      <c r="A171">
        <v>110</v>
      </c>
      <c r="B171" t="s">
        <v>181</v>
      </c>
      <c r="C171">
        <v>601.0086</v>
      </c>
      <c r="D171">
        <v>204.3</v>
      </c>
      <c r="E171">
        <v>-0.33754269477572102</v>
      </c>
      <c r="F171" s="3" t="s">
        <v>18</v>
      </c>
      <c r="G171" s="3" t="s">
        <v>410</v>
      </c>
      <c r="H171" s="3">
        <v>1</v>
      </c>
      <c r="I171" s="5" t="s">
        <v>65</v>
      </c>
      <c r="J171" s="5" t="s">
        <v>410</v>
      </c>
      <c r="K171" s="5">
        <v>0.75</v>
      </c>
      <c r="L171" s="7" t="s">
        <v>78</v>
      </c>
      <c r="M171" s="7" t="s">
        <v>410</v>
      </c>
      <c r="N171" s="7">
        <v>0.56999999999999995</v>
      </c>
      <c r="O171" s="9" t="s">
        <v>182</v>
      </c>
      <c r="P171" s="9" t="s">
        <v>410</v>
      </c>
      <c r="Q171" s="9">
        <v>0.97</v>
      </c>
      <c r="R171" t="s">
        <v>23</v>
      </c>
      <c r="S171">
        <v>4</v>
      </c>
    </row>
    <row r="172" spans="1:19">
      <c r="A172">
        <v>188</v>
      </c>
      <c r="B172" t="s">
        <v>264</v>
      </c>
      <c r="C172">
        <v>565.04669999999999</v>
      </c>
      <c r="D172">
        <v>207.3</v>
      </c>
      <c r="E172">
        <v>-0.41579602320518899</v>
      </c>
      <c r="F172" s="3" t="s">
        <v>18</v>
      </c>
      <c r="G172" s="3" t="s">
        <v>410</v>
      </c>
      <c r="H172" s="3">
        <v>1</v>
      </c>
      <c r="I172" s="5" t="s">
        <v>65</v>
      </c>
      <c r="J172" s="5" t="s">
        <v>410</v>
      </c>
      <c r="K172" s="5">
        <v>1</v>
      </c>
      <c r="L172" s="7" t="s">
        <v>78</v>
      </c>
      <c r="M172" s="7" t="s">
        <v>410</v>
      </c>
      <c r="N172" s="7">
        <v>0.92</v>
      </c>
      <c r="O172" s="9" t="s">
        <v>182</v>
      </c>
      <c r="P172" s="9" t="s">
        <v>410</v>
      </c>
      <c r="Q172" s="9">
        <v>0.97599999999999998</v>
      </c>
      <c r="R172" t="s">
        <v>23</v>
      </c>
      <c r="S172">
        <v>4</v>
      </c>
    </row>
    <row r="173" spans="1:19">
      <c r="A173">
        <v>210</v>
      </c>
      <c r="B173" t="s">
        <v>281</v>
      </c>
      <c r="C173">
        <v>646.03250000000003</v>
      </c>
      <c r="D173">
        <v>227.2</v>
      </c>
      <c r="E173">
        <v>-0.31117117286294199</v>
      </c>
      <c r="F173" s="3" t="s">
        <v>18</v>
      </c>
      <c r="G173" s="3" t="s">
        <v>410</v>
      </c>
      <c r="H173" s="3">
        <v>1</v>
      </c>
      <c r="I173" s="5" t="s">
        <v>65</v>
      </c>
      <c r="J173" s="5" t="s">
        <v>410</v>
      </c>
      <c r="K173" s="5">
        <v>0.84</v>
      </c>
      <c r="L173" s="7" t="s">
        <v>78</v>
      </c>
      <c r="M173" s="7" t="s">
        <v>410</v>
      </c>
      <c r="N173" s="7">
        <v>0.82</v>
      </c>
      <c r="O173" s="9" t="s">
        <v>182</v>
      </c>
      <c r="P173" s="9" t="s">
        <v>410</v>
      </c>
      <c r="Q173" s="9">
        <v>0.99099999999999999</v>
      </c>
      <c r="R173" t="s">
        <v>23</v>
      </c>
      <c r="S173">
        <v>4</v>
      </c>
    </row>
    <row r="174" spans="1:19">
      <c r="A174">
        <v>277</v>
      </c>
      <c r="B174" t="s">
        <v>181</v>
      </c>
      <c r="C174">
        <v>579.02909999999997</v>
      </c>
      <c r="D174">
        <v>211.9</v>
      </c>
      <c r="E174">
        <v>-0.38258394766319298</v>
      </c>
      <c r="F174" s="3" t="s">
        <v>18</v>
      </c>
      <c r="G174" s="3" t="s">
        <v>410</v>
      </c>
      <c r="H174" s="3">
        <v>1</v>
      </c>
      <c r="I174" s="5" t="s">
        <v>65</v>
      </c>
      <c r="J174" s="5" t="s">
        <v>410</v>
      </c>
      <c r="K174" s="5">
        <v>1</v>
      </c>
      <c r="L174" s="7" t="s">
        <v>78</v>
      </c>
      <c r="M174" s="7" t="s">
        <v>410</v>
      </c>
      <c r="N174" s="7">
        <v>0.91</v>
      </c>
      <c r="O174" s="9" t="s">
        <v>182</v>
      </c>
      <c r="P174" s="9" t="s">
        <v>410</v>
      </c>
      <c r="Q174" s="9">
        <v>1</v>
      </c>
      <c r="R174" t="s">
        <v>23</v>
      </c>
      <c r="S174">
        <v>4</v>
      </c>
    </row>
    <row r="175" spans="1:19">
      <c r="A175">
        <v>89</v>
      </c>
      <c r="B175" t="s">
        <v>160</v>
      </c>
      <c r="C175">
        <v>345.04669999999999</v>
      </c>
      <c r="D175">
        <v>173.5</v>
      </c>
      <c r="E175">
        <v>-0.66143744522366898</v>
      </c>
      <c r="F175" s="3" t="s">
        <v>18</v>
      </c>
      <c r="G175" s="3" t="s">
        <v>410</v>
      </c>
      <c r="H175" s="3">
        <v>1</v>
      </c>
      <c r="I175" s="5" t="s">
        <v>65</v>
      </c>
      <c r="J175" s="5" t="s">
        <v>410</v>
      </c>
      <c r="K175" s="5">
        <v>0.97</v>
      </c>
      <c r="L175" s="7" t="s">
        <v>78</v>
      </c>
      <c r="M175" s="7" t="s">
        <v>410</v>
      </c>
      <c r="N175" s="7">
        <v>0.61</v>
      </c>
      <c r="O175" s="9" t="s">
        <v>161</v>
      </c>
      <c r="P175" s="9" t="s">
        <v>410</v>
      </c>
      <c r="Q175" s="9">
        <v>0.69899999999999995</v>
      </c>
      <c r="R175" t="s">
        <v>23</v>
      </c>
      <c r="S175">
        <v>4</v>
      </c>
    </row>
    <row r="176" spans="1:19">
      <c r="A176">
        <v>44</v>
      </c>
      <c r="B176" t="s">
        <v>105</v>
      </c>
      <c r="C176">
        <v>448.00349999999997</v>
      </c>
      <c r="D176">
        <v>187.8</v>
      </c>
      <c r="E176">
        <v>-0.50328083268516399</v>
      </c>
      <c r="F176" s="3" t="s">
        <v>18</v>
      </c>
      <c r="G176" s="3" t="s">
        <v>410</v>
      </c>
      <c r="H176" s="3">
        <v>1</v>
      </c>
      <c r="I176" s="5" t="s">
        <v>65</v>
      </c>
      <c r="J176" s="5" t="s">
        <v>410</v>
      </c>
      <c r="K176" s="5">
        <v>0.92</v>
      </c>
      <c r="L176" s="7" t="s">
        <v>66</v>
      </c>
      <c r="M176" s="7" t="s">
        <v>410</v>
      </c>
      <c r="N176" s="7">
        <v>0.99</v>
      </c>
      <c r="O176" s="9" t="s">
        <v>106</v>
      </c>
      <c r="P176" s="9" t="s">
        <v>410</v>
      </c>
      <c r="Q176" s="9">
        <v>0.88800000000000001</v>
      </c>
      <c r="R176" t="s">
        <v>23</v>
      </c>
      <c r="S176">
        <v>4</v>
      </c>
    </row>
    <row r="177" spans="1:19">
      <c r="A177">
        <v>101</v>
      </c>
      <c r="B177" t="s">
        <v>173</v>
      </c>
      <c r="C177">
        <v>790.10500000000002</v>
      </c>
      <c r="D177">
        <v>255.6</v>
      </c>
      <c r="E177">
        <v>-0.22280674661863001</v>
      </c>
      <c r="F177" s="3" t="s">
        <v>18</v>
      </c>
      <c r="G177" s="3" t="s">
        <v>410</v>
      </c>
      <c r="H177" s="3">
        <v>1</v>
      </c>
      <c r="I177" s="5" t="s">
        <v>65</v>
      </c>
      <c r="J177" s="5" t="s">
        <v>410</v>
      </c>
      <c r="K177" s="5">
        <v>0.73</v>
      </c>
      <c r="L177" s="7" t="s">
        <v>66</v>
      </c>
      <c r="M177" s="7" t="s">
        <v>410</v>
      </c>
      <c r="N177" s="7">
        <v>0.93</v>
      </c>
      <c r="O177" s="9" t="s">
        <v>106</v>
      </c>
      <c r="P177" s="9" t="s">
        <v>410</v>
      </c>
      <c r="Q177" s="9">
        <v>0.97799999999999998</v>
      </c>
      <c r="R177" t="s">
        <v>23</v>
      </c>
      <c r="S177">
        <v>4</v>
      </c>
    </row>
    <row r="178" spans="1:19">
      <c r="A178">
        <v>232</v>
      </c>
      <c r="B178" t="s">
        <v>299</v>
      </c>
      <c r="C178">
        <v>450.99959999999999</v>
      </c>
      <c r="D178">
        <v>183.8</v>
      </c>
      <c r="E178">
        <v>-0.49603553148284601</v>
      </c>
      <c r="F178" s="3" t="s">
        <v>18</v>
      </c>
      <c r="G178" s="3" t="s">
        <v>410</v>
      </c>
      <c r="H178" s="3">
        <v>1</v>
      </c>
      <c r="I178" s="5" t="s">
        <v>65</v>
      </c>
      <c r="J178" s="5" t="s">
        <v>410</v>
      </c>
      <c r="K178" s="5">
        <v>0.95</v>
      </c>
      <c r="L178" s="7" t="s">
        <v>66</v>
      </c>
      <c r="M178" s="7" t="s">
        <v>410</v>
      </c>
      <c r="N178" s="7">
        <v>1</v>
      </c>
      <c r="O178" s="9" t="s">
        <v>106</v>
      </c>
      <c r="P178" s="9" t="s">
        <v>410</v>
      </c>
      <c r="Q178" s="9">
        <v>0.72</v>
      </c>
      <c r="R178" t="s">
        <v>23</v>
      </c>
      <c r="S178">
        <v>4</v>
      </c>
    </row>
    <row r="179" spans="1:19">
      <c r="A179">
        <v>234</v>
      </c>
      <c r="B179" t="s">
        <v>301</v>
      </c>
      <c r="C179">
        <v>363.03519999999997</v>
      </c>
      <c r="D179">
        <v>166.2</v>
      </c>
      <c r="E179">
        <v>-0.62985235104196102</v>
      </c>
      <c r="F179" s="3" t="s">
        <v>18</v>
      </c>
      <c r="G179" s="3" t="s">
        <v>410</v>
      </c>
      <c r="H179" s="3">
        <v>1</v>
      </c>
      <c r="I179" s="5" t="s">
        <v>65</v>
      </c>
      <c r="J179" s="5" t="s">
        <v>410</v>
      </c>
      <c r="K179" s="5">
        <v>0.98</v>
      </c>
      <c r="L179" s="7" t="s">
        <v>66</v>
      </c>
      <c r="M179" s="7" t="s">
        <v>410</v>
      </c>
      <c r="N179" s="7">
        <v>0.87</v>
      </c>
      <c r="O179" s="9" t="s">
        <v>106</v>
      </c>
      <c r="P179" s="9" t="s">
        <v>410</v>
      </c>
      <c r="Q179" s="9">
        <v>0.52</v>
      </c>
      <c r="R179" t="s">
        <v>23</v>
      </c>
      <c r="S179">
        <v>4</v>
      </c>
    </row>
    <row r="180" spans="1:19">
      <c r="A180">
        <v>248</v>
      </c>
      <c r="B180" t="s">
        <v>311</v>
      </c>
      <c r="C180">
        <v>528.95399999999995</v>
      </c>
      <c r="D180">
        <v>182.7</v>
      </c>
      <c r="E180">
        <v>-0.36339539662560599</v>
      </c>
      <c r="F180" s="3" t="s">
        <v>18</v>
      </c>
      <c r="G180" s="3" t="s">
        <v>410</v>
      </c>
      <c r="H180" s="3">
        <v>1</v>
      </c>
      <c r="I180" s="5" t="s">
        <v>65</v>
      </c>
      <c r="J180" s="5" t="s">
        <v>410</v>
      </c>
      <c r="K180" s="5">
        <v>0.92</v>
      </c>
      <c r="L180" s="7" t="s">
        <v>66</v>
      </c>
      <c r="M180" s="7" t="s">
        <v>410</v>
      </c>
      <c r="N180" s="7">
        <v>0.95</v>
      </c>
      <c r="O180" s="9" t="s">
        <v>106</v>
      </c>
      <c r="P180" s="9" t="s">
        <v>410</v>
      </c>
      <c r="Q180" s="9">
        <v>0.77800000000000002</v>
      </c>
      <c r="R180" t="s">
        <v>23</v>
      </c>
      <c r="S180">
        <v>4</v>
      </c>
    </row>
    <row r="181" spans="1:19">
      <c r="A181">
        <v>252</v>
      </c>
      <c r="B181" t="s">
        <v>299</v>
      </c>
      <c r="C181">
        <v>448.988</v>
      </c>
      <c r="D181">
        <v>180.1</v>
      </c>
      <c r="E181">
        <v>-0.48668158732164102</v>
      </c>
      <c r="F181" s="3" t="s">
        <v>18</v>
      </c>
      <c r="G181" s="3" t="s">
        <v>410</v>
      </c>
      <c r="H181" s="3">
        <v>0.99399999999999999</v>
      </c>
      <c r="I181" s="5" t="s">
        <v>65</v>
      </c>
      <c r="J181" s="5" t="s">
        <v>410</v>
      </c>
      <c r="K181" s="5">
        <v>0.92</v>
      </c>
      <c r="L181" s="7" t="s">
        <v>66</v>
      </c>
      <c r="M181" s="7" t="s">
        <v>410</v>
      </c>
      <c r="N181" s="7">
        <v>0.83</v>
      </c>
      <c r="O181" s="9" t="s">
        <v>106</v>
      </c>
      <c r="P181" s="9" t="s">
        <v>410</v>
      </c>
      <c r="Q181" s="9">
        <v>0.72299999999999998</v>
      </c>
      <c r="R181" t="s">
        <v>23</v>
      </c>
      <c r="S181">
        <v>4</v>
      </c>
    </row>
    <row r="182" spans="1:19">
      <c r="A182">
        <v>256</v>
      </c>
      <c r="B182" t="s">
        <v>173</v>
      </c>
      <c r="C182">
        <v>766.10839999999996</v>
      </c>
      <c r="D182">
        <v>244.1</v>
      </c>
      <c r="E182">
        <v>-0.25300019638041199</v>
      </c>
      <c r="F182" s="3" t="s">
        <v>18</v>
      </c>
      <c r="G182" s="3" t="s">
        <v>410</v>
      </c>
      <c r="H182" s="3">
        <v>0.99399999999999999</v>
      </c>
      <c r="I182" s="5" t="s">
        <v>65</v>
      </c>
      <c r="J182" s="5" t="s">
        <v>410</v>
      </c>
      <c r="K182" s="5">
        <v>0.97</v>
      </c>
      <c r="L182" s="7" t="s">
        <v>66</v>
      </c>
      <c r="M182" s="7" t="s">
        <v>410</v>
      </c>
      <c r="N182" s="7">
        <v>0.96</v>
      </c>
      <c r="O182" s="9" t="s">
        <v>106</v>
      </c>
      <c r="P182" s="9" t="s">
        <v>410</v>
      </c>
      <c r="Q182" s="9">
        <v>0.98199999999999998</v>
      </c>
      <c r="R182" t="s">
        <v>23</v>
      </c>
      <c r="S182">
        <v>4</v>
      </c>
    </row>
    <row r="183" spans="1:19">
      <c r="A183">
        <v>211</v>
      </c>
      <c r="B183" t="s">
        <v>282</v>
      </c>
      <c r="C183">
        <v>606.08119999999997</v>
      </c>
      <c r="D183">
        <v>227.7</v>
      </c>
      <c r="E183">
        <v>-0.40447887351513101</v>
      </c>
      <c r="F183" s="3" t="s">
        <v>18</v>
      </c>
      <c r="G183" s="3" t="s">
        <v>410</v>
      </c>
      <c r="H183" s="3">
        <v>1</v>
      </c>
      <c r="I183" s="5" t="s">
        <v>65</v>
      </c>
      <c r="J183" s="5" t="s">
        <v>410</v>
      </c>
      <c r="K183" s="5">
        <v>1</v>
      </c>
      <c r="L183" s="7" t="s">
        <v>66</v>
      </c>
      <c r="M183" s="7" t="s">
        <v>410</v>
      </c>
      <c r="N183" s="7">
        <v>0.71</v>
      </c>
      <c r="O183" s="9" t="s">
        <v>283</v>
      </c>
      <c r="P183" s="9" t="s">
        <v>410</v>
      </c>
      <c r="Q183" s="9">
        <v>0.92300000000000004</v>
      </c>
      <c r="R183" t="s">
        <v>23</v>
      </c>
      <c r="S183">
        <v>4</v>
      </c>
    </row>
    <row r="184" spans="1:19">
      <c r="A184">
        <v>19</v>
      </c>
      <c r="B184" t="s">
        <v>64</v>
      </c>
      <c r="C184">
        <v>428.0351</v>
      </c>
      <c r="D184">
        <v>188.5</v>
      </c>
      <c r="E184">
        <v>-0.557176588009895</v>
      </c>
      <c r="F184" s="3" t="s">
        <v>18</v>
      </c>
      <c r="G184" s="3" t="s">
        <v>410</v>
      </c>
      <c r="H184" s="3">
        <v>1</v>
      </c>
      <c r="I184" s="5" t="s">
        <v>65</v>
      </c>
      <c r="J184" s="5" t="s">
        <v>410</v>
      </c>
      <c r="K184" s="5">
        <v>0.98</v>
      </c>
      <c r="L184" s="7" t="s">
        <v>66</v>
      </c>
      <c r="M184" s="7" t="s">
        <v>410</v>
      </c>
      <c r="N184" s="7">
        <v>0.67</v>
      </c>
      <c r="O184" s="9" t="s">
        <v>67</v>
      </c>
      <c r="P184" s="9" t="s">
        <v>410</v>
      </c>
      <c r="Q184" s="9">
        <v>0.58099999999999996</v>
      </c>
      <c r="R184" t="s">
        <v>23</v>
      </c>
      <c r="S184">
        <v>4</v>
      </c>
    </row>
    <row r="185" spans="1:19">
      <c r="A185">
        <v>209</v>
      </c>
      <c r="B185" t="s">
        <v>280</v>
      </c>
      <c r="C185">
        <v>354.05790000000002</v>
      </c>
      <c r="D185">
        <v>173.9</v>
      </c>
      <c r="E185">
        <v>-0.66257597257782697</v>
      </c>
      <c r="F185" s="3" t="s">
        <v>18</v>
      </c>
      <c r="G185" s="3" t="s">
        <v>410</v>
      </c>
      <c r="H185" s="3">
        <v>1</v>
      </c>
      <c r="I185" s="5" t="s">
        <v>65</v>
      </c>
      <c r="J185" s="5" t="s">
        <v>410</v>
      </c>
      <c r="K185" s="5">
        <v>0.8</v>
      </c>
      <c r="L185" s="7" t="s">
        <v>66</v>
      </c>
      <c r="M185" s="7" t="s">
        <v>410</v>
      </c>
      <c r="N185" s="7">
        <v>0.97</v>
      </c>
      <c r="O185" s="9" t="s">
        <v>67</v>
      </c>
      <c r="P185" s="9" t="s">
        <v>410</v>
      </c>
      <c r="Q185" s="9">
        <v>0.61</v>
      </c>
      <c r="R185" t="s">
        <v>23</v>
      </c>
      <c r="S185">
        <v>4</v>
      </c>
    </row>
    <row r="186" spans="1:19">
      <c r="A186">
        <v>219</v>
      </c>
      <c r="B186" t="s">
        <v>64</v>
      </c>
      <c r="C186">
        <v>448.00360000000001</v>
      </c>
      <c r="D186">
        <v>185.7</v>
      </c>
      <c r="E186">
        <v>-0.50338072102999798</v>
      </c>
      <c r="F186" s="3" t="s">
        <v>18</v>
      </c>
      <c r="G186" s="3" t="s">
        <v>410</v>
      </c>
      <c r="H186" s="3">
        <v>1</v>
      </c>
      <c r="I186" s="5" t="s">
        <v>65</v>
      </c>
      <c r="J186" s="5" t="s">
        <v>410</v>
      </c>
      <c r="K186" s="5">
        <v>0.94</v>
      </c>
      <c r="L186" s="7" t="s">
        <v>66</v>
      </c>
      <c r="M186" s="7" t="s">
        <v>410</v>
      </c>
      <c r="N186" s="7">
        <v>0.98</v>
      </c>
      <c r="O186" s="9" t="s">
        <v>67</v>
      </c>
      <c r="P186" s="9" t="s">
        <v>410</v>
      </c>
      <c r="Q186" s="9">
        <v>0.84799999999999998</v>
      </c>
      <c r="R186" t="s">
        <v>23</v>
      </c>
      <c r="S186">
        <v>4</v>
      </c>
    </row>
    <row r="187" spans="1:19">
      <c r="A187">
        <v>276</v>
      </c>
      <c r="B187" t="s">
        <v>338</v>
      </c>
      <c r="C187">
        <v>352.0403</v>
      </c>
      <c r="D187">
        <v>181.3</v>
      </c>
      <c r="E187">
        <v>-0.647228727728134</v>
      </c>
      <c r="F187" s="3" t="s">
        <v>18</v>
      </c>
      <c r="G187" s="3" t="s">
        <v>410</v>
      </c>
      <c r="H187" s="3">
        <v>1</v>
      </c>
      <c r="I187" s="5" t="s">
        <v>65</v>
      </c>
      <c r="J187" s="5" t="s">
        <v>410</v>
      </c>
      <c r="K187" s="5">
        <v>0.9</v>
      </c>
      <c r="L187" s="7" t="s">
        <v>66</v>
      </c>
      <c r="M187" s="7" t="s">
        <v>410</v>
      </c>
      <c r="N187" s="7">
        <v>1</v>
      </c>
      <c r="O187" s="9" t="s">
        <v>339</v>
      </c>
      <c r="P187" s="9" t="s">
        <v>410</v>
      </c>
      <c r="Q187" s="9">
        <v>0.94899999999999995</v>
      </c>
      <c r="R187" t="s">
        <v>23</v>
      </c>
      <c r="S187">
        <v>4</v>
      </c>
    </row>
    <row r="188" spans="1:19">
      <c r="A188">
        <v>95</v>
      </c>
      <c r="B188" t="s">
        <v>166</v>
      </c>
      <c r="C188">
        <v>659.37300000000005</v>
      </c>
      <c r="D188">
        <v>246.4</v>
      </c>
      <c r="E188">
        <v>-0.63677581199738098</v>
      </c>
      <c r="F188" s="3" t="s">
        <v>18</v>
      </c>
      <c r="G188" s="3" t="s">
        <v>410</v>
      </c>
      <c r="H188" s="3">
        <v>1</v>
      </c>
      <c r="I188" s="5" t="s">
        <v>37</v>
      </c>
      <c r="J188" s="5" t="s">
        <v>410</v>
      </c>
      <c r="K188" s="5">
        <v>0.96</v>
      </c>
      <c r="L188" s="7" t="s">
        <v>167</v>
      </c>
      <c r="M188" s="7" t="s">
        <v>410</v>
      </c>
      <c r="N188" s="7">
        <v>0.56999999999999995</v>
      </c>
      <c r="O188" s="9" t="s">
        <v>168</v>
      </c>
      <c r="P188" s="9" t="s">
        <v>410</v>
      </c>
      <c r="Q188" s="9">
        <v>0.997</v>
      </c>
      <c r="R188" t="s">
        <v>23</v>
      </c>
      <c r="S188">
        <v>4</v>
      </c>
    </row>
    <row r="189" spans="1:19">
      <c r="A189">
        <v>147</v>
      </c>
      <c r="B189" t="s">
        <v>225</v>
      </c>
      <c r="C189">
        <v>821.85170000000005</v>
      </c>
      <c r="D189">
        <v>430</v>
      </c>
      <c r="E189">
        <v>-0.93405990783503501</v>
      </c>
      <c r="F189" s="3" t="s">
        <v>18</v>
      </c>
      <c r="G189" s="3" t="s">
        <v>410</v>
      </c>
      <c r="H189" s="3">
        <v>1</v>
      </c>
      <c r="I189" s="5" t="s">
        <v>37</v>
      </c>
      <c r="J189" s="5" t="s">
        <v>410</v>
      </c>
      <c r="K189" s="5">
        <v>1</v>
      </c>
      <c r="L189" s="7" t="s">
        <v>167</v>
      </c>
      <c r="M189" s="7" t="s">
        <v>410</v>
      </c>
      <c r="N189" s="7">
        <v>0.98</v>
      </c>
      <c r="O189" s="9" t="s">
        <v>226</v>
      </c>
      <c r="P189" s="9" t="s">
        <v>410</v>
      </c>
      <c r="Q189" s="9">
        <v>0.996</v>
      </c>
      <c r="R189" t="s">
        <v>23</v>
      </c>
      <c r="S189">
        <v>4</v>
      </c>
    </row>
    <row r="190" spans="1:19">
      <c r="A190">
        <v>197</v>
      </c>
      <c r="B190" t="s">
        <v>225</v>
      </c>
      <c r="C190">
        <v>1602.7040999999999</v>
      </c>
      <c r="D190">
        <v>385.2</v>
      </c>
      <c r="E190">
        <v>-0.91459766273237597</v>
      </c>
      <c r="F190" s="3" t="s">
        <v>18</v>
      </c>
      <c r="G190" s="3" t="s">
        <v>410</v>
      </c>
      <c r="H190" s="3">
        <v>1</v>
      </c>
      <c r="I190" s="5" t="s">
        <v>37</v>
      </c>
      <c r="J190" s="5" t="s">
        <v>410</v>
      </c>
      <c r="K190" s="5">
        <v>1</v>
      </c>
      <c r="L190" s="7" t="s">
        <v>167</v>
      </c>
      <c r="M190" s="7" t="s">
        <v>410</v>
      </c>
      <c r="N190" s="7">
        <v>0.91</v>
      </c>
      <c r="O190" s="9" t="s">
        <v>226</v>
      </c>
      <c r="P190" s="9" t="s">
        <v>410</v>
      </c>
      <c r="Q190" s="9">
        <v>0.89700000000000002</v>
      </c>
      <c r="R190" t="s">
        <v>23</v>
      </c>
      <c r="S190">
        <v>4</v>
      </c>
    </row>
    <row r="191" spans="1:19">
      <c r="A191">
        <v>220</v>
      </c>
      <c r="B191" t="s">
        <v>289</v>
      </c>
      <c r="C191">
        <v>1255.6362999999999</v>
      </c>
      <c r="D191">
        <v>344.4</v>
      </c>
      <c r="E191">
        <v>-0.234316880590768</v>
      </c>
      <c r="F191" s="3" t="s">
        <v>18</v>
      </c>
      <c r="G191" s="3" t="s">
        <v>410</v>
      </c>
      <c r="H191" s="3">
        <v>1</v>
      </c>
      <c r="I191" s="5" t="s">
        <v>37</v>
      </c>
      <c r="J191" s="5" t="s">
        <v>410</v>
      </c>
      <c r="K191" s="5">
        <v>0.99</v>
      </c>
      <c r="L191" s="7" t="s">
        <v>167</v>
      </c>
      <c r="M191" s="7" t="s">
        <v>410</v>
      </c>
      <c r="N191" s="7">
        <v>0.69</v>
      </c>
      <c r="O191" s="9" t="s">
        <v>226</v>
      </c>
      <c r="P191" s="9" t="s">
        <v>410</v>
      </c>
      <c r="Q191" s="9">
        <v>0.96799999999999997</v>
      </c>
      <c r="R191" t="s">
        <v>23</v>
      </c>
      <c r="S191">
        <v>4</v>
      </c>
    </row>
    <row r="192" spans="1:19">
      <c r="A192">
        <v>344</v>
      </c>
      <c r="B192" t="s">
        <v>289</v>
      </c>
      <c r="C192">
        <v>647.22619999999995</v>
      </c>
      <c r="D192">
        <v>380.5</v>
      </c>
      <c r="E192">
        <v>-0.50353834483803395</v>
      </c>
      <c r="F192" s="3" t="s">
        <v>18</v>
      </c>
      <c r="G192" s="3" t="s">
        <v>410</v>
      </c>
      <c r="H192" s="3">
        <v>1</v>
      </c>
      <c r="I192" s="5" t="s">
        <v>37</v>
      </c>
      <c r="J192" s="5" t="s">
        <v>410</v>
      </c>
      <c r="K192" s="5">
        <v>1</v>
      </c>
      <c r="L192" s="7" t="s">
        <v>167</v>
      </c>
      <c r="M192" s="7" t="s">
        <v>410</v>
      </c>
      <c r="N192" s="7">
        <v>1</v>
      </c>
      <c r="O192" s="9" t="s">
        <v>226</v>
      </c>
      <c r="P192" s="9" t="s">
        <v>410</v>
      </c>
      <c r="Q192" s="9">
        <v>0.998</v>
      </c>
      <c r="R192" t="s">
        <v>23</v>
      </c>
      <c r="S192">
        <v>4</v>
      </c>
    </row>
    <row r="193" spans="1:19">
      <c r="A193">
        <v>47</v>
      </c>
      <c r="B193" t="s">
        <v>109</v>
      </c>
      <c r="C193">
        <v>173.0086</v>
      </c>
      <c r="D193">
        <v>131.9</v>
      </c>
      <c r="E193">
        <v>-0.815426915793523</v>
      </c>
      <c r="F193" s="3" t="s">
        <v>18</v>
      </c>
      <c r="G193" s="3" t="s">
        <v>410</v>
      </c>
      <c r="H193" s="3">
        <v>1</v>
      </c>
      <c r="I193" s="5" t="s">
        <v>37</v>
      </c>
      <c r="J193" s="5" t="s">
        <v>410</v>
      </c>
      <c r="K193" s="5">
        <v>0.85</v>
      </c>
      <c r="L193" s="7" t="s">
        <v>38</v>
      </c>
      <c r="M193" s="7" t="s">
        <v>410</v>
      </c>
      <c r="N193" s="7">
        <v>1</v>
      </c>
      <c r="O193" s="9" t="s">
        <v>110</v>
      </c>
      <c r="P193" s="9" t="s">
        <v>410</v>
      </c>
      <c r="Q193" s="9">
        <v>0.82199999999999995</v>
      </c>
      <c r="R193" t="s">
        <v>23</v>
      </c>
      <c r="S193">
        <v>4</v>
      </c>
    </row>
    <row r="194" spans="1:19">
      <c r="A194">
        <v>6</v>
      </c>
      <c r="B194" t="s">
        <v>36</v>
      </c>
      <c r="C194">
        <v>104.0712</v>
      </c>
      <c r="D194">
        <v>123.1</v>
      </c>
      <c r="E194">
        <v>-0.95499910200378202</v>
      </c>
      <c r="F194" s="3" t="s">
        <v>18</v>
      </c>
      <c r="G194" s="3" t="s">
        <v>410</v>
      </c>
      <c r="H194" s="3">
        <v>1</v>
      </c>
      <c r="I194" s="5" t="s">
        <v>37</v>
      </c>
      <c r="J194" s="5" t="s">
        <v>410</v>
      </c>
      <c r="K194" s="5">
        <v>0.95</v>
      </c>
      <c r="L194" s="7" t="s">
        <v>38</v>
      </c>
      <c r="M194" s="7" t="s">
        <v>410</v>
      </c>
      <c r="N194" s="7">
        <v>1</v>
      </c>
      <c r="O194" s="9" t="s">
        <v>39</v>
      </c>
      <c r="P194" s="9" t="s">
        <v>410</v>
      </c>
      <c r="Q194" s="9">
        <v>1</v>
      </c>
      <c r="R194" t="s">
        <v>23</v>
      </c>
      <c r="S194">
        <v>4</v>
      </c>
    </row>
    <row r="195" spans="1:19">
      <c r="A195">
        <v>11</v>
      </c>
      <c r="B195" t="s">
        <v>50</v>
      </c>
      <c r="C195">
        <v>523.8904</v>
      </c>
      <c r="D195">
        <v>188.2</v>
      </c>
      <c r="E195">
        <v>-0.30544916891892598</v>
      </c>
      <c r="F195" s="3" t="s">
        <v>18</v>
      </c>
      <c r="G195" s="3" t="s">
        <v>410</v>
      </c>
      <c r="H195" s="3">
        <v>0.998</v>
      </c>
      <c r="I195" s="5" t="s">
        <v>37</v>
      </c>
      <c r="J195" s="5" t="s">
        <v>410</v>
      </c>
      <c r="K195" s="5">
        <v>0.85</v>
      </c>
      <c r="L195" s="7" t="s">
        <v>38</v>
      </c>
      <c r="M195" s="7" t="s">
        <v>410</v>
      </c>
      <c r="N195" s="7">
        <v>1</v>
      </c>
      <c r="O195" s="9" t="s">
        <v>39</v>
      </c>
      <c r="P195" s="9" t="s">
        <v>410</v>
      </c>
      <c r="Q195" s="9">
        <v>1</v>
      </c>
      <c r="R195" t="s">
        <v>23</v>
      </c>
      <c r="S195">
        <v>4</v>
      </c>
    </row>
    <row r="196" spans="1:19">
      <c r="A196">
        <v>17</v>
      </c>
      <c r="B196" t="s">
        <v>61</v>
      </c>
      <c r="C196">
        <v>571.26310000000001</v>
      </c>
      <c r="D196">
        <v>227.8</v>
      </c>
      <c r="E196">
        <v>-0.62525508986050204</v>
      </c>
      <c r="F196" s="3" t="s">
        <v>18</v>
      </c>
      <c r="G196" s="3" t="s">
        <v>410</v>
      </c>
      <c r="H196" s="3">
        <v>1</v>
      </c>
      <c r="I196" s="5" t="s">
        <v>37</v>
      </c>
      <c r="J196" s="5" t="s">
        <v>410</v>
      </c>
      <c r="K196" s="5">
        <v>0.77</v>
      </c>
      <c r="L196" s="7" t="s">
        <v>38</v>
      </c>
      <c r="M196" s="7" t="s">
        <v>410</v>
      </c>
      <c r="N196" s="7">
        <v>1</v>
      </c>
      <c r="O196" s="9" t="s">
        <v>39</v>
      </c>
      <c r="P196" s="9" t="s">
        <v>410</v>
      </c>
      <c r="Q196" s="9">
        <v>1</v>
      </c>
      <c r="R196" t="s">
        <v>23</v>
      </c>
      <c r="S196">
        <v>4</v>
      </c>
    </row>
    <row r="197" spans="1:19">
      <c r="A197">
        <v>20</v>
      </c>
      <c r="B197" t="s">
        <v>68</v>
      </c>
      <c r="C197">
        <v>130.0865</v>
      </c>
      <c r="D197">
        <v>127.9</v>
      </c>
      <c r="E197">
        <v>-0.94125166888451905</v>
      </c>
      <c r="F197" s="3" t="s">
        <v>18</v>
      </c>
      <c r="G197" s="3" t="s">
        <v>410</v>
      </c>
      <c r="H197" s="3">
        <v>1</v>
      </c>
      <c r="I197" s="5" t="s">
        <v>37</v>
      </c>
      <c r="J197" s="5" t="s">
        <v>410</v>
      </c>
      <c r="K197" s="5">
        <v>1</v>
      </c>
      <c r="L197" s="7" t="s">
        <v>38</v>
      </c>
      <c r="M197" s="7" t="s">
        <v>410</v>
      </c>
      <c r="N197" s="7">
        <v>1</v>
      </c>
      <c r="O197" s="9" t="s">
        <v>39</v>
      </c>
      <c r="P197" s="9" t="s">
        <v>410</v>
      </c>
      <c r="Q197" s="9">
        <v>1</v>
      </c>
      <c r="R197" t="s">
        <v>23</v>
      </c>
      <c r="S197">
        <v>4</v>
      </c>
    </row>
    <row r="198" spans="1:19">
      <c r="A198">
        <v>23</v>
      </c>
      <c r="B198" t="s">
        <v>71</v>
      </c>
      <c r="C198">
        <v>532.21159999999998</v>
      </c>
      <c r="D198">
        <v>206.52</v>
      </c>
      <c r="E198">
        <v>-0.61735811709661403</v>
      </c>
      <c r="F198" s="3" t="s">
        <v>18</v>
      </c>
      <c r="G198" s="3" t="s">
        <v>410</v>
      </c>
      <c r="H198" s="3">
        <v>1</v>
      </c>
      <c r="I198" s="5" t="s">
        <v>37</v>
      </c>
      <c r="J198" s="5" t="s">
        <v>410</v>
      </c>
      <c r="K198" s="5">
        <v>0.69</v>
      </c>
      <c r="L198" s="7" t="s">
        <v>38</v>
      </c>
      <c r="M198" s="7" t="s">
        <v>410</v>
      </c>
      <c r="N198" s="7">
        <v>1</v>
      </c>
      <c r="O198" s="9" t="s">
        <v>39</v>
      </c>
      <c r="P198" s="9" t="s">
        <v>410</v>
      </c>
      <c r="Q198" s="9">
        <v>1</v>
      </c>
      <c r="R198" t="s">
        <v>23</v>
      </c>
      <c r="S198">
        <v>4</v>
      </c>
    </row>
    <row r="199" spans="1:19">
      <c r="A199">
        <v>24</v>
      </c>
      <c r="B199" t="s">
        <v>72</v>
      </c>
      <c r="C199">
        <v>182.0806</v>
      </c>
      <c r="D199">
        <v>145.5</v>
      </c>
      <c r="E199">
        <v>-0.87729755679100696</v>
      </c>
      <c r="F199" s="3" t="s">
        <v>18</v>
      </c>
      <c r="G199" s="3" t="s">
        <v>410</v>
      </c>
      <c r="H199" s="3">
        <v>1</v>
      </c>
      <c r="I199" s="5" t="s">
        <v>37</v>
      </c>
      <c r="J199" s="5" t="s">
        <v>410</v>
      </c>
      <c r="K199" s="5">
        <v>0.91</v>
      </c>
      <c r="L199" s="7" t="s">
        <v>38</v>
      </c>
      <c r="M199" s="7" t="s">
        <v>410</v>
      </c>
      <c r="N199" s="7">
        <v>1</v>
      </c>
      <c r="O199" s="9" t="s">
        <v>39</v>
      </c>
      <c r="P199" s="9" t="s">
        <v>410</v>
      </c>
      <c r="Q199" s="9">
        <v>1</v>
      </c>
      <c r="R199" t="s">
        <v>23</v>
      </c>
      <c r="S199">
        <v>4</v>
      </c>
    </row>
    <row r="200" spans="1:19">
      <c r="A200">
        <v>25</v>
      </c>
      <c r="B200" t="s">
        <v>73</v>
      </c>
      <c r="C200">
        <v>116.0706</v>
      </c>
      <c r="D200">
        <v>125.8</v>
      </c>
      <c r="E200">
        <v>-0.94100114891573094</v>
      </c>
      <c r="F200" s="3" t="s">
        <v>18</v>
      </c>
      <c r="G200" s="3" t="s">
        <v>410</v>
      </c>
      <c r="H200" s="3">
        <v>1</v>
      </c>
      <c r="I200" s="5" t="s">
        <v>37</v>
      </c>
      <c r="J200" s="5" t="s">
        <v>410</v>
      </c>
      <c r="K200" s="5">
        <v>1</v>
      </c>
      <c r="L200" s="7" t="s">
        <v>38</v>
      </c>
      <c r="M200" s="7" t="s">
        <v>410</v>
      </c>
      <c r="N200" s="7">
        <v>1</v>
      </c>
      <c r="O200" s="9" t="s">
        <v>39</v>
      </c>
      <c r="P200" s="9" t="s">
        <v>410</v>
      </c>
      <c r="Q200" s="9">
        <v>1</v>
      </c>
      <c r="R200" t="s">
        <v>23</v>
      </c>
      <c r="S200">
        <v>4</v>
      </c>
    </row>
    <row r="201" spans="1:19">
      <c r="A201">
        <v>27</v>
      </c>
      <c r="B201" t="s">
        <v>75</v>
      </c>
      <c r="C201">
        <v>144.06610000000001</v>
      </c>
      <c r="D201">
        <v>140.69999999999999</v>
      </c>
      <c r="E201">
        <v>-0.90524271968791903</v>
      </c>
      <c r="F201" s="3" t="s">
        <v>18</v>
      </c>
      <c r="G201" s="3" t="s">
        <v>410</v>
      </c>
      <c r="H201" s="3">
        <v>1</v>
      </c>
      <c r="I201" s="5" t="s">
        <v>37</v>
      </c>
      <c r="J201" s="5" t="s">
        <v>410</v>
      </c>
      <c r="K201" s="5">
        <v>0.91</v>
      </c>
      <c r="L201" s="7" t="s">
        <v>38</v>
      </c>
      <c r="M201" s="7" t="s">
        <v>410</v>
      </c>
      <c r="N201" s="7">
        <v>1</v>
      </c>
      <c r="O201" s="9" t="s">
        <v>39</v>
      </c>
      <c r="P201" s="9" t="s">
        <v>410</v>
      </c>
      <c r="Q201" s="9">
        <v>1</v>
      </c>
      <c r="R201" t="s">
        <v>23</v>
      </c>
      <c r="S201">
        <v>4</v>
      </c>
    </row>
    <row r="202" spans="1:19">
      <c r="A202">
        <v>45</v>
      </c>
      <c r="B202" t="s">
        <v>107</v>
      </c>
      <c r="C202">
        <v>705.39689999999996</v>
      </c>
      <c r="D202">
        <v>261.39999999999998</v>
      </c>
      <c r="E202">
        <v>-0.60928773816624504</v>
      </c>
      <c r="F202" s="3" t="s">
        <v>18</v>
      </c>
      <c r="G202" s="3" t="s">
        <v>410</v>
      </c>
      <c r="H202" s="3">
        <v>1</v>
      </c>
      <c r="I202" s="5" t="s">
        <v>37</v>
      </c>
      <c r="J202" s="5" t="s">
        <v>410</v>
      </c>
      <c r="K202" s="5">
        <v>0.83</v>
      </c>
      <c r="L202" s="7" t="s">
        <v>38</v>
      </c>
      <c r="M202" s="7" t="s">
        <v>410</v>
      </c>
      <c r="N202" s="7">
        <v>1</v>
      </c>
      <c r="O202" s="9" t="s">
        <v>39</v>
      </c>
      <c r="P202" s="9" t="s">
        <v>410</v>
      </c>
      <c r="Q202" s="9">
        <v>1</v>
      </c>
      <c r="R202" t="s">
        <v>23</v>
      </c>
      <c r="S202">
        <v>4</v>
      </c>
    </row>
    <row r="203" spans="1:19">
      <c r="A203">
        <v>46</v>
      </c>
      <c r="B203" t="s">
        <v>108</v>
      </c>
      <c r="C203">
        <v>213.08250000000001</v>
      </c>
      <c r="D203">
        <v>145.19999999999999</v>
      </c>
      <c r="E203">
        <v>-0.84458232587613202</v>
      </c>
      <c r="F203" s="3" t="s">
        <v>18</v>
      </c>
      <c r="G203" s="3" t="s">
        <v>410</v>
      </c>
      <c r="H203" s="3">
        <v>1</v>
      </c>
      <c r="I203" s="5" t="s">
        <v>37</v>
      </c>
      <c r="J203" s="5" t="s">
        <v>410</v>
      </c>
      <c r="K203" s="5">
        <v>0.77</v>
      </c>
      <c r="L203" s="7" t="s">
        <v>38</v>
      </c>
      <c r="M203" s="7" t="s">
        <v>410</v>
      </c>
      <c r="N203" s="7">
        <v>1</v>
      </c>
      <c r="O203" s="9" t="s">
        <v>39</v>
      </c>
      <c r="P203" s="9" t="s">
        <v>410</v>
      </c>
      <c r="Q203" s="9">
        <v>0.97599999999999998</v>
      </c>
      <c r="R203" t="s">
        <v>23</v>
      </c>
      <c r="S203">
        <v>4</v>
      </c>
    </row>
    <row r="204" spans="1:19">
      <c r="A204">
        <v>48</v>
      </c>
      <c r="B204" t="s">
        <v>111</v>
      </c>
      <c r="C204">
        <v>1093.6509000000001</v>
      </c>
      <c r="D204">
        <v>337.2</v>
      </c>
      <c r="E204">
        <v>-0.42978198969194598</v>
      </c>
      <c r="F204" s="3" t="s">
        <v>18</v>
      </c>
      <c r="G204" s="3" t="s">
        <v>410</v>
      </c>
      <c r="H204" s="3">
        <v>1</v>
      </c>
      <c r="I204" s="5" t="s">
        <v>37</v>
      </c>
      <c r="J204" s="5" t="s">
        <v>410</v>
      </c>
      <c r="K204" s="5">
        <v>1</v>
      </c>
      <c r="L204" s="7" t="s">
        <v>38</v>
      </c>
      <c r="M204" s="7" t="s">
        <v>410</v>
      </c>
      <c r="N204" s="7">
        <v>0.67</v>
      </c>
      <c r="O204" s="9" t="s">
        <v>39</v>
      </c>
      <c r="P204" s="9" t="s">
        <v>410</v>
      </c>
      <c r="Q204" s="9">
        <v>0.999</v>
      </c>
      <c r="R204" t="s">
        <v>23</v>
      </c>
      <c r="S204">
        <v>4</v>
      </c>
    </row>
    <row r="205" spans="1:19">
      <c r="A205">
        <v>49</v>
      </c>
      <c r="B205" t="s">
        <v>112</v>
      </c>
      <c r="C205">
        <v>337.90269999999998</v>
      </c>
      <c r="D205">
        <v>167.5</v>
      </c>
      <c r="E205">
        <v>-0.525414092127789</v>
      </c>
      <c r="F205" s="3" t="s">
        <v>18</v>
      </c>
      <c r="G205" s="3" t="s">
        <v>410</v>
      </c>
      <c r="H205" s="3">
        <v>1</v>
      </c>
      <c r="I205" s="5" t="s">
        <v>37</v>
      </c>
      <c r="J205" s="5" t="s">
        <v>410</v>
      </c>
      <c r="K205" s="5">
        <v>0.62</v>
      </c>
      <c r="L205" s="7" t="s">
        <v>38</v>
      </c>
      <c r="M205" s="7" t="s">
        <v>410</v>
      </c>
      <c r="N205" s="7">
        <v>0.99</v>
      </c>
      <c r="O205" s="9" t="s">
        <v>39</v>
      </c>
      <c r="P205" s="9" t="s">
        <v>410</v>
      </c>
      <c r="Q205" s="9">
        <v>1</v>
      </c>
      <c r="R205" t="s">
        <v>23</v>
      </c>
      <c r="S205">
        <v>4</v>
      </c>
    </row>
    <row r="206" spans="1:19">
      <c r="A206">
        <v>53</v>
      </c>
      <c r="B206" t="s">
        <v>116</v>
      </c>
      <c r="C206">
        <v>184.05680000000001</v>
      </c>
      <c r="D206">
        <v>140.1</v>
      </c>
      <c r="E206">
        <v>-0.85129102689015201</v>
      </c>
      <c r="F206" s="3" t="s">
        <v>18</v>
      </c>
      <c r="G206" s="3" t="s">
        <v>410</v>
      </c>
      <c r="H206" s="3">
        <v>1</v>
      </c>
      <c r="I206" s="5" t="s">
        <v>37</v>
      </c>
      <c r="J206" s="5" t="s">
        <v>410</v>
      </c>
      <c r="K206" s="5">
        <v>0.76</v>
      </c>
      <c r="L206" s="7" t="s">
        <v>38</v>
      </c>
      <c r="M206" s="7" t="s">
        <v>410</v>
      </c>
      <c r="N206" s="7">
        <v>1</v>
      </c>
      <c r="O206" s="9" t="s">
        <v>39</v>
      </c>
      <c r="P206" s="9" t="s">
        <v>410</v>
      </c>
      <c r="Q206" s="9">
        <v>1</v>
      </c>
      <c r="R206" t="s">
        <v>23</v>
      </c>
      <c r="S206">
        <v>4</v>
      </c>
    </row>
    <row r="207" spans="1:19">
      <c r="A207">
        <v>54</v>
      </c>
      <c r="B207" t="s">
        <v>117</v>
      </c>
      <c r="C207">
        <v>182.0437</v>
      </c>
      <c r="D207">
        <v>137.4</v>
      </c>
      <c r="E207">
        <v>-0.84043875755679698</v>
      </c>
      <c r="F207" s="3" t="s">
        <v>18</v>
      </c>
      <c r="G207" s="3" t="s">
        <v>410</v>
      </c>
      <c r="H207" s="3">
        <v>1</v>
      </c>
      <c r="I207" s="5" t="s">
        <v>37</v>
      </c>
      <c r="J207" s="5" t="s">
        <v>410</v>
      </c>
      <c r="K207" s="5">
        <v>0.86</v>
      </c>
      <c r="L207" s="7" t="s">
        <v>38</v>
      </c>
      <c r="M207" s="7" t="s">
        <v>410</v>
      </c>
      <c r="N207" s="7">
        <v>1</v>
      </c>
      <c r="O207" s="9" t="s">
        <v>39</v>
      </c>
      <c r="P207" s="9" t="s">
        <v>410</v>
      </c>
      <c r="Q207" s="9">
        <v>1</v>
      </c>
      <c r="R207" t="s">
        <v>23</v>
      </c>
      <c r="S207">
        <v>4</v>
      </c>
    </row>
    <row r="208" spans="1:19">
      <c r="A208">
        <v>59</v>
      </c>
      <c r="B208" t="s">
        <v>122</v>
      </c>
      <c r="C208">
        <v>118.0868</v>
      </c>
      <c r="D208">
        <v>124.7</v>
      </c>
      <c r="E208">
        <v>-0.95494995693812301</v>
      </c>
      <c r="F208" s="3" t="s">
        <v>18</v>
      </c>
      <c r="G208" s="3" t="s">
        <v>410</v>
      </c>
      <c r="H208" s="3">
        <v>1</v>
      </c>
      <c r="I208" s="5" t="s">
        <v>37</v>
      </c>
      <c r="J208" s="5" t="s">
        <v>410</v>
      </c>
      <c r="K208" s="5">
        <v>1</v>
      </c>
      <c r="L208" s="7" t="s">
        <v>38</v>
      </c>
      <c r="M208" s="7" t="s">
        <v>410</v>
      </c>
      <c r="N208" s="7">
        <v>1</v>
      </c>
      <c r="O208" s="9" t="s">
        <v>39</v>
      </c>
      <c r="P208" s="9" t="s">
        <v>410</v>
      </c>
      <c r="Q208" s="9">
        <v>1</v>
      </c>
      <c r="R208" t="s">
        <v>23</v>
      </c>
      <c r="S208">
        <v>4</v>
      </c>
    </row>
    <row r="209" spans="1:19">
      <c r="A209">
        <v>64</v>
      </c>
      <c r="B209" t="s">
        <v>127</v>
      </c>
      <c r="C209">
        <v>263.01209999999998</v>
      </c>
      <c r="D209">
        <v>151.1</v>
      </c>
      <c r="E209">
        <v>-0.71843333521786701</v>
      </c>
      <c r="F209" s="3" t="s">
        <v>18</v>
      </c>
      <c r="G209" s="3" t="s">
        <v>410</v>
      </c>
      <c r="H209" s="3">
        <v>1</v>
      </c>
      <c r="I209" s="5" t="s">
        <v>37</v>
      </c>
      <c r="J209" s="5" t="s">
        <v>410</v>
      </c>
      <c r="K209" s="5">
        <v>0.85</v>
      </c>
      <c r="L209" s="7" t="s">
        <v>38</v>
      </c>
      <c r="M209" s="7" t="s">
        <v>410</v>
      </c>
      <c r="N209" s="7">
        <v>1</v>
      </c>
      <c r="O209" s="9" t="s">
        <v>39</v>
      </c>
      <c r="P209" s="9" t="s">
        <v>410</v>
      </c>
      <c r="Q209" s="9">
        <v>0.95699999999999996</v>
      </c>
      <c r="R209" t="s">
        <v>23</v>
      </c>
      <c r="S209">
        <v>4</v>
      </c>
    </row>
    <row r="210" spans="1:19">
      <c r="A210">
        <v>66</v>
      </c>
      <c r="B210" t="s">
        <v>129</v>
      </c>
      <c r="C210">
        <v>180.06370000000001</v>
      </c>
      <c r="D210">
        <v>145.80000000000001</v>
      </c>
      <c r="E210">
        <v>-0.86264953035495795</v>
      </c>
      <c r="F210" s="3" t="s">
        <v>18</v>
      </c>
      <c r="G210" s="3" t="s">
        <v>410</v>
      </c>
      <c r="H210" s="3">
        <v>1</v>
      </c>
      <c r="I210" s="5" t="s">
        <v>37</v>
      </c>
      <c r="J210" s="5" t="s">
        <v>410</v>
      </c>
      <c r="K210" s="5">
        <v>0.71</v>
      </c>
      <c r="L210" s="7" t="s">
        <v>38</v>
      </c>
      <c r="M210" s="7" t="s">
        <v>410</v>
      </c>
      <c r="N210" s="7">
        <v>1</v>
      </c>
      <c r="O210" s="9" t="s">
        <v>39</v>
      </c>
      <c r="P210" s="9" t="s">
        <v>410</v>
      </c>
      <c r="Q210" s="9">
        <v>0.998</v>
      </c>
      <c r="R210" t="s">
        <v>23</v>
      </c>
      <c r="S210">
        <v>4</v>
      </c>
    </row>
    <row r="211" spans="1:19">
      <c r="A211">
        <v>71</v>
      </c>
      <c r="B211" t="s">
        <v>134</v>
      </c>
      <c r="C211">
        <v>212.0436</v>
      </c>
      <c r="D211">
        <v>144.80000000000001</v>
      </c>
      <c r="E211">
        <v>-0.80684231166401299</v>
      </c>
      <c r="F211" s="3" t="s">
        <v>18</v>
      </c>
      <c r="G211" s="3" t="s">
        <v>410</v>
      </c>
      <c r="H211" s="3">
        <v>1</v>
      </c>
      <c r="I211" s="5" t="s">
        <v>37</v>
      </c>
      <c r="J211" s="5" t="s">
        <v>410</v>
      </c>
      <c r="K211" s="5">
        <v>0.92</v>
      </c>
      <c r="L211" s="7" t="s">
        <v>38</v>
      </c>
      <c r="M211" s="7" t="s">
        <v>410</v>
      </c>
      <c r="N211" s="7">
        <v>1</v>
      </c>
      <c r="O211" s="9" t="s">
        <v>39</v>
      </c>
      <c r="P211" s="9" t="s">
        <v>410</v>
      </c>
      <c r="Q211" s="9">
        <v>0.97199999999999998</v>
      </c>
      <c r="R211" t="s">
        <v>23</v>
      </c>
      <c r="S211">
        <v>4</v>
      </c>
    </row>
    <row r="212" spans="1:19">
      <c r="A212">
        <v>81</v>
      </c>
      <c r="B212" t="s">
        <v>147</v>
      </c>
      <c r="C212">
        <v>1058.5604000000001</v>
      </c>
      <c r="D212">
        <v>319.7</v>
      </c>
      <c r="E212">
        <v>-0.37846235477991302</v>
      </c>
      <c r="F212" s="3" t="s">
        <v>18</v>
      </c>
      <c r="G212" s="3" t="s">
        <v>410</v>
      </c>
      <c r="H212" s="3">
        <v>1</v>
      </c>
      <c r="I212" s="5" t="s">
        <v>37</v>
      </c>
      <c r="J212" s="5" t="s">
        <v>410</v>
      </c>
      <c r="K212" s="5">
        <v>1</v>
      </c>
      <c r="L212" s="7" t="s">
        <v>38</v>
      </c>
      <c r="M212" s="7" t="s">
        <v>410</v>
      </c>
      <c r="N212" s="7">
        <v>1</v>
      </c>
      <c r="O212" s="9" t="s">
        <v>39</v>
      </c>
      <c r="P212" s="9" t="s">
        <v>410</v>
      </c>
      <c r="Q212" s="9">
        <v>1</v>
      </c>
      <c r="R212" t="s">
        <v>23</v>
      </c>
      <c r="S212">
        <v>4</v>
      </c>
    </row>
    <row r="213" spans="1:19">
      <c r="A213">
        <v>87</v>
      </c>
      <c r="B213" t="s">
        <v>158</v>
      </c>
      <c r="C213">
        <v>120.06610000000001</v>
      </c>
      <c r="D213">
        <v>127.3</v>
      </c>
      <c r="E213">
        <v>-0.93203996572630399</v>
      </c>
      <c r="F213" s="3" t="s">
        <v>18</v>
      </c>
      <c r="G213" s="3" t="s">
        <v>410</v>
      </c>
      <c r="H213" s="3">
        <v>1</v>
      </c>
      <c r="I213" s="5" t="s">
        <v>37</v>
      </c>
      <c r="J213" s="5" t="s">
        <v>410</v>
      </c>
      <c r="K213" s="5">
        <v>1</v>
      </c>
      <c r="L213" s="7" t="s">
        <v>38</v>
      </c>
      <c r="M213" s="7" t="s">
        <v>410</v>
      </c>
      <c r="N213" s="7">
        <v>1</v>
      </c>
      <c r="O213" s="9" t="s">
        <v>39</v>
      </c>
      <c r="P213" s="9" t="s">
        <v>410</v>
      </c>
      <c r="Q213" s="9">
        <v>1</v>
      </c>
      <c r="R213" t="s">
        <v>23</v>
      </c>
      <c r="S213">
        <v>4</v>
      </c>
    </row>
    <row r="214" spans="1:19">
      <c r="A214">
        <v>93</v>
      </c>
      <c r="B214" t="s">
        <v>68</v>
      </c>
      <c r="C214">
        <v>152.06710000000001</v>
      </c>
      <c r="D214">
        <v>138.69999999999999</v>
      </c>
      <c r="E214">
        <v>-0.897309187789887</v>
      </c>
      <c r="F214" s="3" t="s">
        <v>18</v>
      </c>
      <c r="G214" s="3" t="s">
        <v>410</v>
      </c>
      <c r="H214" s="3">
        <v>1</v>
      </c>
      <c r="I214" s="5" t="s">
        <v>37</v>
      </c>
      <c r="J214" s="5" t="s">
        <v>410</v>
      </c>
      <c r="K214" s="5">
        <v>0.87</v>
      </c>
      <c r="L214" s="7" t="s">
        <v>38</v>
      </c>
      <c r="M214" s="7" t="s">
        <v>410</v>
      </c>
      <c r="N214" s="7">
        <v>1</v>
      </c>
      <c r="O214" s="9" t="s">
        <v>39</v>
      </c>
      <c r="P214" s="9" t="s">
        <v>410</v>
      </c>
      <c r="Q214" s="9">
        <v>1</v>
      </c>
      <c r="R214" t="s">
        <v>23</v>
      </c>
      <c r="S214">
        <v>4</v>
      </c>
    </row>
    <row r="215" spans="1:19">
      <c r="A215">
        <v>96</v>
      </c>
      <c r="B215" t="s">
        <v>111</v>
      </c>
      <c r="C215">
        <v>566.30730000000005</v>
      </c>
      <c r="D215">
        <v>366.2</v>
      </c>
      <c r="E215">
        <v>-0.67498849785715698</v>
      </c>
      <c r="F215" s="3" t="s">
        <v>18</v>
      </c>
      <c r="G215" s="3" t="s">
        <v>410</v>
      </c>
      <c r="H215" s="3">
        <v>1</v>
      </c>
      <c r="I215" s="5" t="s">
        <v>37</v>
      </c>
      <c r="J215" s="5" t="s">
        <v>410</v>
      </c>
      <c r="K215" s="5">
        <v>1</v>
      </c>
      <c r="L215" s="7" t="s">
        <v>38</v>
      </c>
      <c r="M215" s="7" t="s">
        <v>410</v>
      </c>
      <c r="N215" s="7">
        <v>0.53</v>
      </c>
      <c r="O215" s="9" t="s">
        <v>39</v>
      </c>
      <c r="P215" s="9" t="s">
        <v>410</v>
      </c>
      <c r="Q215" s="9">
        <v>0.999</v>
      </c>
      <c r="R215" t="s">
        <v>23</v>
      </c>
      <c r="S215">
        <v>4</v>
      </c>
    </row>
    <row r="216" spans="1:19">
      <c r="A216">
        <v>98</v>
      </c>
      <c r="B216" t="s">
        <v>170</v>
      </c>
      <c r="C216">
        <v>752.35799999999995</v>
      </c>
      <c r="D216">
        <v>260</v>
      </c>
      <c r="E216">
        <v>-0.51795323187730002</v>
      </c>
      <c r="F216" s="3" t="s">
        <v>18</v>
      </c>
      <c r="G216" s="3" t="s">
        <v>410</v>
      </c>
      <c r="H216" s="3">
        <v>1</v>
      </c>
      <c r="I216" s="5" t="s">
        <v>37</v>
      </c>
      <c r="J216" s="5" t="s">
        <v>410</v>
      </c>
      <c r="K216" s="5">
        <v>0.97</v>
      </c>
      <c r="L216" s="7" t="s">
        <v>38</v>
      </c>
      <c r="M216" s="7" t="s">
        <v>410</v>
      </c>
      <c r="N216" s="7">
        <v>0.82</v>
      </c>
      <c r="O216" s="9" t="s">
        <v>39</v>
      </c>
      <c r="P216" s="9" t="s">
        <v>410</v>
      </c>
      <c r="Q216" s="9">
        <v>1</v>
      </c>
      <c r="R216" t="s">
        <v>23</v>
      </c>
      <c r="S216">
        <v>4</v>
      </c>
    </row>
    <row r="217" spans="1:19">
      <c r="A217">
        <v>99</v>
      </c>
      <c r="B217" t="s">
        <v>147</v>
      </c>
      <c r="C217">
        <v>2018.1183000000001</v>
      </c>
      <c r="D217">
        <v>449.9</v>
      </c>
      <c r="E217">
        <v>-0.86496614084762802</v>
      </c>
      <c r="F217" s="3" t="s">
        <v>18</v>
      </c>
      <c r="G217" s="3" t="s">
        <v>410</v>
      </c>
      <c r="H217" s="3">
        <v>1</v>
      </c>
      <c r="I217" s="5" t="s">
        <v>37</v>
      </c>
      <c r="J217" s="5" t="s">
        <v>410</v>
      </c>
      <c r="K217" s="5">
        <v>0.98</v>
      </c>
      <c r="L217" s="7" t="s">
        <v>38</v>
      </c>
      <c r="M217" s="7" t="s">
        <v>410</v>
      </c>
      <c r="N217" s="7">
        <v>0.89</v>
      </c>
      <c r="O217" s="9" t="s">
        <v>39</v>
      </c>
      <c r="P217" s="9" t="s">
        <v>410</v>
      </c>
      <c r="Q217" s="9">
        <v>1</v>
      </c>
      <c r="R217" t="s">
        <v>23</v>
      </c>
      <c r="S217">
        <v>4</v>
      </c>
    </row>
    <row r="218" spans="1:19">
      <c r="A218">
        <v>103</v>
      </c>
      <c r="B218" t="s">
        <v>175</v>
      </c>
      <c r="C218">
        <v>310.10289999999998</v>
      </c>
      <c r="D218">
        <v>163.80000000000001</v>
      </c>
      <c r="E218">
        <v>-0.75665401214519101</v>
      </c>
      <c r="F218" s="3" t="s">
        <v>18</v>
      </c>
      <c r="G218" s="3" t="s">
        <v>410</v>
      </c>
      <c r="H218" s="3">
        <v>1</v>
      </c>
      <c r="I218" s="5" t="s">
        <v>37</v>
      </c>
      <c r="J218" s="5" t="s">
        <v>410</v>
      </c>
      <c r="K218" s="5">
        <v>0.71</v>
      </c>
      <c r="L218" s="7" t="s">
        <v>38</v>
      </c>
      <c r="M218" s="7" t="s">
        <v>410</v>
      </c>
      <c r="N218" s="7">
        <v>1</v>
      </c>
      <c r="O218" s="9" t="s">
        <v>39</v>
      </c>
      <c r="P218" s="9" t="s">
        <v>410</v>
      </c>
      <c r="Q218" s="9">
        <v>1</v>
      </c>
      <c r="R218" t="s">
        <v>23</v>
      </c>
      <c r="S218">
        <v>4</v>
      </c>
    </row>
    <row r="219" spans="1:19">
      <c r="A219">
        <v>114</v>
      </c>
      <c r="B219" t="s">
        <v>185</v>
      </c>
      <c r="C219">
        <v>1686.4820999999999</v>
      </c>
      <c r="D219">
        <v>395.3</v>
      </c>
      <c r="E219">
        <v>-0.59905517612401105</v>
      </c>
      <c r="F219" s="3" t="s">
        <v>18</v>
      </c>
      <c r="G219" s="3" t="s">
        <v>410</v>
      </c>
      <c r="H219" s="3">
        <v>1</v>
      </c>
      <c r="I219" s="5" t="s">
        <v>37</v>
      </c>
      <c r="J219" s="5" t="s">
        <v>410</v>
      </c>
      <c r="K219" s="5">
        <v>0.99</v>
      </c>
      <c r="L219" s="7" t="s">
        <v>38</v>
      </c>
      <c r="M219" s="7" t="s">
        <v>410</v>
      </c>
      <c r="N219" s="7">
        <v>0.93</v>
      </c>
      <c r="O219" s="9" t="s">
        <v>39</v>
      </c>
      <c r="P219" s="9" t="s">
        <v>410</v>
      </c>
      <c r="Q219" s="9">
        <v>1</v>
      </c>
      <c r="R219" t="s">
        <v>23</v>
      </c>
      <c r="S219">
        <v>4</v>
      </c>
    </row>
    <row r="220" spans="1:19">
      <c r="A220">
        <v>117</v>
      </c>
      <c r="B220" t="s">
        <v>188</v>
      </c>
      <c r="C220">
        <v>212.09270000000001</v>
      </c>
      <c r="D220">
        <v>153.4</v>
      </c>
      <c r="E220">
        <v>-0.85588748896483902</v>
      </c>
      <c r="F220" s="3" t="s">
        <v>18</v>
      </c>
      <c r="G220" s="3" t="s">
        <v>410</v>
      </c>
      <c r="H220" s="3">
        <v>1</v>
      </c>
      <c r="I220" s="5" t="s">
        <v>37</v>
      </c>
      <c r="J220" s="5" t="s">
        <v>410</v>
      </c>
      <c r="K220" s="5">
        <v>0.67</v>
      </c>
      <c r="L220" s="7" t="s">
        <v>38</v>
      </c>
      <c r="M220" s="7" t="s">
        <v>410</v>
      </c>
      <c r="N220" s="7">
        <v>0.76</v>
      </c>
      <c r="O220" s="9" t="s">
        <v>39</v>
      </c>
      <c r="P220" s="9" t="s">
        <v>410</v>
      </c>
      <c r="Q220" s="9">
        <v>0.90800000000000003</v>
      </c>
      <c r="R220" t="s">
        <v>23</v>
      </c>
      <c r="S220">
        <v>4</v>
      </c>
    </row>
    <row r="221" spans="1:19">
      <c r="A221">
        <v>120</v>
      </c>
      <c r="B221" t="s">
        <v>191</v>
      </c>
      <c r="C221">
        <v>100.0403</v>
      </c>
      <c r="D221">
        <v>135.6</v>
      </c>
      <c r="E221">
        <v>-0.92859981113110701</v>
      </c>
      <c r="F221" s="3" t="s">
        <v>18</v>
      </c>
      <c r="G221" s="3" t="s">
        <v>410</v>
      </c>
      <c r="H221" s="3">
        <v>1</v>
      </c>
      <c r="I221" s="5" t="s">
        <v>37</v>
      </c>
      <c r="J221" s="5" t="s">
        <v>410</v>
      </c>
      <c r="K221" s="5">
        <v>0.99</v>
      </c>
      <c r="L221" s="7" t="s">
        <v>38</v>
      </c>
      <c r="M221" s="7" t="s">
        <v>410</v>
      </c>
      <c r="N221" s="7">
        <v>1</v>
      </c>
      <c r="O221" s="9" t="s">
        <v>39</v>
      </c>
      <c r="P221" s="9" t="s">
        <v>410</v>
      </c>
      <c r="Q221" s="9">
        <v>1</v>
      </c>
      <c r="R221" t="s">
        <v>23</v>
      </c>
      <c r="S221">
        <v>4</v>
      </c>
    </row>
    <row r="222" spans="1:19">
      <c r="A222">
        <v>122</v>
      </c>
      <c r="B222" t="s">
        <v>193</v>
      </c>
      <c r="C222">
        <v>1283.711</v>
      </c>
      <c r="D222">
        <v>372.9</v>
      </c>
      <c r="E222">
        <v>-0.27767002045106898</v>
      </c>
      <c r="F222" s="3" t="s">
        <v>18</v>
      </c>
      <c r="G222" s="3" t="s">
        <v>410</v>
      </c>
      <c r="H222" s="3">
        <v>0.998</v>
      </c>
      <c r="I222" s="5" t="s">
        <v>37</v>
      </c>
      <c r="J222" s="5" t="s">
        <v>410</v>
      </c>
      <c r="K222" s="5">
        <v>0.95</v>
      </c>
      <c r="L222" s="7" t="s">
        <v>38</v>
      </c>
      <c r="M222" s="7" t="s">
        <v>410</v>
      </c>
      <c r="N222" s="7">
        <v>0.95</v>
      </c>
      <c r="O222" s="9" t="s">
        <v>39</v>
      </c>
      <c r="P222" s="9" t="s">
        <v>410</v>
      </c>
      <c r="Q222" s="9">
        <v>1</v>
      </c>
      <c r="R222" t="s">
        <v>23</v>
      </c>
      <c r="S222">
        <v>4</v>
      </c>
    </row>
    <row r="223" spans="1:19">
      <c r="A223">
        <v>124</v>
      </c>
      <c r="B223" t="s">
        <v>196</v>
      </c>
      <c r="C223">
        <v>585.27880000000005</v>
      </c>
      <c r="D223">
        <v>232.6</v>
      </c>
      <c r="E223">
        <v>-0.62530583313969101</v>
      </c>
      <c r="F223" s="3" t="s">
        <v>18</v>
      </c>
      <c r="G223" s="3" t="s">
        <v>410</v>
      </c>
      <c r="H223" s="3">
        <v>1</v>
      </c>
      <c r="I223" s="5" t="s">
        <v>37</v>
      </c>
      <c r="J223" s="5" t="s">
        <v>410</v>
      </c>
      <c r="K223" s="5">
        <v>0.82</v>
      </c>
      <c r="L223" s="7" t="s">
        <v>38</v>
      </c>
      <c r="M223" s="7" t="s">
        <v>410</v>
      </c>
      <c r="N223" s="7">
        <v>1</v>
      </c>
      <c r="O223" s="9" t="s">
        <v>39</v>
      </c>
      <c r="P223" s="9" t="s">
        <v>410</v>
      </c>
      <c r="Q223" s="9">
        <v>1</v>
      </c>
      <c r="R223" t="s">
        <v>23</v>
      </c>
      <c r="S223">
        <v>4</v>
      </c>
    </row>
    <row r="224" spans="1:19">
      <c r="A224">
        <v>133</v>
      </c>
      <c r="B224" t="s">
        <v>206</v>
      </c>
      <c r="C224">
        <v>186.01599999999999</v>
      </c>
      <c r="D224">
        <v>149.30000000000001</v>
      </c>
      <c r="E224">
        <v>-0.808303478371869</v>
      </c>
      <c r="F224" s="3" t="s">
        <v>18</v>
      </c>
      <c r="G224" s="3" t="s">
        <v>410</v>
      </c>
      <c r="H224" s="3">
        <v>1</v>
      </c>
      <c r="I224" s="5" t="s">
        <v>37</v>
      </c>
      <c r="J224" s="5" t="s">
        <v>410</v>
      </c>
      <c r="K224" s="5">
        <v>0.66</v>
      </c>
      <c r="L224" s="7" t="s">
        <v>38</v>
      </c>
      <c r="M224" s="7" t="s">
        <v>410</v>
      </c>
      <c r="N224" s="7">
        <v>1</v>
      </c>
      <c r="O224" s="9" t="s">
        <v>39</v>
      </c>
      <c r="P224" s="9" t="s">
        <v>410</v>
      </c>
      <c r="Q224" s="9">
        <v>0.90700000000000003</v>
      </c>
      <c r="R224" t="s">
        <v>23</v>
      </c>
      <c r="S224">
        <v>4</v>
      </c>
    </row>
    <row r="225" spans="1:19">
      <c r="A225">
        <v>134</v>
      </c>
      <c r="B225" t="s">
        <v>207</v>
      </c>
      <c r="C225">
        <v>504.32190000000003</v>
      </c>
      <c r="D225">
        <v>228.2</v>
      </c>
      <c r="E225">
        <v>-0.75879841513153701</v>
      </c>
      <c r="F225" s="3" t="s">
        <v>18</v>
      </c>
      <c r="G225" s="3" t="s">
        <v>410</v>
      </c>
      <c r="H225" s="3">
        <v>1</v>
      </c>
      <c r="I225" s="5" t="s">
        <v>37</v>
      </c>
      <c r="J225" s="5" t="s">
        <v>410</v>
      </c>
      <c r="K225" s="5">
        <v>0.62</v>
      </c>
      <c r="L225" s="7" t="s">
        <v>38</v>
      </c>
      <c r="M225" s="7" t="s">
        <v>410</v>
      </c>
      <c r="N225" s="7">
        <v>0.99</v>
      </c>
      <c r="O225" s="9" t="s">
        <v>39</v>
      </c>
      <c r="P225" s="9" t="s">
        <v>410</v>
      </c>
      <c r="Q225" s="9">
        <v>1</v>
      </c>
      <c r="R225" t="s">
        <v>23</v>
      </c>
      <c r="S225">
        <v>4</v>
      </c>
    </row>
    <row r="226" spans="1:19">
      <c r="A226">
        <v>150</v>
      </c>
      <c r="B226" t="s">
        <v>229</v>
      </c>
      <c r="C226">
        <v>916.48519999999996</v>
      </c>
      <c r="D226">
        <v>288.60000000000002</v>
      </c>
      <c r="E226">
        <v>-0.46189669187776899</v>
      </c>
      <c r="F226" s="3" t="s">
        <v>18</v>
      </c>
      <c r="G226" s="3" t="s">
        <v>410</v>
      </c>
      <c r="H226" s="3">
        <v>1</v>
      </c>
      <c r="I226" s="5" t="s">
        <v>37</v>
      </c>
      <c r="J226" s="5" t="s">
        <v>410</v>
      </c>
      <c r="K226" s="5">
        <v>0.76</v>
      </c>
      <c r="L226" s="7" t="s">
        <v>38</v>
      </c>
      <c r="M226" s="7" t="s">
        <v>410</v>
      </c>
      <c r="N226" s="7">
        <v>0.89</v>
      </c>
      <c r="O226" s="9" t="s">
        <v>39</v>
      </c>
      <c r="P226" s="9" t="s">
        <v>410</v>
      </c>
      <c r="Q226" s="9">
        <v>1</v>
      </c>
      <c r="R226" t="s">
        <v>23</v>
      </c>
      <c r="S226">
        <v>4</v>
      </c>
    </row>
    <row r="227" spans="1:19">
      <c r="A227">
        <v>151</v>
      </c>
      <c r="B227" t="s">
        <v>230</v>
      </c>
      <c r="C227">
        <v>145.06280000000001</v>
      </c>
      <c r="D227">
        <v>127.7</v>
      </c>
      <c r="E227">
        <v>-0.90082985239101299</v>
      </c>
      <c r="F227" s="3" t="s">
        <v>18</v>
      </c>
      <c r="G227" s="3" t="s">
        <v>410</v>
      </c>
      <c r="H227" s="3">
        <v>1</v>
      </c>
      <c r="I227" s="5" t="s">
        <v>37</v>
      </c>
      <c r="J227" s="5" t="s">
        <v>410</v>
      </c>
      <c r="K227" s="5">
        <v>0.72</v>
      </c>
      <c r="L227" s="7" t="s">
        <v>38</v>
      </c>
      <c r="M227" s="7" t="s">
        <v>410</v>
      </c>
      <c r="N227" s="7">
        <v>1</v>
      </c>
      <c r="O227" s="9" t="s">
        <v>39</v>
      </c>
      <c r="P227" s="9" t="s">
        <v>410</v>
      </c>
      <c r="Q227" s="9">
        <v>1</v>
      </c>
      <c r="R227" t="s">
        <v>23</v>
      </c>
      <c r="S227">
        <v>4</v>
      </c>
    </row>
    <row r="228" spans="1:19">
      <c r="A228">
        <v>160</v>
      </c>
      <c r="B228" t="s">
        <v>240</v>
      </c>
      <c r="C228">
        <v>156.01050000000001</v>
      </c>
      <c r="D228">
        <v>127.9</v>
      </c>
      <c r="E228">
        <v>-0.836306176955389</v>
      </c>
      <c r="F228" s="3" t="s">
        <v>18</v>
      </c>
      <c r="G228" s="3" t="s">
        <v>410</v>
      </c>
      <c r="H228" s="3">
        <v>1</v>
      </c>
      <c r="I228" s="5" t="s">
        <v>37</v>
      </c>
      <c r="J228" s="5" t="s">
        <v>410</v>
      </c>
      <c r="K228" s="5">
        <v>0.71</v>
      </c>
      <c r="L228" s="7" t="s">
        <v>38</v>
      </c>
      <c r="M228" s="7" t="s">
        <v>410</v>
      </c>
      <c r="N228" s="7">
        <v>1</v>
      </c>
      <c r="O228" s="9" t="s">
        <v>39</v>
      </c>
      <c r="P228" s="9" t="s">
        <v>410</v>
      </c>
      <c r="Q228" s="9">
        <v>0.999</v>
      </c>
      <c r="R228" t="s">
        <v>23</v>
      </c>
      <c r="S228">
        <v>4</v>
      </c>
    </row>
    <row r="229" spans="1:19">
      <c r="A229">
        <v>161</v>
      </c>
      <c r="B229" t="s">
        <v>241</v>
      </c>
      <c r="C229">
        <v>225.13120000000001</v>
      </c>
      <c r="D229">
        <v>158.1</v>
      </c>
      <c r="E229">
        <v>-0.87982932677851999</v>
      </c>
      <c r="F229" s="3" t="s">
        <v>18</v>
      </c>
      <c r="G229" s="3" t="s">
        <v>410</v>
      </c>
      <c r="H229" s="3">
        <v>1</v>
      </c>
      <c r="I229" s="5" t="s">
        <v>37</v>
      </c>
      <c r="J229" s="5" t="s">
        <v>410</v>
      </c>
      <c r="K229" s="5">
        <v>0.6</v>
      </c>
      <c r="L229" s="7" t="s">
        <v>38</v>
      </c>
      <c r="M229" s="7" t="s">
        <v>410</v>
      </c>
      <c r="N229" s="7">
        <v>0.79</v>
      </c>
      <c r="O229" s="9" t="s">
        <v>39</v>
      </c>
      <c r="P229" s="9" t="s">
        <v>410</v>
      </c>
      <c r="Q229" s="9">
        <v>0.997</v>
      </c>
      <c r="R229" t="s">
        <v>23</v>
      </c>
      <c r="S229">
        <v>4</v>
      </c>
    </row>
    <row r="230" spans="1:19">
      <c r="A230">
        <v>163</v>
      </c>
      <c r="B230" t="s">
        <v>243</v>
      </c>
      <c r="C230">
        <v>168.00630000000001</v>
      </c>
      <c r="D230">
        <v>128.6</v>
      </c>
      <c r="E230">
        <v>-0.81871224345425697</v>
      </c>
      <c r="F230" s="3" t="s">
        <v>18</v>
      </c>
      <c r="G230" s="3" t="s">
        <v>410</v>
      </c>
      <c r="H230" s="3">
        <v>1</v>
      </c>
      <c r="I230" s="5" t="s">
        <v>37</v>
      </c>
      <c r="J230" s="5" t="s">
        <v>410</v>
      </c>
      <c r="K230" s="5">
        <v>0.77</v>
      </c>
      <c r="L230" s="7" t="s">
        <v>38</v>
      </c>
      <c r="M230" s="7" t="s">
        <v>410</v>
      </c>
      <c r="N230" s="7">
        <v>1</v>
      </c>
      <c r="O230" s="9" t="s">
        <v>39</v>
      </c>
      <c r="P230" s="9" t="s">
        <v>410</v>
      </c>
      <c r="Q230" s="9">
        <v>0.94399999999999995</v>
      </c>
      <c r="R230" t="s">
        <v>23</v>
      </c>
      <c r="S230">
        <v>4</v>
      </c>
    </row>
    <row r="231" spans="1:19">
      <c r="A231">
        <v>165</v>
      </c>
      <c r="B231" t="s">
        <v>61</v>
      </c>
      <c r="C231">
        <v>587.23710000000005</v>
      </c>
      <c r="D231">
        <v>231.1</v>
      </c>
      <c r="E231">
        <v>-0.58141928951818</v>
      </c>
      <c r="F231" s="3" t="s">
        <v>18</v>
      </c>
      <c r="G231" s="3" t="s">
        <v>410</v>
      </c>
      <c r="H231" s="3">
        <v>1</v>
      </c>
      <c r="I231" s="5" t="s">
        <v>37</v>
      </c>
      <c r="J231" s="5" t="s">
        <v>410</v>
      </c>
      <c r="K231" s="5">
        <v>0.7</v>
      </c>
      <c r="L231" s="7" t="s">
        <v>38</v>
      </c>
      <c r="M231" s="7" t="s">
        <v>410</v>
      </c>
      <c r="N231" s="7">
        <v>0.95</v>
      </c>
      <c r="O231" s="9" t="s">
        <v>39</v>
      </c>
      <c r="P231" s="9" t="s">
        <v>410</v>
      </c>
      <c r="Q231" s="9">
        <v>1</v>
      </c>
      <c r="R231" t="s">
        <v>23</v>
      </c>
      <c r="S231">
        <v>4</v>
      </c>
    </row>
    <row r="232" spans="1:19">
      <c r="A232">
        <v>172</v>
      </c>
      <c r="B232" t="s">
        <v>250</v>
      </c>
      <c r="C232">
        <v>104.0705</v>
      </c>
      <c r="D232">
        <v>124.2</v>
      </c>
      <c r="E232">
        <v>-0.95429988359010998</v>
      </c>
      <c r="F232" s="3" t="s">
        <v>18</v>
      </c>
      <c r="G232" s="3" t="s">
        <v>410</v>
      </c>
      <c r="H232" s="3">
        <v>1</v>
      </c>
      <c r="I232" s="5" t="s">
        <v>37</v>
      </c>
      <c r="J232" s="5" t="s">
        <v>410</v>
      </c>
      <c r="K232" s="5">
        <v>1</v>
      </c>
      <c r="L232" s="7" t="s">
        <v>38</v>
      </c>
      <c r="M232" s="7" t="s">
        <v>410</v>
      </c>
      <c r="N232" s="7">
        <v>1</v>
      </c>
      <c r="O232" s="9" t="s">
        <v>39</v>
      </c>
      <c r="P232" s="9" t="s">
        <v>410</v>
      </c>
      <c r="Q232" s="9">
        <v>1</v>
      </c>
      <c r="R232" t="s">
        <v>23</v>
      </c>
      <c r="S232">
        <v>4</v>
      </c>
    </row>
    <row r="233" spans="1:19">
      <c r="A233">
        <v>180</v>
      </c>
      <c r="B233" t="s">
        <v>258</v>
      </c>
      <c r="C233">
        <v>114.06619999999999</v>
      </c>
      <c r="D233">
        <v>123.4</v>
      </c>
      <c r="E233">
        <v>-0.93883916558070302</v>
      </c>
      <c r="F233" s="3" t="s">
        <v>18</v>
      </c>
      <c r="G233" s="3" t="s">
        <v>410</v>
      </c>
      <c r="H233" s="3">
        <v>1</v>
      </c>
      <c r="I233" s="5" t="s">
        <v>37</v>
      </c>
      <c r="J233" s="5" t="s">
        <v>410</v>
      </c>
      <c r="K233" s="5">
        <v>1</v>
      </c>
      <c r="L233" s="7" t="s">
        <v>38</v>
      </c>
      <c r="M233" s="7" t="s">
        <v>410</v>
      </c>
      <c r="N233" s="7">
        <v>1</v>
      </c>
      <c r="O233" s="9" t="s">
        <v>39</v>
      </c>
      <c r="P233" s="9" t="s">
        <v>410</v>
      </c>
      <c r="Q233" s="9">
        <v>1</v>
      </c>
      <c r="R233" t="s">
        <v>23</v>
      </c>
      <c r="S233">
        <v>4</v>
      </c>
    </row>
    <row r="234" spans="1:19">
      <c r="A234">
        <v>181</v>
      </c>
      <c r="B234" t="s">
        <v>259</v>
      </c>
      <c r="C234">
        <v>140.06700000000001</v>
      </c>
      <c r="D234">
        <v>133.80000000000001</v>
      </c>
      <c r="E234">
        <v>-0.91060792246426603</v>
      </c>
      <c r="F234" s="3" t="s">
        <v>18</v>
      </c>
      <c r="G234" s="3" t="s">
        <v>410</v>
      </c>
      <c r="H234" s="3">
        <v>1</v>
      </c>
      <c r="I234" s="5" t="s">
        <v>37</v>
      </c>
      <c r="J234" s="5" t="s">
        <v>410</v>
      </c>
      <c r="K234" s="5">
        <v>0.92</v>
      </c>
      <c r="L234" s="7" t="s">
        <v>38</v>
      </c>
      <c r="M234" s="7" t="s">
        <v>410</v>
      </c>
      <c r="N234" s="7">
        <v>1</v>
      </c>
      <c r="O234" s="9" t="s">
        <v>39</v>
      </c>
      <c r="P234" s="9" t="s">
        <v>410</v>
      </c>
      <c r="Q234" s="9">
        <v>1</v>
      </c>
      <c r="R234" t="s">
        <v>23</v>
      </c>
      <c r="S234">
        <v>4</v>
      </c>
    </row>
    <row r="235" spans="1:19">
      <c r="A235">
        <v>185</v>
      </c>
      <c r="B235" t="s">
        <v>262</v>
      </c>
      <c r="C235">
        <v>174.0898</v>
      </c>
      <c r="D235">
        <v>135.5</v>
      </c>
      <c r="E235">
        <v>-0.89541969985947401</v>
      </c>
      <c r="F235" s="3" t="s">
        <v>18</v>
      </c>
      <c r="G235" s="3" t="s">
        <v>410</v>
      </c>
      <c r="H235" s="3">
        <v>1</v>
      </c>
      <c r="I235" s="5" t="s">
        <v>37</v>
      </c>
      <c r="J235" s="5" t="s">
        <v>410</v>
      </c>
      <c r="K235" s="5">
        <v>0.66</v>
      </c>
      <c r="L235" s="7" t="s">
        <v>38</v>
      </c>
      <c r="M235" s="7" t="s">
        <v>410</v>
      </c>
      <c r="N235" s="7">
        <v>1</v>
      </c>
      <c r="O235" s="9" t="s">
        <v>39</v>
      </c>
      <c r="P235" s="9" t="s">
        <v>410</v>
      </c>
      <c r="Q235" s="9">
        <v>0.998</v>
      </c>
      <c r="R235" t="s">
        <v>23</v>
      </c>
      <c r="S235">
        <v>4</v>
      </c>
    </row>
    <row r="236" spans="1:19">
      <c r="A236">
        <v>187</v>
      </c>
      <c r="B236" t="s">
        <v>108</v>
      </c>
      <c r="C236">
        <v>229.05719999999999</v>
      </c>
      <c r="D236">
        <v>146.30000000000001</v>
      </c>
      <c r="E236">
        <v>-0.80144574394739698</v>
      </c>
      <c r="F236" s="3" t="s">
        <v>18</v>
      </c>
      <c r="G236" s="3" t="s">
        <v>410</v>
      </c>
      <c r="H236" s="3">
        <v>1</v>
      </c>
      <c r="I236" s="5" t="s">
        <v>37</v>
      </c>
      <c r="J236" s="5" t="s">
        <v>410</v>
      </c>
      <c r="K236" s="5">
        <v>0.89</v>
      </c>
      <c r="L236" s="7" t="s">
        <v>38</v>
      </c>
      <c r="M236" s="7" t="s">
        <v>410</v>
      </c>
      <c r="N236" s="7">
        <v>0.99</v>
      </c>
      <c r="O236" s="9" t="s">
        <v>39</v>
      </c>
      <c r="P236" s="9" t="s">
        <v>410</v>
      </c>
      <c r="Q236" s="9">
        <v>0.99399999999999999</v>
      </c>
      <c r="R236" t="s">
        <v>23</v>
      </c>
      <c r="S236">
        <v>4</v>
      </c>
    </row>
    <row r="237" spans="1:19">
      <c r="A237">
        <v>191</v>
      </c>
      <c r="B237" t="s">
        <v>267</v>
      </c>
      <c r="C237">
        <v>174.04079999999999</v>
      </c>
      <c r="D237">
        <v>131.30000000000001</v>
      </c>
      <c r="E237">
        <v>-0.84647441090348297</v>
      </c>
      <c r="F237" s="3" t="s">
        <v>18</v>
      </c>
      <c r="G237" s="3" t="s">
        <v>410</v>
      </c>
      <c r="H237" s="3">
        <v>1</v>
      </c>
      <c r="I237" s="5" t="s">
        <v>37</v>
      </c>
      <c r="J237" s="5" t="s">
        <v>410</v>
      </c>
      <c r="K237" s="5">
        <v>0.69</v>
      </c>
      <c r="L237" s="7" t="s">
        <v>38</v>
      </c>
      <c r="M237" s="7" t="s">
        <v>410</v>
      </c>
      <c r="N237" s="7">
        <v>1</v>
      </c>
      <c r="O237" s="9" t="s">
        <v>39</v>
      </c>
      <c r="P237" s="9" t="s">
        <v>410</v>
      </c>
      <c r="Q237" s="9">
        <v>0.99199999999999999</v>
      </c>
      <c r="R237" t="s">
        <v>23</v>
      </c>
      <c r="S237">
        <v>4</v>
      </c>
    </row>
    <row r="238" spans="1:19">
      <c r="A238">
        <v>196</v>
      </c>
      <c r="B238" t="s">
        <v>108</v>
      </c>
      <c r="C238">
        <v>191.10120000000001</v>
      </c>
      <c r="D238">
        <v>141.4</v>
      </c>
      <c r="E238">
        <v>-0.88782558855709204</v>
      </c>
      <c r="F238" s="3" t="s">
        <v>18</v>
      </c>
      <c r="G238" s="3" t="s">
        <v>410</v>
      </c>
      <c r="H238" s="3">
        <v>1</v>
      </c>
      <c r="I238" s="5" t="s">
        <v>37</v>
      </c>
      <c r="J238" s="5" t="s">
        <v>410</v>
      </c>
      <c r="K238" s="5">
        <v>0.72</v>
      </c>
      <c r="L238" s="7" t="s">
        <v>38</v>
      </c>
      <c r="M238" s="7" t="s">
        <v>410</v>
      </c>
      <c r="N238" s="7">
        <v>1</v>
      </c>
      <c r="O238" s="9" t="s">
        <v>39</v>
      </c>
      <c r="P238" s="9" t="s">
        <v>410</v>
      </c>
      <c r="Q238" s="9">
        <v>0.996</v>
      </c>
      <c r="R238" t="s">
        <v>23</v>
      </c>
      <c r="S238">
        <v>4</v>
      </c>
    </row>
    <row r="239" spans="1:19">
      <c r="A239">
        <v>199</v>
      </c>
      <c r="B239" t="s">
        <v>272</v>
      </c>
      <c r="C239">
        <v>189.12389999999999</v>
      </c>
      <c r="D239">
        <v>145.6</v>
      </c>
      <c r="E239">
        <v>-0.91273334666507799</v>
      </c>
      <c r="F239" s="3" t="s">
        <v>18</v>
      </c>
      <c r="G239" s="3" t="s">
        <v>410</v>
      </c>
      <c r="H239" s="3">
        <v>1</v>
      </c>
      <c r="I239" s="5" t="s">
        <v>37</v>
      </c>
      <c r="J239" s="5" t="s">
        <v>410</v>
      </c>
      <c r="K239" s="5">
        <v>0.92</v>
      </c>
      <c r="L239" s="7" t="s">
        <v>38</v>
      </c>
      <c r="M239" s="7" t="s">
        <v>410</v>
      </c>
      <c r="N239" s="7">
        <v>1</v>
      </c>
      <c r="O239" s="9" t="s">
        <v>39</v>
      </c>
      <c r="P239" s="9" t="s">
        <v>410</v>
      </c>
      <c r="Q239" s="9">
        <v>0.999</v>
      </c>
      <c r="R239" t="s">
        <v>23</v>
      </c>
      <c r="S239">
        <v>4</v>
      </c>
    </row>
    <row r="240" spans="1:19">
      <c r="A240">
        <v>201</v>
      </c>
      <c r="B240" t="s">
        <v>262</v>
      </c>
      <c r="C240">
        <v>176.1028</v>
      </c>
      <c r="D240">
        <v>137.69999999999999</v>
      </c>
      <c r="E240">
        <v>-0.90617208084802303</v>
      </c>
      <c r="F240" s="3" t="s">
        <v>18</v>
      </c>
      <c r="G240" s="3" t="s">
        <v>410</v>
      </c>
      <c r="H240" s="3">
        <v>1</v>
      </c>
      <c r="I240" s="5" t="s">
        <v>37</v>
      </c>
      <c r="J240" s="5" t="s">
        <v>410</v>
      </c>
      <c r="K240" s="5">
        <v>0.86</v>
      </c>
      <c r="L240" s="7" t="s">
        <v>38</v>
      </c>
      <c r="M240" s="7" t="s">
        <v>410</v>
      </c>
      <c r="N240" s="7">
        <v>1</v>
      </c>
      <c r="O240" s="9" t="s">
        <v>39</v>
      </c>
      <c r="P240" s="9" t="s">
        <v>410</v>
      </c>
      <c r="Q240" s="9">
        <v>1</v>
      </c>
      <c r="R240" t="s">
        <v>23</v>
      </c>
      <c r="S240">
        <v>4</v>
      </c>
    </row>
    <row r="241" spans="1:19">
      <c r="A241">
        <v>202</v>
      </c>
      <c r="B241" t="s">
        <v>273</v>
      </c>
      <c r="C241">
        <v>1076.4659999999999</v>
      </c>
      <c r="D241">
        <v>315.5</v>
      </c>
      <c r="E241">
        <v>-0.26406982275193502</v>
      </c>
      <c r="F241" s="3" t="s">
        <v>18</v>
      </c>
      <c r="G241" s="3" t="s">
        <v>410</v>
      </c>
      <c r="H241" s="3">
        <v>0.98799999999999999</v>
      </c>
      <c r="I241" s="5" t="s">
        <v>37</v>
      </c>
      <c r="J241" s="5" t="s">
        <v>410</v>
      </c>
      <c r="K241" s="5">
        <v>0.99</v>
      </c>
      <c r="L241" s="7" t="s">
        <v>38</v>
      </c>
      <c r="M241" s="7" t="s">
        <v>410</v>
      </c>
      <c r="N241" s="7">
        <v>1</v>
      </c>
      <c r="O241" s="9" t="s">
        <v>39</v>
      </c>
      <c r="P241" s="9" t="s">
        <v>410</v>
      </c>
      <c r="Q241" s="9">
        <v>1</v>
      </c>
      <c r="R241" t="s">
        <v>23</v>
      </c>
      <c r="S241">
        <v>4</v>
      </c>
    </row>
    <row r="242" spans="1:19">
      <c r="A242">
        <v>204</v>
      </c>
      <c r="B242" t="s">
        <v>275</v>
      </c>
      <c r="C242">
        <v>178.05869999999999</v>
      </c>
      <c r="D242">
        <v>134.9</v>
      </c>
      <c r="E242">
        <v>-0.85988821695107698</v>
      </c>
      <c r="F242" s="3" t="s">
        <v>18</v>
      </c>
      <c r="G242" s="3" t="s">
        <v>410</v>
      </c>
      <c r="H242" s="3">
        <v>1</v>
      </c>
      <c r="I242" s="5" t="s">
        <v>37</v>
      </c>
      <c r="J242" s="5" t="s">
        <v>410</v>
      </c>
      <c r="K242" s="5">
        <v>0.86</v>
      </c>
      <c r="L242" s="7" t="s">
        <v>38</v>
      </c>
      <c r="M242" s="7" t="s">
        <v>410</v>
      </c>
      <c r="N242" s="7">
        <v>1</v>
      </c>
      <c r="O242" s="9" t="s">
        <v>39</v>
      </c>
      <c r="P242" s="9" t="s">
        <v>410</v>
      </c>
      <c r="Q242" s="9">
        <v>1</v>
      </c>
      <c r="R242" t="s">
        <v>23</v>
      </c>
      <c r="S242">
        <v>4</v>
      </c>
    </row>
    <row r="243" spans="1:19">
      <c r="A243">
        <v>207</v>
      </c>
      <c r="B243" t="s">
        <v>278</v>
      </c>
      <c r="C243">
        <v>140.03110000000001</v>
      </c>
      <c r="D243">
        <v>132.30000000000001</v>
      </c>
      <c r="E243">
        <v>-0.87474800667814601</v>
      </c>
      <c r="F243" s="3" t="s">
        <v>18</v>
      </c>
      <c r="G243" s="3" t="s">
        <v>410</v>
      </c>
      <c r="H243" s="3">
        <v>1</v>
      </c>
      <c r="I243" s="5" t="s">
        <v>37</v>
      </c>
      <c r="J243" s="5" t="s">
        <v>410</v>
      </c>
      <c r="K243" s="5">
        <v>0.74</v>
      </c>
      <c r="L243" s="7" t="s">
        <v>38</v>
      </c>
      <c r="M243" s="7" t="s">
        <v>410</v>
      </c>
      <c r="N243" s="7">
        <v>1</v>
      </c>
      <c r="O243" s="9" t="s">
        <v>39</v>
      </c>
      <c r="P243" s="9" t="s">
        <v>410</v>
      </c>
      <c r="Q243" s="9">
        <v>1</v>
      </c>
      <c r="R243" t="s">
        <v>23</v>
      </c>
      <c r="S243">
        <v>4</v>
      </c>
    </row>
    <row r="244" spans="1:19">
      <c r="A244">
        <v>214</v>
      </c>
      <c r="B244" t="s">
        <v>286</v>
      </c>
      <c r="C244">
        <v>1143.2906</v>
      </c>
      <c r="D244">
        <v>319.7</v>
      </c>
      <c r="E244">
        <v>-1.40566874347314E-2</v>
      </c>
      <c r="F244" s="3" t="s">
        <v>18</v>
      </c>
      <c r="G244" s="3" t="s">
        <v>410</v>
      </c>
      <c r="H244" s="3">
        <v>0.98599999999999999</v>
      </c>
      <c r="I244" s="5" t="s">
        <v>37</v>
      </c>
      <c r="J244" s="5" t="s">
        <v>410</v>
      </c>
      <c r="K244" s="5">
        <v>0.79</v>
      </c>
      <c r="L244" s="7" t="s">
        <v>38</v>
      </c>
      <c r="M244" s="7" t="s">
        <v>410</v>
      </c>
      <c r="N244" s="7">
        <v>0.95</v>
      </c>
      <c r="O244" s="9" t="s">
        <v>39</v>
      </c>
      <c r="P244" s="9" t="s">
        <v>410</v>
      </c>
      <c r="Q244" s="9">
        <v>1</v>
      </c>
      <c r="R244" t="s">
        <v>23</v>
      </c>
      <c r="S244">
        <v>4</v>
      </c>
    </row>
    <row r="245" spans="1:19">
      <c r="A245">
        <v>225</v>
      </c>
      <c r="B245" t="s">
        <v>294</v>
      </c>
      <c r="C245">
        <v>1229.6741</v>
      </c>
      <c r="D245">
        <v>352.4</v>
      </c>
      <c r="E245">
        <v>-0.301105024803064</v>
      </c>
      <c r="F245" s="3" t="s">
        <v>18</v>
      </c>
      <c r="G245" s="3" t="s">
        <v>410</v>
      </c>
      <c r="H245" s="3">
        <v>1</v>
      </c>
      <c r="I245" s="5" t="s">
        <v>37</v>
      </c>
      <c r="J245" s="5" t="s">
        <v>410</v>
      </c>
      <c r="K245" s="5">
        <v>1</v>
      </c>
      <c r="L245" s="7" t="s">
        <v>38</v>
      </c>
      <c r="M245" s="7" t="s">
        <v>410</v>
      </c>
      <c r="N245" s="7">
        <v>0.92</v>
      </c>
      <c r="O245" s="9" t="s">
        <v>39</v>
      </c>
      <c r="P245" s="9" t="s">
        <v>410</v>
      </c>
      <c r="Q245" s="9">
        <v>1</v>
      </c>
      <c r="R245" t="s">
        <v>23</v>
      </c>
      <c r="S245">
        <v>4</v>
      </c>
    </row>
    <row r="246" spans="1:19">
      <c r="A246">
        <v>226</v>
      </c>
      <c r="B246" t="s">
        <v>127</v>
      </c>
      <c r="C246">
        <v>239.01769999999999</v>
      </c>
      <c r="D246">
        <v>143.30000000000001</v>
      </c>
      <c r="E246">
        <v>-0.75082432856549997</v>
      </c>
      <c r="F246" s="3" t="s">
        <v>18</v>
      </c>
      <c r="G246" s="3" t="s">
        <v>410</v>
      </c>
      <c r="H246" s="3">
        <v>1</v>
      </c>
      <c r="I246" s="5" t="s">
        <v>37</v>
      </c>
      <c r="J246" s="5" t="s">
        <v>410</v>
      </c>
      <c r="K246" s="5">
        <v>0.92</v>
      </c>
      <c r="L246" s="7" t="s">
        <v>38</v>
      </c>
      <c r="M246" s="7" t="s">
        <v>410</v>
      </c>
      <c r="N246" s="7">
        <v>1</v>
      </c>
      <c r="O246" s="9" t="s">
        <v>39</v>
      </c>
      <c r="P246" s="9" t="s">
        <v>410</v>
      </c>
      <c r="Q246" s="9">
        <v>0.99199999999999999</v>
      </c>
      <c r="R246" t="s">
        <v>23</v>
      </c>
      <c r="S246">
        <v>4</v>
      </c>
    </row>
    <row r="247" spans="1:19">
      <c r="A247">
        <v>228</v>
      </c>
      <c r="B247" t="s">
        <v>296</v>
      </c>
      <c r="C247">
        <v>646.37750000000005</v>
      </c>
      <c r="D247">
        <v>247.4</v>
      </c>
      <c r="E247">
        <v>-0.65578596245120502</v>
      </c>
      <c r="F247" s="3" t="s">
        <v>18</v>
      </c>
      <c r="G247" s="3" t="s">
        <v>410</v>
      </c>
      <c r="H247" s="3">
        <v>1</v>
      </c>
      <c r="I247" s="5" t="s">
        <v>37</v>
      </c>
      <c r="J247" s="5" t="s">
        <v>410</v>
      </c>
      <c r="K247" s="5">
        <v>0.86</v>
      </c>
      <c r="L247" s="7" t="s">
        <v>38</v>
      </c>
      <c r="M247" s="7" t="s">
        <v>410</v>
      </c>
      <c r="N247" s="7">
        <v>0.87</v>
      </c>
      <c r="O247" s="9" t="s">
        <v>39</v>
      </c>
      <c r="P247" s="9" t="s">
        <v>410</v>
      </c>
      <c r="Q247" s="9">
        <v>1</v>
      </c>
      <c r="R247" t="s">
        <v>23</v>
      </c>
      <c r="S247">
        <v>4</v>
      </c>
    </row>
    <row r="248" spans="1:19">
      <c r="A248">
        <v>253</v>
      </c>
      <c r="B248" t="s">
        <v>316</v>
      </c>
      <c r="C248">
        <v>291.04169999999999</v>
      </c>
      <c r="D248">
        <v>158.5</v>
      </c>
      <c r="E248">
        <v>-0.71673683156961898</v>
      </c>
      <c r="F248" s="3" t="s">
        <v>18</v>
      </c>
      <c r="G248" s="3" t="s">
        <v>410</v>
      </c>
      <c r="H248" s="3">
        <v>1</v>
      </c>
      <c r="I248" s="5" t="s">
        <v>37</v>
      </c>
      <c r="J248" s="5" t="s">
        <v>410</v>
      </c>
      <c r="K248" s="5">
        <v>0.74</v>
      </c>
      <c r="L248" s="7" t="s">
        <v>38</v>
      </c>
      <c r="M248" s="7" t="s">
        <v>410</v>
      </c>
      <c r="N248" s="7">
        <v>1</v>
      </c>
      <c r="O248" s="9" t="s">
        <v>39</v>
      </c>
      <c r="P248" s="9" t="s">
        <v>410</v>
      </c>
      <c r="Q248" s="9">
        <v>1</v>
      </c>
      <c r="R248" t="s">
        <v>23</v>
      </c>
      <c r="S248">
        <v>4</v>
      </c>
    </row>
    <row r="249" spans="1:19">
      <c r="A249">
        <v>255</v>
      </c>
      <c r="B249" t="s">
        <v>318</v>
      </c>
      <c r="C249">
        <v>284.10109999999997</v>
      </c>
      <c r="D249">
        <v>175</v>
      </c>
      <c r="E249">
        <v>-0.78388637181353704</v>
      </c>
      <c r="F249" s="3" t="s">
        <v>18</v>
      </c>
      <c r="G249" s="3" t="s">
        <v>410</v>
      </c>
      <c r="H249" s="3">
        <v>1</v>
      </c>
      <c r="I249" s="5" t="s">
        <v>37</v>
      </c>
      <c r="J249" s="5" t="s">
        <v>410</v>
      </c>
      <c r="K249" s="5">
        <v>0.68</v>
      </c>
      <c r="L249" s="7" t="s">
        <v>38</v>
      </c>
      <c r="M249" s="7" t="s">
        <v>410</v>
      </c>
      <c r="N249" s="7">
        <v>1</v>
      </c>
      <c r="O249" s="9" t="s">
        <v>39</v>
      </c>
      <c r="P249" s="9" t="s">
        <v>410</v>
      </c>
      <c r="Q249" s="9">
        <v>1</v>
      </c>
      <c r="R249" t="s">
        <v>23</v>
      </c>
      <c r="S249">
        <v>4</v>
      </c>
    </row>
    <row r="250" spans="1:19">
      <c r="A250">
        <v>259</v>
      </c>
      <c r="B250" t="s">
        <v>321</v>
      </c>
      <c r="C250">
        <v>200.0001</v>
      </c>
      <c r="D250">
        <v>136.9</v>
      </c>
      <c r="E250">
        <v>-0.77678950469163499</v>
      </c>
      <c r="F250" s="3" t="s">
        <v>18</v>
      </c>
      <c r="G250" s="3" t="s">
        <v>410</v>
      </c>
      <c r="H250" s="3">
        <v>1</v>
      </c>
      <c r="I250" s="5" t="s">
        <v>37</v>
      </c>
      <c r="J250" s="5" t="s">
        <v>410</v>
      </c>
      <c r="K250" s="5">
        <v>0.9</v>
      </c>
      <c r="L250" s="7" t="s">
        <v>38</v>
      </c>
      <c r="M250" s="7" t="s">
        <v>410</v>
      </c>
      <c r="N250" s="7">
        <v>1</v>
      </c>
      <c r="O250" s="9" t="s">
        <v>39</v>
      </c>
      <c r="P250" s="9" t="s">
        <v>410</v>
      </c>
      <c r="Q250" s="9">
        <v>0.85</v>
      </c>
      <c r="R250" t="s">
        <v>23</v>
      </c>
      <c r="S250">
        <v>4</v>
      </c>
    </row>
    <row r="251" spans="1:19">
      <c r="A251">
        <v>279</v>
      </c>
      <c r="B251" t="s">
        <v>341</v>
      </c>
      <c r="C251">
        <v>609.28840000000002</v>
      </c>
      <c r="D251">
        <v>238.1</v>
      </c>
      <c r="E251">
        <v>-0.60809786820289002</v>
      </c>
      <c r="F251" s="3" t="s">
        <v>18</v>
      </c>
      <c r="G251" s="3" t="s">
        <v>410</v>
      </c>
      <c r="H251" s="3">
        <v>1</v>
      </c>
      <c r="I251" s="5" t="s">
        <v>37</v>
      </c>
      <c r="J251" s="5" t="s">
        <v>410</v>
      </c>
      <c r="K251" s="5">
        <v>0.7</v>
      </c>
      <c r="L251" s="7" t="s">
        <v>38</v>
      </c>
      <c r="M251" s="7" t="s">
        <v>410</v>
      </c>
      <c r="N251" s="7">
        <v>0.9</v>
      </c>
      <c r="O251" s="9" t="s">
        <v>39</v>
      </c>
      <c r="P251" s="9" t="s">
        <v>410</v>
      </c>
      <c r="Q251" s="9">
        <v>1</v>
      </c>
      <c r="R251" t="s">
        <v>23</v>
      </c>
      <c r="S251">
        <v>4</v>
      </c>
    </row>
    <row r="252" spans="1:19">
      <c r="A252">
        <v>280</v>
      </c>
      <c r="B252" t="s">
        <v>342</v>
      </c>
      <c r="C252">
        <v>922.48850000000004</v>
      </c>
      <c r="D252">
        <v>293.7</v>
      </c>
      <c r="E252">
        <v>-0.45849369574693799</v>
      </c>
      <c r="F252" s="3" t="s">
        <v>18</v>
      </c>
      <c r="G252" s="3" t="s">
        <v>410</v>
      </c>
      <c r="H252" s="3">
        <v>1</v>
      </c>
      <c r="I252" s="5" t="s">
        <v>37</v>
      </c>
      <c r="J252" s="5" t="s">
        <v>410</v>
      </c>
      <c r="K252" s="5">
        <v>0.95</v>
      </c>
      <c r="L252" s="7" t="s">
        <v>38</v>
      </c>
      <c r="M252" s="7" t="s">
        <v>410</v>
      </c>
      <c r="N252" s="7">
        <v>0.94</v>
      </c>
      <c r="O252" s="9" t="s">
        <v>39</v>
      </c>
      <c r="P252" s="9" t="s">
        <v>410</v>
      </c>
      <c r="Q252" s="9">
        <v>1</v>
      </c>
      <c r="R252" t="s">
        <v>23</v>
      </c>
      <c r="S252">
        <v>4</v>
      </c>
    </row>
    <row r="253" spans="1:19">
      <c r="A253">
        <v>281</v>
      </c>
      <c r="B253" t="s">
        <v>72</v>
      </c>
      <c r="C253">
        <v>180.06659999999999</v>
      </c>
      <c r="D253">
        <v>145</v>
      </c>
      <c r="E253">
        <v>-0.86554629235439495</v>
      </c>
      <c r="F253" s="3" t="s">
        <v>18</v>
      </c>
      <c r="G253" s="3" t="s">
        <v>410</v>
      </c>
      <c r="H253" s="3">
        <v>1</v>
      </c>
      <c r="I253" s="5" t="s">
        <v>37</v>
      </c>
      <c r="J253" s="5" t="s">
        <v>410</v>
      </c>
      <c r="K253" s="5">
        <v>0.87</v>
      </c>
      <c r="L253" s="7" t="s">
        <v>38</v>
      </c>
      <c r="M253" s="7" t="s">
        <v>410</v>
      </c>
      <c r="N253" s="7">
        <v>1</v>
      </c>
      <c r="O253" s="9" t="s">
        <v>39</v>
      </c>
      <c r="P253" s="9" t="s">
        <v>410</v>
      </c>
      <c r="Q253" s="9">
        <v>1</v>
      </c>
      <c r="R253" t="s">
        <v>23</v>
      </c>
      <c r="S253">
        <v>4</v>
      </c>
    </row>
    <row r="254" spans="1:19">
      <c r="A254">
        <v>288</v>
      </c>
      <c r="B254" t="s">
        <v>349</v>
      </c>
      <c r="C254">
        <v>230.07820000000001</v>
      </c>
      <c r="D254">
        <v>149.6</v>
      </c>
      <c r="E254">
        <v>-0.82130574443885995</v>
      </c>
      <c r="F254" s="3" t="s">
        <v>18</v>
      </c>
      <c r="G254" s="3" t="s">
        <v>410</v>
      </c>
      <c r="H254" s="3">
        <v>1</v>
      </c>
      <c r="I254" s="5" t="s">
        <v>37</v>
      </c>
      <c r="J254" s="5" t="s">
        <v>410</v>
      </c>
      <c r="K254" s="5">
        <v>0.65</v>
      </c>
      <c r="L254" s="7" t="s">
        <v>38</v>
      </c>
      <c r="M254" s="7" t="s">
        <v>410</v>
      </c>
      <c r="N254" s="7">
        <v>1</v>
      </c>
      <c r="O254" s="9" t="s">
        <v>39</v>
      </c>
      <c r="P254" s="9" t="s">
        <v>410</v>
      </c>
      <c r="Q254" s="9">
        <v>0.997</v>
      </c>
      <c r="R254" t="s">
        <v>23</v>
      </c>
      <c r="S254">
        <v>4</v>
      </c>
    </row>
    <row r="255" spans="1:19">
      <c r="A255">
        <v>289</v>
      </c>
      <c r="B255" t="s">
        <v>350</v>
      </c>
      <c r="C255">
        <v>1288.7112</v>
      </c>
      <c r="D255">
        <v>352.9</v>
      </c>
      <c r="E255">
        <v>-0.27228703754940398</v>
      </c>
      <c r="F255" s="3" t="s">
        <v>18</v>
      </c>
      <c r="G255" s="3" t="s">
        <v>410</v>
      </c>
      <c r="H255" s="3">
        <v>1</v>
      </c>
      <c r="I255" s="5" t="s">
        <v>37</v>
      </c>
      <c r="J255" s="5" t="s">
        <v>410</v>
      </c>
      <c r="K255" s="5">
        <v>1</v>
      </c>
      <c r="L255" s="7" t="s">
        <v>38</v>
      </c>
      <c r="M255" s="7" t="s">
        <v>410</v>
      </c>
      <c r="N255" s="7">
        <v>0.9</v>
      </c>
      <c r="O255" s="9" t="s">
        <v>39</v>
      </c>
      <c r="P255" s="9" t="s">
        <v>410</v>
      </c>
      <c r="Q255" s="9">
        <v>1</v>
      </c>
      <c r="R255" t="s">
        <v>23</v>
      </c>
      <c r="S255">
        <v>4</v>
      </c>
    </row>
    <row r="256" spans="1:19">
      <c r="A256">
        <v>294</v>
      </c>
      <c r="B256" t="s">
        <v>259</v>
      </c>
      <c r="C256">
        <v>118.0853</v>
      </c>
      <c r="D256">
        <v>121.1</v>
      </c>
      <c r="E256">
        <v>-0.953451631766015</v>
      </c>
      <c r="F256" s="3" t="s">
        <v>18</v>
      </c>
      <c r="G256" s="3" t="s">
        <v>410</v>
      </c>
      <c r="H256" s="3">
        <v>1</v>
      </c>
      <c r="I256" s="5" t="s">
        <v>37</v>
      </c>
      <c r="J256" s="5" t="s">
        <v>410</v>
      </c>
      <c r="K256" s="5">
        <v>0.99</v>
      </c>
      <c r="L256" s="7" t="s">
        <v>38</v>
      </c>
      <c r="M256" s="7" t="s">
        <v>410</v>
      </c>
      <c r="N256" s="7">
        <v>1</v>
      </c>
      <c r="O256" s="9" t="s">
        <v>39</v>
      </c>
      <c r="P256" s="9" t="s">
        <v>410</v>
      </c>
      <c r="Q256" s="9">
        <v>1</v>
      </c>
      <c r="R256" t="s">
        <v>23</v>
      </c>
      <c r="S256">
        <v>4</v>
      </c>
    </row>
    <row r="257" spans="1:19">
      <c r="A257">
        <v>311</v>
      </c>
      <c r="B257" t="s">
        <v>372</v>
      </c>
      <c r="C257">
        <v>437.25099999999998</v>
      </c>
      <c r="D257">
        <v>202.7</v>
      </c>
      <c r="E257">
        <v>-0.76278655718630295</v>
      </c>
      <c r="F257" s="3" t="s">
        <v>18</v>
      </c>
      <c r="G257" s="3" t="s">
        <v>410</v>
      </c>
      <c r="H257" s="3">
        <v>1</v>
      </c>
      <c r="I257" s="5" t="s">
        <v>37</v>
      </c>
      <c r="J257" s="5" t="s">
        <v>410</v>
      </c>
      <c r="K257" s="5">
        <v>0.72</v>
      </c>
      <c r="L257" s="7" t="s">
        <v>38</v>
      </c>
      <c r="M257" s="7" t="s">
        <v>410</v>
      </c>
      <c r="N257" s="7">
        <v>1</v>
      </c>
      <c r="O257" s="9" t="s">
        <v>39</v>
      </c>
      <c r="P257" s="9" t="s">
        <v>410</v>
      </c>
      <c r="Q257" s="9">
        <v>1</v>
      </c>
      <c r="R257" t="s">
        <v>23</v>
      </c>
      <c r="S257">
        <v>4</v>
      </c>
    </row>
    <row r="258" spans="1:19">
      <c r="A258">
        <v>315</v>
      </c>
      <c r="B258" t="s">
        <v>258</v>
      </c>
      <c r="C258">
        <v>136.04769999999999</v>
      </c>
      <c r="D258">
        <v>132.9</v>
      </c>
      <c r="E258">
        <v>-0.89579567958932704</v>
      </c>
      <c r="F258" s="3" t="s">
        <v>18</v>
      </c>
      <c r="G258" s="3" t="s">
        <v>410</v>
      </c>
      <c r="H258" s="3">
        <v>1</v>
      </c>
      <c r="I258" s="5" t="s">
        <v>37</v>
      </c>
      <c r="J258" s="5" t="s">
        <v>410</v>
      </c>
      <c r="K258" s="5">
        <v>0.95</v>
      </c>
      <c r="L258" s="7" t="s">
        <v>38</v>
      </c>
      <c r="M258" s="7" t="s">
        <v>410</v>
      </c>
      <c r="N258" s="7">
        <v>1</v>
      </c>
      <c r="O258" s="9" t="s">
        <v>39</v>
      </c>
      <c r="P258" s="9" t="s">
        <v>410</v>
      </c>
      <c r="Q258" s="9">
        <v>1</v>
      </c>
      <c r="R258" t="s">
        <v>23</v>
      </c>
      <c r="S258">
        <v>4</v>
      </c>
    </row>
    <row r="259" spans="1:19">
      <c r="A259">
        <v>321</v>
      </c>
      <c r="B259" t="s">
        <v>108</v>
      </c>
      <c r="C259">
        <v>211.06970000000001</v>
      </c>
      <c r="D259">
        <v>140.30000000000001</v>
      </c>
      <c r="E259">
        <v>-0.83402972157722399</v>
      </c>
      <c r="F259" s="3" t="s">
        <v>18</v>
      </c>
      <c r="G259" s="3" t="s">
        <v>410</v>
      </c>
      <c r="H259" s="3">
        <v>1</v>
      </c>
      <c r="I259" s="5" t="s">
        <v>37</v>
      </c>
      <c r="J259" s="5" t="s">
        <v>410</v>
      </c>
      <c r="K259" s="5">
        <v>0.78</v>
      </c>
      <c r="L259" s="7" t="s">
        <v>38</v>
      </c>
      <c r="M259" s="7" t="s">
        <v>410</v>
      </c>
      <c r="N259" s="7">
        <v>1</v>
      </c>
      <c r="O259" s="9" t="s">
        <v>39</v>
      </c>
      <c r="P259" s="9" t="s">
        <v>410</v>
      </c>
      <c r="Q259" s="9">
        <v>1</v>
      </c>
      <c r="R259" t="s">
        <v>23</v>
      </c>
      <c r="S259">
        <v>4</v>
      </c>
    </row>
    <row r="260" spans="1:19">
      <c r="A260">
        <v>327</v>
      </c>
      <c r="B260" t="s">
        <v>384</v>
      </c>
      <c r="C260">
        <v>146.09180000000001</v>
      </c>
      <c r="D260">
        <v>129.9</v>
      </c>
      <c r="E260">
        <v>-0.92868092046708695</v>
      </c>
      <c r="F260" s="3" t="s">
        <v>18</v>
      </c>
      <c r="G260" s="3" t="s">
        <v>410</v>
      </c>
      <c r="H260" s="3">
        <v>1</v>
      </c>
      <c r="I260" s="5" t="s">
        <v>37</v>
      </c>
      <c r="J260" s="5" t="s">
        <v>410</v>
      </c>
      <c r="K260" s="5">
        <v>0.67</v>
      </c>
      <c r="L260" s="7" t="s">
        <v>38</v>
      </c>
      <c r="M260" s="7" t="s">
        <v>410</v>
      </c>
      <c r="N260" s="7">
        <v>1</v>
      </c>
      <c r="O260" s="9" t="s">
        <v>39</v>
      </c>
      <c r="P260" s="9" t="s">
        <v>410</v>
      </c>
      <c r="Q260" s="9">
        <v>1</v>
      </c>
      <c r="R260" t="s">
        <v>23</v>
      </c>
      <c r="S260">
        <v>4</v>
      </c>
    </row>
    <row r="261" spans="1:19">
      <c r="A261">
        <v>332</v>
      </c>
      <c r="B261" t="s">
        <v>389</v>
      </c>
      <c r="C261">
        <v>1096.5060000000001</v>
      </c>
      <c r="D261">
        <v>318.7</v>
      </c>
      <c r="E261">
        <v>-0.28169412231000002</v>
      </c>
      <c r="F261" s="3" t="s">
        <v>18</v>
      </c>
      <c r="G261" s="3" t="s">
        <v>410</v>
      </c>
      <c r="H261" s="3">
        <v>0.996</v>
      </c>
      <c r="I261" s="5" t="s">
        <v>37</v>
      </c>
      <c r="J261" s="5" t="s">
        <v>410</v>
      </c>
      <c r="K261" s="5">
        <v>1</v>
      </c>
      <c r="L261" s="7" t="s">
        <v>38</v>
      </c>
      <c r="M261" s="7" t="s">
        <v>410</v>
      </c>
      <c r="N261" s="7">
        <v>1</v>
      </c>
      <c r="O261" s="9" t="s">
        <v>39</v>
      </c>
      <c r="P261" s="9" t="s">
        <v>410</v>
      </c>
      <c r="Q261" s="9">
        <v>1</v>
      </c>
      <c r="R261" t="s">
        <v>23</v>
      </c>
      <c r="S261">
        <v>4</v>
      </c>
    </row>
    <row r="262" spans="1:19">
      <c r="A262">
        <v>335</v>
      </c>
      <c r="B262" t="s">
        <v>391</v>
      </c>
      <c r="C262">
        <v>832.45690000000002</v>
      </c>
      <c r="D262">
        <v>278.2</v>
      </c>
      <c r="E262">
        <v>-0.52741865143139</v>
      </c>
      <c r="F262" s="3" t="s">
        <v>18</v>
      </c>
      <c r="G262" s="3" t="s">
        <v>410</v>
      </c>
      <c r="H262" s="3">
        <v>1</v>
      </c>
      <c r="I262" s="5" t="s">
        <v>37</v>
      </c>
      <c r="J262" s="5" t="s">
        <v>410</v>
      </c>
      <c r="K262" s="5">
        <v>0.92</v>
      </c>
      <c r="L262" s="7" t="s">
        <v>38</v>
      </c>
      <c r="M262" s="7" t="s">
        <v>410</v>
      </c>
      <c r="N262" s="7">
        <v>0.99</v>
      </c>
      <c r="O262" s="9" t="s">
        <v>39</v>
      </c>
      <c r="P262" s="9" t="s">
        <v>410</v>
      </c>
      <c r="Q262" s="9">
        <v>1</v>
      </c>
      <c r="R262" t="s">
        <v>23</v>
      </c>
      <c r="S262">
        <v>4</v>
      </c>
    </row>
    <row r="263" spans="1:19">
      <c r="A263">
        <v>346</v>
      </c>
      <c r="B263" t="s">
        <v>400</v>
      </c>
      <c r="C263">
        <v>994.58399999999995</v>
      </c>
      <c r="D263">
        <v>316.7</v>
      </c>
      <c r="E263">
        <v>-0.47349532692339802</v>
      </c>
      <c r="F263" s="3" t="s">
        <v>18</v>
      </c>
      <c r="G263" s="3" t="s">
        <v>410</v>
      </c>
      <c r="H263" s="3">
        <v>1</v>
      </c>
      <c r="I263" s="5" t="s">
        <v>37</v>
      </c>
      <c r="J263" s="5" t="s">
        <v>410</v>
      </c>
      <c r="K263" s="5">
        <v>1</v>
      </c>
      <c r="L263" s="7" t="s">
        <v>38</v>
      </c>
      <c r="M263" s="7" t="s">
        <v>410</v>
      </c>
      <c r="N263" s="7">
        <v>1</v>
      </c>
      <c r="O263" s="9" t="s">
        <v>39</v>
      </c>
      <c r="P263" s="9" t="s">
        <v>410</v>
      </c>
      <c r="Q263" s="9">
        <v>1</v>
      </c>
      <c r="R263" t="s">
        <v>23</v>
      </c>
      <c r="S263">
        <v>4</v>
      </c>
    </row>
    <row r="264" spans="1:19">
      <c r="A264">
        <v>348</v>
      </c>
      <c r="B264" t="s">
        <v>147</v>
      </c>
      <c r="C264">
        <v>2072.1749</v>
      </c>
      <c r="D264">
        <v>457.2</v>
      </c>
      <c r="E264">
        <v>-0.86120914042248797</v>
      </c>
      <c r="F264" s="3" t="s">
        <v>18</v>
      </c>
      <c r="G264" s="3" t="s">
        <v>410</v>
      </c>
      <c r="H264" s="3">
        <v>1</v>
      </c>
      <c r="I264" s="5" t="s">
        <v>37</v>
      </c>
      <c r="J264" s="5" t="s">
        <v>410</v>
      </c>
      <c r="K264" s="5">
        <v>0.99</v>
      </c>
      <c r="L264" s="7" t="s">
        <v>38</v>
      </c>
      <c r="M264" s="7" t="s">
        <v>410</v>
      </c>
      <c r="N264" s="7">
        <v>0.91</v>
      </c>
      <c r="O264" s="9" t="s">
        <v>39</v>
      </c>
      <c r="P264" s="9" t="s">
        <v>410</v>
      </c>
      <c r="Q264" s="9">
        <v>1</v>
      </c>
      <c r="R264" t="s">
        <v>23</v>
      </c>
      <c r="S264">
        <v>4</v>
      </c>
    </row>
    <row r="265" spans="1:19">
      <c r="A265">
        <v>144</v>
      </c>
      <c r="B265" t="s">
        <v>221</v>
      </c>
      <c r="C265">
        <v>676.76990000000001</v>
      </c>
      <c r="D265">
        <v>313.8</v>
      </c>
      <c r="E265">
        <v>-1.42512699304689E-2</v>
      </c>
      <c r="F265" s="3" t="s">
        <v>18</v>
      </c>
      <c r="G265" s="3" t="s">
        <v>410</v>
      </c>
      <c r="H265" s="3">
        <v>1</v>
      </c>
      <c r="I265" s="5" t="s">
        <v>151</v>
      </c>
      <c r="J265" s="5" t="s">
        <v>410</v>
      </c>
      <c r="K265" s="5">
        <v>0.92</v>
      </c>
      <c r="L265" s="7" t="s">
        <v>152</v>
      </c>
      <c r="M265" s="7" t="s">
        <v>410</v>
      </c>
      <c r="N265" s="7">
        <v>0.99</v>
      </c>
      <c r="O265" s="9" t="s">
        <v>222</v>
      </c>
      <c r="P265" s="9" t="s">
        <v>410</v>
      </c>
      <c r="Q265" s="9">
        <v>0.97599999999999998</v>
      </c>
      <c r="R265" t="s">
        <v>23</v>
      </c>
      <c r="S265">
        <v>4</v>
      </c>
    </row>
    <row r="266" spans="1:19">
      <c r="A266">
        <v>183</v>
      </c>
      <c r="B266" t="s">
        <v>261</v>
      </c>
      <c r="C266">
        <v>340.39049999999997</v>
      </c>
      <c r="D266">
        <v>208.1</v>
      </c>
      <c r="E266">
        <v>-1.04363342655347E-2</v>
      </c>
      <c r="F266" s="3" t="s">
        <v>18</v>
      </c>
      <c r="G266" s="3" t="s">
        <v>410</v>
      </c>
      <c r="H266" s="3">
        <v>1</v>
      </c>
      <c r="I266" s="5" t="s">
        <v>151</v>
      </c>
      <c r="J266" s="5" t="s">
        <v>410</v>
      </c>
      <c r="K266" s="5">
        <v>0.98</v>
      </c>
      <c r="L266" s="7" t="s">
        <v>152</v>
      </c>
      <c r="M266" s="7" t="s">
        <v>410</v>
      </c>
      <c r="N266" s="7">
        <v>1</v>
      </c>
      <c r="O266" s="9" t="s">
        <v>222</v>
      </c>
      <c r="P266" s="9" t="s">
        <v>410</v>
      </c>
      <c r="Q266" s="9">
        <v>0.99399999999999999</v>
      </c>
      <c r="R266" t="s">
        <v>23</v>
      </c>
      <c r="S266">
        <v>4</v>
      </c>
    </row>
    <row r="267" spans="1:19">
      <c r="A267">
        <v>283</v>
      </c>
      <c r="B267" t="s">
        <v>344</v>
      </c>
      <c r="C267">
        <v>298.34739999999999</v>
      </c>
      <c r="D267">
        <v>182.7</v>
      </c>
      <c r="E267">
        <v>-1.42796382203869E-2</v>
      </c>
      <c r="F267" s="3" t="s">
        <v>18</v>
      </c>
      <c r="G267" s="3" t="s">
        <v>410</v>
      </c>
      <c r="H267" s="3">
        <v>1</v>
      </c>
      <c r="I267" s="5" t="s">
        <v>151</v>
      </c>
      <c r="J267" s="5" t="s">
        <v>410</v>
      </c>
      <c r="K267" s="5">
        <v>0.95</v>
      </c>
      <c r="L267" s="7" t="s">
        <v>152</v>
      </c>
      <c r="M267" s="7" t="s">
        <v>410</v>
      </c>
      <c r="N267" s="7">
        <v>1</v>
      </c>
      <c r="O267" s="9" t="s">
        <v>222</v>
      </c>
      <c r="P267" s="9" t="s">
        <v>410</v>
      </c>
      <c r="Q267" s="9">
        <v>0.97</v>
      </c>
      <c r="R267" t="s">
        <v>23</v>
      </c>
      <c r="S267">
        <v>4</v>
      </c>
    </row>
    <row r="268" spans="1:19">
      <c r="A268">
        <v>334</v>
      </c>
      <c r="B268" t="s">
        <v>390</v>
      </c>
      <c r="C268">
        <v>104.1075</v>
      </c>
      <c r="D268">
        <v>117.9</v>
      </c>
      <c r="E268">
        <v>-0.99125857116914096</v>
      </c>
      <c r="F268" s="3" t="s">
        <v>18</v>
      </c>
      <c r="G268" s="3" t="s">
        <v>410</v>
      </c>
      <c r="H268" s="3">
        <v>0.99199999999999999</v>
      </c>
      <c r="I268" s="5" t="s">
        <v>151</v>
      </c>
      <c r="J268" s="5" t="s">
        <v>410</v>
      </c>
      <c r="K268" s="5">
        <v>0.99</v>
      </c>
      <c r="L268" s="7" t="s">
        <v>152</v>
      </c>
      <c r="M268" s="7" t="s">
        <v>410</v>
      </c>
      <c r="N268" s="7">
        <v>1</v>
      </c>
      <c r="O268" s="9" t="s">
        <v>222</v>
      </c>
      <c r="P268" s="9" t="s">
        <v>410</v>
      </c>
      <c r="Q268" s="9">
        <v>0.63200000000000001</v>
      </c>
      <c r="R268" t="s">
        <v>23</v>
      </c>
      <c r="S268">
        <v>4</v>
      </c>
    </row>
    <row r="269" spans="1:19">
      <c r="A269">
        <v>84</v>
      </c>
      <c r="B269" t="s">
        <v>150</v>
      </c>
      <c r="C269">
        <v>190.97110000000001</v>
      </c>
      <c r="D269">
        <v>138.1</v>
      </c>
      <c r="E269">
        <v>-0.75787085196168402</v>
      </c>
      <c r="F269" s="3" t="s">
        <v>18</v>
      </c>
      <c r="G269" s="3" t="s">
        <v>410</v>
      </c>
      <c r="H269" s="3">
        <v>1</v>
      </c>
      <c r="I269" s="5" t="s">
        <v>151</v>
      </c>
      <c r="J269" s="5" t="s">
        <v>410</v>
      </c>
      <c r="K269" s="5">
        <v>0.7</v>
      </c>
      <c r="L269" s="7" t="s">
        <v>152</v>
      </c>
      <c r="M269" s="7" t="s">
        <v>410</v>
      </c>
      <c r="N269" s="7">
        <v>0.97</v>
      </c>
      <c r="O269" s="9" t="s">
        <v>153</v>
      </c>
      <c r="P269" s="9" t="s">
        <v>410</v>
      </c>
      <c r="Q269" s="9">
        <v>0.72299999999999998</v>
      </c>
      <c r="R269" t="s">
        <v>23</v>
      </c>
      <c r="S269">
        <v>4</v>
      </c>
    </row>
    <row r="270" spans="1:19">
      <c r="A270">
        <v>132</v>
      </c>
      <c r="B270" t="s">
        <v>205</v>
      </c>
      <c r="C270">
        <v>126.1031</v>
      </c>
      <c r="D270">
        <v>121.8</v>
      </c>
      <c r="E270">
        <v>-0.96229934179572796</v>
      </c>
      <c r="F270" s="3" t="s">
        <v>18</v>
      </c>
      <c r="G270" s="3" t="s">
        <v>410</v>
      </c>
      <c r="H270" s="3">
        <v>1</v>
      </c>
      <c r="I270" s="5" t="s">
        <v>151</v>
      </c>
      <c r="J270" s="5" t="s">
        <v>410</v>
      </c>
      <c r="K270" s="5">
        <v>0.99</v>
      </c>
      <c r="L270" s="7" t="s">
        <v>152</v>
      </c>
      <c r="M270" s="7" t="s">
        <v>410</v>
      </c>
      <c r="N270" s="7">
        <v>1</v>
      </c>
      <c r="O270" s="9" t="s">
        <v>153</v>
      </c>
      <c r="P270" s="9" t="s">
        <v>410</v>
      </c>
      <c r="Q270" s="9">
        <v>0.98799999999999999</v>
      </c>
      <c r="R270" t="s">
        <v>23</v>
      </c>
      <c r="S270">
        <v>4</v>
      </c>
    </row>
    <row r="271" spans="1:19">
      <c r="A271">
        <v>233</v>
      </c>
      <c r="B271" t="s">
        <v>300</v>
      </c>
      <c r="C271">
        <v>225.2045</v>
      </c>
      <c r="D271">
        <v>151.4</v>
      </c>
      <c r="E271">
        <v>-0.95304748352290902</v>
      </c>
      <c r="F271" s="3" t="s">
        <v>18</v>
      </c>
      <c r="G271" s="3" t="s">
        <v>410</v>
      </c>
      <c r="H271" s="3">
        <v>1</v>
      </c>
      <c r="I271" s="5" t="s">
        <v>151</v>
      </c>
      <c r="J271" s="5" t="s">
        <v>410</v>
      </c>
      <c r="K271" s="5">
        <v>0.6</v>
      </c>
      <c r="L271" s="7" t="s">
        <v>152</v>
      </c>
      <c r="M271" s="7" t="s">
        <v>410</v>
      </c>
      <c r="N271" s="7">
        <v>0.99</v>
      </c>
      <c r="O271" s="9" t="s">
        <v>153</v>
      </c>
      <c r="P271" s="9" t="s">
        <v>410</v>
      </c>
      <c r="Q271" s="9">
        <v>0.92300000000000004</v>
      </c>
      <c r="R271" t="s">
        <v>23</v>
      </c>
      <c r="S271">
        <v>4</v>
      </c>
    </row>
    <row r="272" spans="1:19">
      <c r="A272">
        <v>118</v>
      </c>
      <c r="B272" t="s">
        <v>189</v>
      </c>
      <c r="C272">
        <v>173.04499999999999</v>
      </c>
      <c r="D272">
        <v>131.9</v>
      </c>
      <c r="E272">
        <v>-0.85178627330367396</v>
      </c>
      <c r="F272" s="3" t="s">
        <v>18</v>
      </c>
      <c r="G272" s="3" t="s">
        <v>410</v>
      </c>
      <c r="H272" s="3">
        <v>1</v>
      </c>
      <c r="I272" s="5" t="s">
        <v>31</v>
      </c>
      <c r="J272" s="5" t="s">
        <v>410</v>
      </c>
      <c r="K272" s="5">
        <v>0.86</v>
      </c>
      <c r="L272" s="7" t="s">
        <v>32</v>
      </c>
      <c r="M272" s="7" t="s">
        <v>410</v>
      </c>
      <c r="N272" s="7">
        <v>1</v>
      </c>
      <c r="O272" s="9" t="s">
        <v>190</v>
      </c>
      <c r="P272" s="9" t="s">
        <v>410</v>
      </c>
      <c r="Q272" s="9">
        <v>0.52800000000000002</v>
      </c>
      <c r="R272" t="s">
        <v>23</v>
      </c>
      <c r="S272">
        <v>4</v>
      </c>
    </row>
    <row r="273" spans="1:19">
      <c r="A273">
        <v>268</v>
      </c>
      <c r="B273" t="s">
        <v>329</v>
      </c>
      <c r="C273">
        <v>209.09129999999999</v>
      </c>
      <c r="D273">
        <v>149.6</v>
      </c>
      <c r="E273">
        <v>-0.857838707892284</v>
      </c>
      <c r="F273" s="3" t="s">
        <v>18</v>
      </c>
      <c r="G273" s="3" t="s">
        <v>410</v>
      </c>
      <c r="H273" s="3">
        <v>1</v>
      </c>
      <c r="I273" s="5" t="s">
        <v>31</v>
      </c>
      <c r="J273" s="5" t="s">
        <v>410</v>
      </c>
      <c r="K273" s="5">
        <v>0.82</v>
      </c>
      <c r="L273" s="7" t="s">
        <v>32</v>
      </c>
      <c r="M273" s="7" t="s">
        <v>410</v>
      </c>
      <c r="N273" s="7">
        <v>1</v>
      </c>
      <c r="O273" s="9" t="s">
        <v>190</v>
      </c>
      <c r="P273" s="9" t="s">
        <v>410</v>
      </c>
      <c r="Q273" s="9">
        <v>0.88100000000000001</v>
      </c>
      <c r="R273" t="s">
        <v>23</v>
      </c>
      <c r="S273">
        <v>4</v>
      </c>
    </row>
    <row r="274" spans="1:19">
      <c r="A274">
        <v>4</v>
      </c>
      <c r="B274" t="s">
        <v>30</v>
      </c>
      <c r="C274">
        <v>283.01920000000001</v>
      </c>
      <c r="D274">
        <v>159.80000000000001</v>
      </c>
      <c r="E274">
        <v>-0.70319436933397095</v>
      </c>
      <c r="F274" s="3" t="s">
        <v>18</v>
      </c>
      <c r="G274" s="3" t="s">
        <v>410</v>
      </c>
      <c r="H274" s="3">
        <v>1</v>
      </c>
      <c r="I274" s="5" t="s">
        <v>31</v>
      </c>
      <c r="J274" s="5" t="s">
        <v>410</v>
      </c>
      <c r="K274" s="5">
        <v>0.96</v>
      </c>
      <c r="L274" s="7" t="s">
        <v>32</v>
      </c>
      <c r="M274" s="7" t="s">
        <v>410</v>
      </c>
      <c r="N274" s="7">
        <v>1</v>
      </c>
      <c r="O274" s="9" t="s">
        <v>33</v>
      </c>
      <c r="P274" s="9" t="s">
        <v>410</v>
      </c>
      <c r="Q274" s="9">
        <v>1</v>
      </c>
      <c r="R274" t="s">
        <v>23</v>
      </c>
      <c r="S274">
        <v>4</v>
      </c>
    </row>
    <row r="275" spans="1:19">
      <c r="A275">
        <v>12</v>
      </c>
      <c r="B275" t="s">
        <v>51</v>
      </c>
      <c r="C275">
        <v>734.46900000000005</v>
      </c>
      <c r="D275">
        <v>257.8</v>
      </c>
      <c r="E275">
        <v>-0.64892722914328305</v>
      </c>
      <c r="F275" s="3" t="s">
        <v>18</v>
      </c>
      <c r="G275" s="3" t="s">
        <v>410</v>
      </c>
      <c r="H275" s="3">
        <v>1</v>
      </c>
      <c r="I275" s="5" t="s">
        <v>31</v>
      </c>
      <c r="J275" s="5" t="s">
        <v>410</v>
      </c>
      <c r="K275" s="5">
        <v>0.84</v>
      </c>
      <c r="L275" s="7" t="s">
        <v>32</v>
      </c>
      <c r="M275" s="7" t="s">
        <v>410</v>
      </c>
      <c r="N275" s="7">
        <v>1</v>
      </c>
      <c r="O275" s="9" t="s">
        <v>33</v>
      </c>
      <c r="P275" s="9" t="s">
        <v>410</v>
      </c>
      <c r="Q275" s="9">
        <v>1</v>
      </c>
      <c r="R275" t="s">
        <v>23</v>
      </c>
      <c r="S275">
        <v>4</v>
      </c>
    </row>
    <row r="276" spans="1:19">
      <c r="A276">
        <v>22</v>
      </c>
      <c r="B276" t="s">
        <v>70</v>
      </c>
      <c r="C276">
        <v>875.48590000000002</v>
      </c>
      <c r="D276">
        <v>281.5</v>
      </c>
      <c r="E276">
        <v>-0.50837453894030205</v>
      </c>
      <c r="F276" s="3" t="s">
        <v>18</v>
      </c>
      <c r="G276" s="3" t="s">
        <v>410</v>
      </c>
      <c r="H276" s="3">
        <v>1</v>
      </c>
      <c r="I276" s="5" t="s">
        <v>31</v>
      </c>
      <c r="J276" s="5" t="s">
        <v>410</v>
      </c>
      <c r="K276" s="5">
        <v>0.8</v>
      </c>
      <c r="L276" s="7" t="s">
        <v>32</v>
      </c>
      <c r="M276" s="7" t="s">
        <v>410</v>
      </c>
      <c r="N276" s="7">
        <v>1</v>
      </c>
      <c r="O276" s="9" t="s">
        <v>33</v>
      </c>
      <c r="P276" s="9" t="s">
        <v>410</v>
      </c>
      <c r="Q276" s="9">
        <v>1</v>
      </c>
      <c r="R276" t="s">
        <v>23</v>
      </c>
      <c r="S276">
        <v>4</v>
      </c>
    </row>
    <row r="277" spans="1:19">
      <c r="A277">
        <v>30</v>
      </c>
      <c r="B277" t="s">
        <v>80</v>
      </c>
      <c r="C277">
        <v>740.45609999999999</v>
      </c>
      <c r="D277">
        <v>263.5</v>
      </c>
      <c r="E277">
        <v>-0.629342321153331</v>
      </c>
      <c r="F277" s="3" t="s">
        <v>18</v>
      </c>
      <c r="G277" s="3" t="s">
        <v>410</v>
      </c>
      <c r="H277" s="3">
        <v>1</v>
      </c>
      <c r="I277" s="5" t="s">
        <v>31</v>
      </c>
      <c r="J277" s="5" t="s">
        <v>410</v>
      </c>
      <c r="K277" s="5">
        <v>0.78</v>
      </c>
      <c r="L277" s="7" t="s">
        <v>32</v>
      </c>
      <c r="M277" s="7" t="s">
        <v>410</v>
      </c>
      <c r="N277" s="7">
        <v>1</v>
      </c>
      <c r="O277" s="9" t="s">
        <v>33</v>
      </c>
      <c r="P277" s="9" t="s">
        <v>410</v>
      </c>
      <c r="Q277" s="9">
        <v>1</v>
      </c>
      <c r="R277" t="s">
        <v>23</v>
      </c>
      <c r="S277">
        <v>4</v>
      </c>
    </row>
    <row r="278" spans="1:19">
      <c r="A278">
        <v>51</v>
      </c>
      <c r="B278" t="s">
        <v>114</v>
      </c>
      <c r="C278">
        <v>786.43669999999997</v>
      </c>
      <c r="D278">
        <v>268.89999999999998</v>
      </c>
      <c r="E278">
        <v>-0.55860259402038503</v>
      </c>
      <c r="F278" s="3" t="s">
        <v>18</v>
      </c>
      <c r="G278" s="3" t="s">
        <v>410</v>
      </c>
      <c r="H278" s="3">
        <v>1</v>
      </c>
      <c r="I278" s="5" t="s">
        <v>31</v>
      </c>
      <c r="J278" s="5" t="s">
        <v>410</v>
      </c>
      <c r="K278" s="5">
        <v>0.6</v>
      </c>
      <c r="L278" s="7" t="s">
        <v>32</v>
      </c>
      <c r="M278" s="7" t="s">
        <v>410</v>
      </c>
      <c r="N278" s="7">
        <v>1</v>
      </c>
      <c r="O278" s="9" t="s">
        <v>33</v>
      </c>
      <c r="P278" s="9" t="s">
        <v>410</v>
      </c>
      <c r="Q278" s="9">
        <v>1</v>
      </c>
      <c r="R278" t="s">
        <v>23</v>
      </c>
      <c r="S278">
        <v>4</v>
      </c>
    </row>
    <row r="279" spans="1:19">
      <c r="A279">
        <v>58</v>
      </c>
      <c r="B279" t="s">
        <v>121</v>
      </c>
      <c r="C279">
        <v>829.28250000000003</v>
      </c>
      <c r="D279">
        <v>250.4</v>
      </c>
      <c r="E279">
        <v>-0.35656303384075699</v>
      </c>
      <c r="F279" s="3" t="s">
        <v>18</v>
      </c>
      <c r="G279" s="3" t="s">
        <v>410</v>
      </c>
      <c r="H279" s="3">
        <v>1</v>
      </c>
      <c r="I279" s="5" t="s">
        <v>31</v>
      </c>
      <c r="J279" s="5" t="s">
        <v>410</v>
      </c>
      <c r="K279" s="5">
        <v>0.92</v>
      </c>
      <c r="L279" s="7" t="s">
        <v>32</v>
      </c>
      <c r="M279" s="7" t="s">
        <v>410</v>
      </c>
      <c r="N279" s="7">
        <v>1</v>
      </c>
      <c r="O279" s="9" t="s">
        <v>33</v>
      </c>
      <c r="P279" s="9" t="s">
        <v>410</v>
      </c>
      <c r="Q279" s="9">
        <v>1</v>
      </c>
      <c r="R279" t="s">
        <v>23</v>
      </c>
      <c r="S279">
        <v>4</v>
      </c>
    </row>
    <row r="280" spans="1:19">
      <c r="A280">
        <v>61</v>
      </c>
      <c r="B280" t="s">
        <v>124</v>
      </c>
      <c r="C280">
        <v>689.21069999999997</v>
      </c>
      <c r="D280">
        <v>235.2</v>
      </c>
      <c r="E280">
        <v>-0.44116047082559401</v>
      </c>
      <c r="F280" s="3" t="s">
        <v>18</v>
      </c>
      <c r="G280" s="3" t="s">
        <v>410</v>
      </c>
      <c r="H280" s="3">
        <v>1</v>
      </c>
      <c r="I280" s="5" t="s">
        <v>31</v>
      </c>
      <c r="J280" s="5" t="s">
        <v>410</v>
      </c>
      <c r="K280" s="5">
        <v>0.89</v>
      </c>
      <c r="L280" s="7" t="s">
        <v>32</v>
      </c>
      <c r="M280" s="7" t="s">
        <v>410</v>
      </c>
      <c r="N280" s="7">
        <v>1</v>
      </c>
      <c r="O280" s="9" t="s">
        <v>33</v>
      </c>
      <c r="P280" s="9" t="s">
        <v>410</v>
      </c>
      <c r="Q280" s="9">
        <v>0.997</v>
      </c>
      <c r="R280" t="s">
        <v>23</v>
      </c>
      <c r="S280">
        <v>4</v>
      </c>
    </row>
    <row r="281" spans="1:19">
      <c r="A281">
        <v>69</v>
      </c>
      <c r="B281" t="s">
        <v>132</v>
      </c>
      <c r="C281">
        <v>233.06370000000001</v>
      </c>
      <c r="D281">
        <v>149.80000000000001</v>
      </c>
      <c r="E281">
        <v>-0.80347227868688298</v>
      </c>
      <c r="F281" s="3" t="s">
        <v>18</v>
      </c>
      <c r="G281" s="3" t="s">
        <v>410</v>
      </c>
      <c r="H281" s="3">
        <v>1</v>
      </c>
      <c r="I281" s="5" t="s">
        <v>31</v>
      </c>
      <c r="J281" s="5" t="s">
        <v>410</v>
      </c>
      <c r="K281" s="5">
        <v>0.76</v>
      </c>
      <c r="L281" s="7" t="s">
        <v>32</v>
      </c>
      <c r="M281" s="7" t="s">
        <v>410</v>
      </c>
      <c r="N281" s="7">
        <v>1</v>
      </c>
      <c r="O281" s="9" t="s">
        <v>33</v>
      </c>
      <c r="P281" s="9" t="s">
        <v>410</v>
      </c>
      <c r="Q281" s="9">
        <v>0.92200000000000004</v>
      </c>
      <c r="R281" t="s">
        <v>23</v>
      </c>
      <c r="S281">
        <v>4</v>
      </c>
    </row>
    <row r="282" spans="1:19">
      <c r="A282">
        <v>78</v>
      </c>
      <c r="B282" t="s">
        <v>144</v>
      </c>
      <c r="C282">
        <v>866.43039999999996</v>
      </c>
      <c r="D282">
        <v>284.5</v>
      </c>
      <c r="E282">
        <v>-0.46298547483615898</v>
      </c>
      <c r="F282" s="3" t="s">
        <v>18</v>
      </c>
      <c r="G282" s="3" t="s">
        <v>410</v>
      </c>
      <c r="H282" s="3">
        <v>1</v>
      </c>
      <c r="I282" s="5" t="s">
        <v>31</v>
      </c>
      <c r="J282" s="5" t="s">
        <v>410</v>
      </c>
      <c r="K282" s="5">
        <v>0.84</v>
      </c>
      <c r="L282" s="7" t="s">
        <v>32</v>
      </c>
      <c r="M282" s="7" t="s">
        <v>410</v>
      </c>
      <c r="N282" s="7">
        <v>1</v>
      </c>
      <c r="O282" s="9" t="s">
        <v>33</v>
      </c>
      <c r="P282" s="9" t="s">
        <v>410</v>
      </c>
      <c r="Q282" s="9">
        <v>1</v>
      </c>
      <c r="R282" t="s">
        <v>23</v>
      </c>
      <c r="S282">
        <v>4</v>
      </c>
    </row>
    <row r="283" spans="1:19">
      <c r="A283">
        <v>82</v>
      </c>
      <c r="B283" t="s">
        <v>148</v>
      </c>
      <c r="C283">
        <v>244.08160000000001</v>
      </c>
      <c r="D283">
        <v>150</v>
      </c>
      <c r="E283">
        <v>-0.80907022130662698</v>
      </c>
      <c r="F283" s="3" t="s">
        <v>18</v>
      </c>
      <c r="G283" s="3" t="s">
        <v>410</v>
      </c>
      <c r="H283" s="3">
        <v>1</v>
      </c>
      <c r="I283" s="5" t="s">
        <v>31</v>
      </c>
      <c r="J283" s="5" t="s">
        <v>410</v>
      </c>
      <c r="K283" s="5">
        <v>0.83</v>
      </c>
      <c r="L283" s="7" t="s">
        <v>32</v>
      </c>
      <c r="M283" s="7" t="s">
        <v>410</v>
      </c>
      <c r="N283" s="7">
        <v>1</v>
      </c>
      <c r="O283" s="9" t="s">
        <v>33</v>
      </c>
      <c r="P283" s="9" t="s">
        <v>410</v>
      </c>
      <c r="Q283" s="9">
        <v>0.95</v>
      </c>
      <c r="R283" t="s">
        <v>23</v>
      </c>
      <c r="S283">
        <v>4</v>
      </c>
    </row>
    <row r="284" spans="1:19">
      <c r="A284">
        <v>90</v>
      </c>
      <c r="B284" t="s">
        <v>162</v>
      </c>
      <c r="C284">
        <v>503.95909999999998</v>
      </c>
      <c r="D284">
        <v>185</v>
      </c>
      <c r="E284">
        <v>-0.39640350016747999</v>
      </c>
      <c r="F284" s="3" t="s">
        <v>18</v>
      </c>
      <c r="G284" s="3" t="s">
        <v>410</v>
      </c>
      <c r="H284" s="3">
        <v>1</v>
      </c>
      <c r="I284" s="5" t="s">
        <v>31</v>
      </c>
      <c r="J284" s="5" t="s">
        <v>410</v>
      </c>
      <c r="K284" s="5">
        <v>0.75</v>
      </c>
      <c r="L284" s="7" t="s">
        <v>32</v>
      </c>
      <c r="M284" s="7" t="s">
        <v>410</v>
      </c>
      <c r="N284" s="7">
        <v>1</v>
      </c>
      <c r="O284" s="9" t="s">
        <v>33</v>
      </c>
      <c r="P284" s="9" t="s">
        <v>410</v>
      </c>
      <c r="Q284" s="9">
        <v>1</v>
      </c>
      <c r="R284" t="s">
        <v>23</v>
      </c>
      <c r="S284">
        <v>4</v>
      </c>
    </row>
    <row r="285" spans="1:19">
      <c r="A285">
        <v>97</v>
      </c>
      <c r="B285" t="s">
        <v>169</v>
      </c>
      <c r="C285">
        <v>381.07990000000001</v>
      </c>
      <c r="D285">
        <v>181.9</v>
      </c>
      <c r="E285">
        <v>-0.65440450664243599</v>
      </c>
      <c r="F285" s="3" t="s">
        <v>18</v>
      </c>
      <c r="G285" s="3" t="s">
        <v>410</v>
      </c>
      <c r="H285" s="3">
        <v>1</v>
      </c>
      <c r="I285" s="5" t="s">
        <v>31</v>
      </c>
      <c r="J285" s="5" t="s">
        <v>410</v>
      </c>
      <c r="K285" s="5">
        <v>0.73</v>
      </c>
      <c r="L285" s="7" t="s">
        <v>32</v>
      </c>
      <c r="M285" s="7" t="s">
        <v>410</v>
      </c>
      <c r="N285" s="7">
        <v>1</v>
      </c>
      <c r="O285" s="9" t="s">
        <v>33</v>
      </c>
      <c r="P285" s="9" t="s">
        <v>410</v>
      </c>
      <c r="Q285" s="9">
        <v>1</v>
      </c>
      <c r="R285" t="s">
        <v>23</v>
      </c>
      <c r="S285">
        <v>4</v>
      </c>
    </row>
    <row r="286" spans="1:19">
      <c r="A286">
        <v>112</v>
      </c>
      <c r="B286" t="s">
        <v>184</v>
      </c>
      <c r="C286">
        <v>926.51130000000001</v>
      </c>
      <c r="D286">
        <v>314.39999999999998</v>
      </c>
      <c r="E286">
        <v>-0.47680203069000998</v>
      </c>
      <c r="F286" s="3" t="s">
        <v>18</v>
      </c>
      <c r="G286" s="3" t="s">
        <v>410</v>
      </c>
      <c r="H286" s="3">
        <v>1</v>
      </c>
      <c r="I286" s="5" t="s">
        <v>31</v>
      </c>
      <c r="J286" s="5" t="s">
        <v>410</v>
      </c>
      <c r="K286" s="5">
        <v>1</v>
      </c>
      <c r="L286" s="7" t="s">
        <v>32</v>
      </c>
      <c r="M286" s="7" t="s">
        <v>410</v>
      </c>
      <c r="N286" s="7">
        <v>1</v>
      </c>
      <c r="O286" s="9" t="s">
        <v>33</v>
      </c>
      <c r="P286" s="9" t="s">
        <v>410</v>
      </c>
      <c r="Q286" s="9">
        <v>1</v>
      </c>
      <c r="R286" t="s">
        <v>23</v>
      </c>
      <c r="S286">
        <v>4</v>
      </c>
    </row>
    <row r="287" spans="1:19">
      <c r="A287">
        <v>138</v>
      </c>
      <c r="B287" t="s">
        <v>211</v>
      </c>
      <c r="C287">
        <v>308.10180000000003</v>
      </c>
      <c r="D287">
        <v>158.4</v>
      </c>
      <c r="E287">
        <v>-0.75778834418889596</v>
      </c>
      <c r="F287" s="3" t="s">
        <v>18</v>
      </c>
      <c r="G287" s="3" t="s">
        <v>410</v>
      </c>
      <c r="H287" s="3">
        <v>1</v>
      </c>
      <c r="I287" s="5" t="s">
        <v>31</v>
      </c>
      <c r="J287" s="5" t="s">
        <v>410</v>
      </c>
      <c r="K287" s="5">
        <v>0.84</v>
      </c>
      <c r="L287" s="7" t="s">
        <v>32</v>
      </c>
      <c r="M287" s="7" t="s">
        <v>410</v>
      </c>
      <c r="N287" s="7">
        <v>1</v>
      </c>
      <c r="O287" s="9" t="s">
        <v>33</v>
      </c>
      <c r="P287" s="9" t="s">
        <v>410</v>
      </c>
      <c r="Q287" s="9">
        <v>1</v>
      </c>
      <c r="R287" t="s">
        <v>23</v>
      </c>
      <c r="S287">
        <v>4</v>
      </c>
    </row>
    <row r="288" spans="1:19">
      <c r="A288">
        <v>139</v>
      </c>
      <c r="B288" t="s">
        <v>51</v>
      </c>
      <c r="C288">
        <v>1505.8860999999999</v>
      </c>
      <c r="D288">
        <v>400.7</v>
      </c>
      <c r="E288">
        <v>-0.20469998635508099</v>
      </c>
      <c r="F288" s="3" t="s">
        <v>18</v>
      </c>
      <c r="G288" s="3" t="s">
        <v>410</v>
      </c>
      <c r="H288" s="3">
        <v>1</v>
      </c>
      <c r="I288" s="5" t="s">
        <v>31</v>
      </c>
      <c r="J288" s="5" t="s">
        <v>410</v>
      </c>
      <c r="K288" s="5">
        <v>0.77</v>
      </c>
      <c r="L288" s="7" t="s">
        <v>32</v>
      </c>
      <c r="M288" s="7" t="s">
        <v>410</v>
      </c>
      <c r="N288" s="7">
        <v>0.99</v>
      </c>
      <c r="O288" s="9" t="s">
        <v>33</v>
      </c>
      <c r="P288" s="9" t="s">
        <v>410</v>
      </c>
      <c r="Q288" s="9">
        <v>0.99399999999999999</v>
      </c>
      <c r="R288" t="s">
        <v>23</v>
      </c>
      <c r="S288">
        <v>4</v>
      </c>
    </row>
    <row r="289" spans="1:19">
      <c r="A289">
        <v>156</v>
      </c>
      <c r="B289" t="s">
        <v>236</v>
      </c>
      <c r="C289">
        <v>365.10599999999999</v>
      </c>
      <c r="D289">
        <v>173.7</v>
      </c>
      <c r="E289">
        <v>-0.69834019532964897</v>
      </c>
      <c r="F289" s="3" t="s">
        <v>18</v>
      </c>
      <c r="G289" s="3" t="s">
        <v>410</v>
      </c>
      <c r="H289" s="3">
        <v>1</v>
      </c>
      <c r="I289" s="5" t="s">
        <v>31</v>
      </c>
      <c r="J289" s="5" t="s">
        <v>410</v>
      </c>
      <c r="K289" s="5">
        <v>1</v>
      </c>
      <c r="L289" s="7" t="s">
        <v>32</v>
      </c>
      <c r="M289" s="7" t="s">
        <v>410</v>
      </c>
      <c r="N289" s="7">
        <v>1</v>
      </c>
      <c r="O289" s="9" t="s">
        <v>33</v>
      </c>
      <c r="P289" s="9" t="s">
        <v>410</v>
      </c>
      <c r="Q289" s="9">
        <v>1</v>
      </c>
      <c r="R289" t="s">
        <v>23</v>
      </c>
      <c r="S289">
        <v>4</v>
      </c>
    </row>
    <row r="290" spans="1:19">
      <c r="A290">
        <v>158</v>
      </c>
      <c r="B290" t="s">
        <v>238</v>
      </c>
      <c r="C290">
        <v>199.0008</v>
      </c>
      <c r="D290">
        <v>148.69999999999999</v>
      </c>
      <c r="E290">
        <v>-0.77860527502355104</v>
      </c>
      <c r="F290" s="3" t="s">
        <v>18</v>
      </c>
      <c r="G290" s="3" t="s">
        <v>410</v>
      </c>
      <c r="H290" s="3">
        <v>1</v>
      </c>
      <c r="I290" s="5" t="s">
        <v>31</v>
      </c>
      <c r="J290" s="5" t="s">
        <v>410</v>
      </c>
      <c r="K290" s="5">
        <v>0.7</v>
      </c>
      <c r="L290" s="7" t="s">
        <v>32</v>
      </c>
      <c r="M290" s="7" t="s">
        <v>410</v>
      </c>
      <c r="N290" s="7">
        <v>1</v>
      </c>
      <c r="O290" s="9" t="s">
        <v>33</v>
      </c>
      <c r="P290" s="9" t="s">
        <v>410</v>
      </c>
      <c r="Q290" s="9">
        <v>0.93400000000000005</v>
      </c>
      <c r="R290" t="s">
        <v>23</v>
      </c>
      <c r="S290">
        <v>4</v>
      </c>
    </row>
    <row r="291" spans="1:19">
      <c r="A291">
        <v>173</v>
      </c>
      <c r="B291" t="s">
        <v>251</v>
      </c>
      <c r="C291">
        <v>962.45150000000001</v>
      </c>
      <c r="D291">
        <v>328.8</v>
      </c>
      <c r="E291">
        <v>-0.37687293143721901</v>
      </c>
      <c r="F291" s="3" t="s">
        <v>18</v>
      </c>
      <c r="G291" s="3" t="s">
        <v>410</v>
      </c>
      <c r="H291" s="3">
        <v>1</v>
      </c>
      <c r="I291" s="5" t="s">
        <v>31</v>
      </c>
      <c r="J291" s="5" t="s">
        <v>410</v>
      </c>
      <c r="K291" s="5">
        <v>0.99</v>
      </c>
      <c r="L291" s="7" t="s">
        <v>32</v>
      </c>
      <c r="M291" s="7" t="s">
        <v>410</v>
      </c>
      <c r="N291" s="7">
        <v>1</v>
      </c>
      <c r="O291" s="9" t="s">
        <v>33</v>
      </c>
      <c r="P291" s="9" t="s">
        <v>410</v>
      </c>
      <c r="Q291" s="9">
        <v>1</v>
      </c>
      <c r="R291" t="s">
        <v>23</v>
      </c>
      <c r="S291">
        <v>4</v>
      </c>
    </row>
    <row r="292" spans="1:19">
      <c r="A292">
        <v>190</v>
      </c>
      <c r="B292" t="s">
        <v>266</v>
      </c>
      <c r="C292">
        <v>201.03710000000001</v>
      </c>
      <c r="D292">
        <v>144.69999999999999</v>
      </c>
      <c r="E292">
        <v>-0.81263164035240698</v>
      </c>
      <c r="F292" s="3" t="s">
        <v>18</v>
      </c>
      <c r="G292" s="3" t="s">
        <v>410</v>
      </c>
      <c r="H292" s="3">
        <v>1</v>
      </c>
      <c r="I292" s="5" t="s">
        <v>31</v>
      </c>
      <c r="J292" s="5" t="s">
        <v>410</v>
      </c>
      <c r="K292" s="5">
        <v>0.61</v>
      </c>
      <c r="L292" s="7" t="s">
        <v>32</v>
      </c>
      <c r="M292" s="7" t="s">
        <v>410</v>
      </c>
      <c r="N292" s="7">
        <v>1</v>
      </c>
      <c r="O292" s="9" t="s">
        <v>33</v>
      </c>
      <c r="P292" s="9" t="s">
        <v>410</v>
      </c>
      <c r="Q292" s="9">
        <v>0.94</v>
      </c>
      <c r="R292" t="s">
        <v>23</v>
      </c>
      <c r="S292">
        <v>4</v>
      </c>
    </row>
    <row r="293" spans="1:19">
      <c r="A293">
        <v>224</v>
      </c>
      <c r="B293" t="s">
        <v>293</v>
      </c>
      <c r="C293">
        <v>151.06100000000001</v>
      </c>
      <c r="D293">
        <v>125.2</v>
      </c>
      <c r="E293">
        <v>-0.89233255067486505</v>
      </c>
      <c r="F293" s="3" t="s">
        <v>18</v>
      </c>
      <c r="G293" s="3" t="s">
        <v>410</v>
      </c>
      <c r="H293" s="3">
        <v>1</v>
      </c>
      <c r="I293" s="5" t="s">
        <v>31</v>
      </c>
      <c r="J293" s="5" t="s">
        <v>410</v>
      </c>
      <c r="K293" s="5">
        <v>0.9</v>
      </c>
      <c r="L293" s="7" t="s">
        <v>32</v>
      </c>
      <c r="M293" s="7" t="s">
        <v>410</v>
      </c>
      <c r="N293" s="7">
        <v>1</v>
      </c>
      <c r="O293" s="9" t="s">
        <v>33</v>
      </c>
      <c r="P293" s="9" t="s">
        <v>410</v>
      </c>
      <c r="Q293" s="9">
        <v>0.999</v>
      </c>
      <c r="R293" t="s">
        <v>23</v>
      </c>
      <c r="S293">
        <v>4</v>
      </c>
    </row>
    <row r="294" spans="1:19">
      <c r="A294">
        <v>235</v>
      </c>
      <c r="B294" t="s">
        <v>302</v>
      </c>
      <c r="C294">
        <v>203.0532</v>
      </c>
      <c r="D294">
        <v>139.30000000000001</v>
      </c>
      <c r="E294">
        <v>-0.82648056002997805</v>
      </c>
      <c r="F294" s="3" t="s">
        <v>18</v>
      </c>
      <c r="G294" s="3" t="s">
        <v>410</v>
      </c>
      <c r="H294" s="3">
        <v>1</v>
      </c>
      <c r="I294" s="5" t="s">
        <v>31</v>
      </c>
      <c r="J294" s="5" t="s">
        <v>410</v>
      </c>
      <c r="K294" s="5">
        <v>0.95</v>
      </c>
      <c r="L294" s="7" t="s">
        <v>32</v>
      </c>
      <c r="M294" s="7" t="s">
        <v>410</v>
      </c>
      <c r="N294" s="7">
        <v>1</v>
      </c>
      <c r="O294" s="9" t="s">
        <v>33</v>
      </c>
      <c r="P294" s="9" t="s">
        <v>410</v>
      </c>
      <c r="Q294" s="9">
        <v>0.999</v>
      </c>
      <c r="R294" t="s">
        <v>23</v>
      </c>
      <c r="S294">
        <v>4</v>
      </c>
    </row>
    <row r="295" spans="1:19">
      <c r="A295">
        <v>238</v>
      </c>
      <c r="B295" t="s">
        <v>304</v>
      </c>
      <c r="C295">
        <v>445.07229999999998</v>
      </c>
      <c r="D295">
        <v>191.2</v>
      </c>
      <c r="E295">
        <v>-0.57535366966800405</v>
      </c>
      <c r="F295" s="3" t="s">
        <v>18</v>
      </c>
      <c r="G295" s="3" t="s">
        <v>410</v>
      </c>
      <c r="H295" s="3">
        <v>0.99199999999999999</v>
      </c>
      <c r="I295" s="5" t="s">
        <v>31</v>
      </c>
      <c r="J295" s="5" t="s">
        <v>410</v>
      </c>
      <c r="K295" s="5">
        <v>0.77</v>
      </c>
      <c r="L295" s="7" t="s">
        <v>32</v>
      </c>
      <c r="M295" s="7" t="s">
        <v>410</v>
      </c>
      <c r="N295" s="7">
        <v>1</v>
      </c>
      <c r="O295" s="9" t="s">
        <v>33</v>
      </c>
      <c r="P295" s="9" t="s">
        <v>410</v>
      </c>
      <c r="Q295" s="9">
        <v>1</v>
      </c>
      <c r="R295" t="s">
        <v>23</v>
      </c>
      <c r="S295">
        <v>4</v>
      </c>
    </row>
    <row r="296" spans="1:19">
      <c r="A296">
        <v>266</v>
      </c>
      <c r="B296" t="s">
        <v>327</v>
      </c>
      <c r="C296">
        <v>184.98560000000001</v>
      </c>
      <c r="D296">
        <v>124.8</v>
      </c>
      <c r="E296">
        <v>-0.77905397346844996</v>
      </c>
      <c r="F296" s="3" t="s">
        <v>18</v>
      </c>
      <c r="G296" s="3" t="s">
        <v>410</v>
      </c>
      <c r="H296" s="3">
        <v>1</v>
      </c>
      <c r="I296" s="5" t="s">
        <v>31</v>
      </c>
      <c r="J296" s="5" t="s">
        <v>410</v>
      </c>
      <c r="K296" s="5">
        <v>0.95</v>
      </c>
      <c r="L296" s="7" t="s">
        <v>32</v>
      </c>
      <c r="M296" s="7" t="s">
        <v>410</v>
      </c>
      <c r="N296" s="7">
        <v>1</v>
      </c>
      <c r="O296" s="9" t="s">
        <v>33</v>
      </c>
      <c r="P296" s="9" t="s">
        <v>410</v>
      </c>
      <c r="Q296" s="9">
        <v>0.999</v>
      </c>
      <c r="R296" t="s">
        <v>23</v>
      </c>
      <c r="S296">
        <v>4</v>
      </c>
    </row>
    <row r="297" spans="1:19">
      <c r="A297">
        <v>267</v>
      </c>
      <c r="B297" t="s">
        <v>328</v>
      </c>
      <c r="C297">
        <v>136.03720000000001</v>
      </c>
      <c r="D297">
        <v>121.8</v>
      </c>
      <c r="E297">
        <v>-0.88530740338450198</v>
      </c>
      <c r="F297" s="3" t="s">
        <v>18</v>
      </c>
      <c r="G297" s="3" t="s">
        <v>410</v>
      </c>
      <c r="H297" s="3">
        <v>1</v>
      </c>
      <c r="I297" s="5" t="s">
        <v>31</v>
      </c>
      <c r="J297" s="5" t="s">
        <v>410</v>
      </c>
      <c r="K297" s="5">
        <v>0.65</v>
      </c>
      <c r="L297" s="7" t="s">
        <v>32</v>
      </c>
      <c r="M297" s="7" t="s">
        <v>410</v>
      </c>
      <c r="N297" s="7">
        <v>1</v>
      </c>
      <c r="O297" s="9" t="s">
        <v>33</v>
      </c>
      <c r="P297" s="9" t="s">
        <v>410</v>
      </c>
      <c r="Q297" s="9">
        <v>0.92400000000000004</v>
      </c>
      <c r="R297" t="s">
        <v>23</v>
      </c>
      <c r="S297">
        <v>4</v>
      </c>
    </row>
    <row r="298" spans="1:19">
      <c r="A298">
        <v>272</v>
      </c>
      <c r="B298" t="s">
        <v>335</v>
      </c>
      <c r="C298">
        <v>202.08709999999999</v>
      </c>
      <c r="D298">
        <v>146.30000000000001</v>
      </c>
      <c r="E298">
        <v>-0.861459260838217</v>
      </c>
      <c r="F298" s="3" t="s">
        <v>18</v>
      </c>
      <c r="G298" s="3" t="s">
        <v>410</v>
      </c>
      <c r="H298" s="3">
        <v>1</v>
      </c>
      <c r="I298" s="5" t="s">
        <v>31</v>
      </c>
      <c r="J298" s="5" t="s">
        <v>410</v>
      </c>
      <c r="K298" s="5">
        <v>0.6</v>
      </c>
      <c r="L298" s="7" t="s">
        <v>32</v>
      </c>
      <c r="M298" s="7" t="s">
        <v>410</v>
      </c>
      <c r="N298" s="7">
        <v>1</v>
      </c>
      <c r="O298" s="9" t="s">
        <v>33</v>
      </c>
      <c r="P298" s="9" t="s">
        <v>410</v>
      </c>
      <c r="Q298" s="9">
        <v>0.72099999999999997</v>
      </c>
      <c r="R298" t="s">
        <v>23</v>
      </c>
      <c r="S298">
        <v>4</v>
      </c>
    </row>
    <row r="299" spans="1:19">
      <c r="A299">
        <v>274</v>
      </c>
      <c r="B299" t="s">
        <v>114</v>
      </c>
      <c r="C299">
        <v>748.48320000000001</v>
      </c>
      <c r="D299">
        <v>266.7</v>
      </c>
      <c r="E299">
        <v>-0.64747964725029294</v>
      </c>
      <c r="F299" s="3" t="s">
        <v>18</v>
      </c>
      <c r="G299" s="3" t="s">
        <v>410</v>
      </c>
      <c r="H299" s="3">
        <v>1</v>
      </c>
      <c r="I299" s="5" t="s">
        <v>31</v>
      </c>
      <c r="J299" s="5" t="s">
        <v>410</v>
      </c>
      <c r="K299" s="5">
        <v>0.75</v>
      </c>
      <c r="L299" s="7" t="s">
        <v>32</v>
      </c>
      <c r="M299" s="7" t="s">
        <v>410</v>
      </c>
      <c r="N299" s="7">
        <v>1</v>
      </c>
      <c r="O299" s="9" t="s">
        <v>33</v>
      </c>
      <c r="P299" s="9" t="s">
        <v>410</v>
      </c>
      <c r="Q299" s="9">
        <v>1</v>
      </c>
      <c r="R299" t="s">
        <v>23</v>
      </c>
      <c r="S299">
        <v>4</v>
      </c>
    </row>
    <row r="300" spans="1:19">
      <c r="A300">
        <v>285</v>
      </c>
      <c r="B300" t="s">
        <v>346</v>
      </c>
      <c r="C300">
        <v>180.0856</v>
      </c>
      <c r="D300">
        <v>138.30000000000001</v>
      </c>
      <c r="E300">
        <v>-0.88452507786794898</v>
      </c>
      <c r="F300" s="3" t="s">
        <v>18</v>
      </c>
      <c r="G300" s="3" t="s">
        <v>410</v>
      </c>
      <c r="H300" s="3">
        <v>1</v>
      </c>
      <c r="I300" s="5" t="s">
        <v>31</v>
      </c>
      <c r="J300" s="5" t="s">
        <v>410</v>
      </c>
      <c r="K300" s="5">
        <v>0.87</v>
      </c>
      <c r="L300" s="7" t="s">
        <v>32</v>
      </c>
      <c r="M300" s="7" t="s">
        <v>410</v>
      </c>
      <c r="N300" s="7">
        <v>1</v>
      </c>
      <c r="O300" s="9" t="s">
        <v>33</v>
      </c>
      <c r="P300" s="9" t="s">
        <v>410</v>
      </c>
      <c r="Q300" s="9">
        <v>0.99</v>
      </c>
      <c r="R300" t="s">
        <v>23</v>
      </c>
      <c r="S300">
        <v>4</v>
      </c>
    </row>
    <row r="301" spans="1:19">
      <c r="A301">
        <v>300</v>
      </c>
      <c r="B301" t="s">
        <v>359</v>
      </c>
      <c r="C301">
        <v>341.10840000000002</v>
      </c>
      <c r="D301">
        <v>169.9</v>
      </c>
      <c r="E301">
        <v>-0.72753476164342601</v>
      </c>
      <c r="F301" s="3" t="s">
        <v>18</v>
      </c>
      <c r="G301" s="3" t="s">
        <v>410</v>
      </c>
      <c r="H301" s="3">
        <v>1</v>
      </c>
      <c r="I301" s="5" t="s">
        <v>31</v>
      </c>
      <c r="J301" s="5" t="s">
        <v>410</v>
      </c>
      <c r="K301" s="5">
        <v>0.99</v>
      </c>
      <c r="L301" s="7" t="s">
        <v>32</v>
      </c>
      <c r="M301" s="7" t="s">
        <v>410</v>
      </c>
      <c r="N301" s="7">
        <v>1</v>
      </c>
      <c r="O301" s="9" t="s">
        <v>33</v>
      </c>
      <c r="P301" s="9" t="s">
        <v>410</v>
      </c>
      <c r="Q301" s="9">
        <v>1</v>
      </c>
      <c r="R301" t="s">
        <v>23</v>
      </c>
      <c r="S301">
        <v>4</v>
      </c>
    </row>
    <row r="302" spans="1:19">
      <c r="A302">
        <v>301</v>
      </c>
      <c r="B302" t="s">
        <v>360</v>
      </c>
      <c r="C302">
        <v>381.07819999999998</v>
      </c>
      <c r="D302">
        <v>177.7</v>
      </c>
      <c r="E302">
        <v>-0.65270640478070197</v>
      </c>
      <c r="F302" s="3" t="s">
        <v>18</v>
      </c>
      <c r="G302" s="3" t="s">
        <v>410</v>
      </c>
      <c r="H302" s="3">
        <v>1</v>
      </c>
      <c r="I302" s="5" t="s">
        <v>31</v>
      </c>
      <c r="J302" s="5" t="s">
        <v>410</v>
      </c>
      <c r="K302" s="5">
        <v>0.89</v>
      </c>
      <c r="L302" s="7" t="s">
        <v>32</v>
      </c>
      <c r="M302" s="7" t="s">
        <v>410</v>
      </c>
      <c r="N302" s="7">
        <v>1</v>
      </c>
      <c r="O302" s="9" t="s">
        <v>33</v>
      </c>
      <c r="P302" s="9" t="s">
        <v>410</v>
      </c>
      <c r="Q302" s="9">
        <v>1</v>
      </c>
      <c r="R302" t="s">
        <v>23</v>
      </c>
      <c r="S302">
        <v>4</v>
      </c>
    </row>
    <row r="303" spans="1:19">
      <c r="A303">
        <v>308</v>
      </c>
      <c r="B303" t="s">
        <v>369</v>
      </c>
      <c r="C303">
        <v>258.03899999999999</v>
      </c>
      <c r="D303">
        <v>148.19999999999999</v>
      </c>
      <c r="E303">
        <v>-0.750886059562617</v>
      </c>
      <c r="F303" s="3" t="s">
        <v>18</v>
      </c>
      <c r="G303" s="3" t="s">
        <v>410</v>
      </c>
      <c r="H303" s="3">
        <v>1</v>
      </c>
      <c r="I303" s="5" t="s">
        <v>31</v>
      </c>
      <c r="J303" s="5" t="s">
        <v>410</v>
      </c>
      <c r="K303" s="5">
        <v>0.83</v>
      </c>
      <c r="L303" s="7" t="s">
        <v>32</v>
      </c>
      <c r="M303" s="7" t="s">
        <v>410</v>
      </c>
      <c r="N303" s="7">
        <v>1</v>
      </c>
      <c r="O303" s="9" t="s">
        <v>33</v>
      </c>
      <c r="P303" s="9" t="s">
        <v>410</v>
      </c>
      <c r="Q303" s="9">
        <v>1</v>
      </c>
      <c r="R303" t="s">
        <v>23</v>
      </c>
      <c r="S303">
        <v>4</v>
      </c>
    </row>
    <row r="304" spans="1:19">
      <c r="A304">
        <v>318</v>
      </c>
      <c r="B304" t="s">
        <v>377</v>
      </c>
      <c r="C304">
        <v>151.0607</v>
      </c>
      <c r="D304">
        <v>126.1</v>
      </c>
      <c r="E304">
        <v>-0.89203288564041805</v>
      </c>
      <c r="F304" s="3" t="s">
        <v>18</v>
      </c>
      <c r="G304" s="3" t="s">
        <v>410</v>
      </c>
      <c r="H304" s="3">
        <v>1</v>
      </c>
      <c r="I304" s="5" t="s">
        <v>31</v>
      </c>
      <c r="J304" s="5" t="s">
        <v>410</v>
      </c>
      <c r="K304" s="5">
        <v>0.88</v>
      </c>
      <c r="L304" s="7" t="s">
        <v>32</v>
      </c>
      <c r="M304" s="7" t="s">
        <v>410</v>
      </c>
      <c r="N304" s="7">
        <v>1</v>
      </c>
      <c r="O304" s="9" t="s">
        <v>33</v>
      </c>
      <c r="P304" s="9" t="s">
        <v>410</v>
      </c>
      <c r="Q304" s="9">
        <v>0.999</v>
      </c>
      <c r="R304" t="s">
        <v>23</v>
      </c>
      <c r="S304">
        <v>4</v>
      </c>
    </row>
    <row r="305" spans="1:19">
      <c r="A305">
        <v>250</v>
      </c>
      <c r="B305" t="s">
        <v>313</v>
      </c>
      <c r="C305">
        <v>191.05860000000001</v>
      </c>
      <c r="D305">
        <v>134.80000000000001</v>
      </c>
      <c r="E305">
        <v>-0.84527315366884204</v>
      </c>
      <c r="F305" s="3" t="s">
        <v>18</v>
      </c>
      <c r="G305" s="3" t="s">
        <v>410</v>
      </c>
      <c r="H305" s="3">
        <v>1</v>
      </c>
      <c r="I305" s="5" t="s">
        <v>31</v>
      </c>
      <c r="J305" s="5" t="s">
        <v>410</v>
      </c>
      <c r="K305" s="5">
        <v>0.7</v>
      </c>
      <c r="L305" s="7" t="s">
        <v>32</v>
      </c>
      <c r="M305" s="7" t="s">
        <v>410</v>
      </c>
      <c r="N305" s="7">
        <v>1</v>
      </c>
      <c r="O305" s="9" t="s">
        <v>314</v>
      </c>
      <c r="P305" s="9" t="s">
        <v>410</v>
      </c>
      <c r="Q305" s="9">
        <v>0.626</v>
      </c>
      <c r="R305" t="s">
        <v>23</v>
      </c>
      <c r="S305">
        <v>4</v>
      </c>
    </row>
    <row r="306" spans="1:19">
      <c r="A306">
        <v>86</v>
      </c>
      <c r="B306" t="s">
        <v>155</v>
      </c>
      <c r="C306">
        <v>303.16680000000002</v>
      </c>
      <c r="D306">
        <v>166</v>
      </c>
      <c r="E306">
        <v>-0.82829852790553105</v>
      </c>
      <c r="F306" s="3" t="s">
        <v>18</v>
      </c>
      <c r="G306" s="3" t="s">
        <v>410</v>
      </c>
      <c r="H306" s="3">
        <v>1</v>
      </c>
      <c r="I306" s="5" t="s">
        <v>156</v>
      </c>
      <c r="J306" s="5" t="s">
        <v>410</v>
      </c>
      <c r="K306" s="5">
        <v>0.67</v>
      </c>
      <c r="L306" s="7" t="s">
        <v>38</v>
      </c>
      <c r="M306" s="7" t="s">
        <v>410</v>
      </c>
      <c r="N306" s="7">
        <v>0.95</v>
      </c>
      <c r="O306" s="9" t="s">
        <v>39</v>
      </c>
      <c r="P306" s="9" t="s">
        <v>410</v>
      </c>
      <c r="Q306" s="9">
        <v>0.97499999999999998</v>
      </c>
      <c r="R306" t="s">
        <v>157</v>
      </c>
      <c r="S306">
        <v>4</v>
      </c>
    </row>
    <row r="307" spans="1:19">
      <c r="A307">
        <v>254</v>
      </c>
      <c r="B307" t="s">
        <v>317</v>
      </c>
      <c r="C307">
        <v>445.24110000000002</v>
      </c>
      <c r="D307">
        <v>194</v>
      </c>
      <c r="E307">
        <v>-0.74396519570422004</v>
      </c>
      <c r="F307" s="3" t="s">
        <v>18</v>
      </c>
      <c r="G307" s="3" t="s">
        <v>410</v>
      </c>
      <c r="H307" s="3">
        <v>1</v>
      </c>
      <c r="I307" s="5" t="s">
        <v>156</v>
      </c>
      <c r="J307" s="5" t="s">
        <v>410</v>
      </c>
      <c r="K307" s="5">
        <v>0.69</v>
      </c>
      <c r="L307" s="7" t="s">
        <v>38</v>
      </c>
      <c r="M307" s="7" t="s">
        <v>410</v>
      </c>
      <c r="N307" s="7">
        <v>1</v>
      </c>
      <c r="O307" s="9" t="s">
        <v>39</v>
      </c>
      <c r="P307" s="9" t="s">
        <v>410</v>
      </c>
      <c r="Q307" s="9">
        <v>1</v>
      </c>
      <c r="R307" t="s">
        <v>157</v>
      </c>
      <c r="S307">
        <v>4</v>
      </c>
    </row>
    <row r="308" spans="1:19">
      <c r="A308">
        <v>76</v>
      </c>
      <c r="B308" t="s">
        <v>139</v>
      </c>
      <c r="C308">
        <v>1421.9784</v>
      </c>
      <c r="D308">
        <v>307.83999999999997</v>
      </c>
      <c r="E308">
        <v>-0.39068728974734801</v>
      </c>
      <c r="F308" s="3" t="s">
        <v>18</v>
      </c>
      <c r="G308" s="3" t="s">
        <v>410</v>
      </c>
      <c r="H308" s="3">
        <v>0.98799999999999999</v>
      </c>
      <c r="I308" s="5" t="s">
        <v>140</v>
      </c>
      <c r="J308" s="5" t="s">
        <v>410</v>
      </c>
      <c r="K308" s="5">
        <v>0.86</v>
      </c>
      <c r="L308" s="7" t="s">
        <v>141</v>
      </c>
      <c r="M308" s="7" t="s">
        <v>410</v>
      </c>
      <c r="N308" s="7">
        <v>1</v>
      </c>
      <c r="O308" s="9" t="s">
        <v>142</v>
      </c>
      <c r="P308" s="9" t="s">
        <v>410</v>
      </c>
      <c r="Q308" s="9">
        <v>1</v>
      </c>
      <c r="R308" t="s">
        <v>23</v>
      </c>
      <c r="S308">
        <v>4</v>
      </c>
    </row>
    <row r="309" spans="1:19">
      <c r="A309">
        <v>128</v>
      </c>
      <c r="B309" t="s">
        <v>200</v>
      </c>
      <c r="C309">
        <v>1933.9301</v>
      </c>
      <c r="D309">
        <v>353.1</v>
      </c>
      <c r="E309">
        <v>-0.77076663705293003</v>
      </c>
      <c r="F309" s="3" t="s">
        <v>18</v>
      </c>
      <c r="G309" s="3" t="s">
        <v>410</v>
      </c>
      <c r="H309" s="3">
        <v>1</v>
      </c>
      <c r="I309" s="5" t="s">
        <v>140</v>
      </c>
      <c r="J309" s="5" t="s">
        <v>410</v>
      </c>
      <c r="K309" s="5">
        <v>0.98</v>
      </c>
      <c r="L309" s="7" t="s">
        <v>141</v>
      </c>
      <c r="M309" s="7" t="s">
        <v>410</v>
      </c>
      <c r="N309" s="7">
        <v>1</v>
      </c>
      <c r="O309" s="9" t="s">
        <v>142</v>
      </c>
      <c r="P309" s="9" t="s">
        <v>410</v>
      </c>
      <c r="Q309" s="9">
        <v>1</v>
      </c>
      <c r="R309" t="s">
        <v>23</v>
      </c>
      <c r="S309">
        <v>4</v>
      </c>
    </row>
    <row r="310" spans="1:19">
      <c r="A310">
        <v>135</v>
      </c>
      <c r="B310" t="s">
        <v>208</v>
      </c>
      <c r="C310">
        <v>1143.9794999999999</v>
      </c>
      <c r="D310">
        <v>269.81</v>
      </c>
      <c r="E310">
        <v>-0.70218749481818998</v>
      </c>
      <c r="F310" s="3" t="s">
        <v>18</v>
      </c>
      <c r="G310" s="3" t="s">
        <v>410</v>
      </c>
      <c r="H310" s="3">
        <v>0.89200000000000002</v>
      </c>
      <c r="I310" s="5" t="s">
        <v>140</v>
      </c>
      <c r="J310" s="5" t="s">
        <v>410</v>
      </c>
      <c r="K310" s="5">
        <v>0.92</v>
      </c>
      <c r="L310" s="7" t="s">
        <v>141</v>
      </c>
      <c r="M310" s="7" t="s">
        <v>410</v>
      </c>
      <c r="N310" s="7">
        <v>0.99</v>
      </c>
      <c r="O310" s="9" t="s">
        <v>142</v>
      </c>
      <c r="P310" s="9" t="s">
        <v>410</v>
      </c>
      <c r="Q310" s="9">
        <v>1</v>
      </c>
      <c r="R310" t="s">
        <v>23</v>
      </c>
      <c r="S310">
        <v>4</v>
      </c>
    </row>
    <row r="311" spans="1:19">
      <c r="A311">
        <v>141</v>
      </c>
      <c r="B311" t="s">
        <v>216</v>
      </c>
      <c r="C311">
        <v>2721.8953999999999</v>
      </c>
      <c r="D311">
        <v>441.2</v>
      </c>
      <c r="E311">
        <v>-0.85626246981109899</v>
      </c>
      <c r="F311" s="3" t="s">
        <v>18</v>
      </c>
      <c r="G311" s="3" t="s">
        <v>410</v>
      </c>
      <c r="H311" s="3">
        <v>0.99199999999999999</v>
      </c>
      <c r="I311" s="5" t="s">
        <v>140</v>
      </c>
      <c r="J311" s="5" t="s">
        <v>410</v>
      </c>
      <c r="K311" s="5">
        <v>0.96</v>
      </c>
      <c r="L311" s="7" t="s">
        <v>141</v>
      </c>
      <c r="M311" s="7" t="s">
        <v>410</v>
      </c>
      <c r="N311" s="7">
        <v>1</v>
      </c>
      <c r="O311" s="9" t="s">
        <v>142</v>
      </c>
      <c r="P311" s="9" t="s">
        <v>410</v>
      </c>
      <c r="Q311" s="9">
        <v>1</v>
      </c>
      <c r="R311" t="s">
        <v>23</v>
      </c>
      <c r="S311">
        <v>4</v>
      </c>
    </row>
    <row r="312" spans="1:19">
      <c r="A312">
        <v>153</v>
      </c>
      <c r="B312" t="s">
        <v>231</v>
      </c>
      <c r="C312">
        <v>943.9923</v>
      </c>
      <c r="D312">
        <v>244.8</v>
      </c>
      <c r="E312">
        <v>-0.93828358660687206</v>
      </c>
      <c r="F312" s="3" t="s">
        <v>18</v>
      </c>
      <c r="G312" s="3" t="s">
        <v>410</v>
      </c>
      <c r="H312" s="3">
        <v>0.99199999999999999</v>
      </c>
      <c r="I312" s="5" t="s">
        <v>140</v>
      </c>
      <c r="J312" s="5" t="s">
        <v>410</v>
      </c>
      <c r="K312" s="5">
        <v>0.94</v>
      </c>
      <c r="L312" s="7" t="s">
        <v>141</v>
      </c>
      <c r="M312" s="7" t="s">
        <v>410</v>
      </c>
      <c r="N312" s="7">
        <v>0.99</v>
      </c>
      <c r="O312" s="9" t="s">
        <v>142</v>
      </c>
      <c r="P312" s="9" t="s">
        <v>410</v>
      </c>
      <c r="Q312" s="9">
        <v>1</v>
      </c>
      <c r="R312" t="s">
        <v>23</v>
      </c>
      <c r="S312">
        <v>4</v>
      </c>
    </row>
    <row r="313" spans="1:19">
      <c r="A313">
        <v>159</v>
      </c>
      <c r="B313" t="s">
        <v>239</v>
      </c>
      <c r="C313">
        <v>822.01670000000001</v>
      </c>
      <c r="D313">
        <v>230.21</v>
      </c>
      <c r="E313">
        <v>-9.8875676768443596E-2</v>
      </c>
      <c r="F313" s="3" t="s">
        <v>18</v>
      </c>
      <c r="G313" s="3" t="s">
        <v>410</v>
      </c>
      <c r="H313" s="3">
        <v>0.99399999999999999</v>
      </c>
      <c r="I313" s="5" t="s">
        <v>140</v>
      </c>
      <c r="J313" s="5" t="s">
        <v>410</v>
      </c>
      <c r="K313" s="5">
        <v>0.63</v>
      </c>
      <c r="L313" s="7" t="s">
        <v>141</v>
      </c>
      <c r="M313" s="7" t="s">
        <v>410</v>
      </c>
      <c r="N313" s="7">
        <v>0.92</v>
      </c>
      <c r="O313" s="9" t="s">
        <v>142</v>
      </c>
      <c r="P313" s="9" t="s">
        <v>410</v>
      </c>
      <c r="Q313" s="9">
        <v>0.998</v>
      </c>
      <c r="R313" t="s">
        <v>23</v>
      </c>
      <c r="S313">
        <v>4</v>
      </c>
    </row>
    <row r="314" spans="1:19">
      <c r="A314">
        <v>169</v>
      </c>
      <c r="B314" t="s">
        <v>231</v>
      </c>
      <c r="C314">
        <v>922.01030000000003</v>
      </c>
      <c r="D314">
        <v>243.9</v>
      </c>
      <c r="E314">
        <v>-0.98082763087416003</v>
      </c>
      <c r="F314" s="3" t="s">
        <v>18</v>
      </c>
      <c r="G314" s="3" t="s">
        <v>410</v>
      </c>
      <c r="H314" s="3">
        <v>0.98199999999999998</v>
      </c>
      <c r="I314" s="5" t="s">
        <v>140</v>
      </c>
      <c r="J314" s="5" t="s">
        <v>410</v>
      </c>
      <c r="K314" s="5">
        <v>0.94</v>
      </c>
      <c r="L314" s="7" t="s">
        <v>141</v>
      </c>
      <c r="M314" s="7" t="s">
        <v>410</v>
      </c>
      <c r="N314" s="7">
        <v>0.99</v>
      </c>
      <c r="O314" s="9" t="s">
        <v>142</v>
      </c>
      <c r="P314" s="9" t="s">
        <v>410</v>
      </c>
      <c r="Q314" s="9">
        <v>1</v>
      </c>
      <c r="R314" t="s">
        <v>23</v>
      </c>
      <c r="S314">
        <v>4</v>
      </c>
    </row>
    <row r="315" spans="1:19">
      <c r="A315">
        <v>176</v>
      </c>
      <c r="B315" t="s">
        <v>231</v>
      </c>
      <c r="C315">
        <v>1033.9875999999999</v>
      </c>
      <c r="D315">
        <v>255.5</v>
      </c>
      <c r="E315">
        <v>-0.83309916175676302</v>
      </c>
      <c r="F315" s="3" t="s">
        <v>18</v>
      </c>
      <c r="G315" s="3" t="s">
        <v>410</v>
      </c>
      <c r="H315" s="3">
        <v>0.97399999999999998</v>
      </c>
      <c r="I315" s="5" t="s">
        <v>140</v>
      </c>
      <c r="J315" s="5" t="s">
        <v>410</v>
      </c>
      <c r="K315" s="5">
        <v>0.96</v>
      </c>
      <c r="L315" s="7" t="s">
        <v>141</v>
      </c>
      <c r="M315" s="7" t="s">
        <v>410</v>
      </c>
      <c r="N315" s="7">
        <v>1</v>
      </c>
      <c r="O315" s="9" t="s">
        <v>142</v>
      </c>
      <c r="P315" s="9" t="s">
        <v>410</v>
      </c>
      <c r="Q315" s="9">
        <v>1</v>
      </c>
      <c r="R315" t="s">
        <v>23</v>
      </c>
      <c r="S315">
        <v>4</v>
      </c>
    </row>
    <row r="316" spans="1:19">
      <c r="A316">
        <v>193</v>
      </c>
      <c r="B316" t="s">
        <v>269</v>
      </c>
      <c r="C316">
        <v>2159.8896</v>
      </c>
      <c r="D316">
        <v>372.3</v>
      </c>
      <c r="E316">
        <v>-0.477971123877523</v>
      </c>
      <c r="F316" s="3" t="s">
        <v>18</v>
      </c>
      <c r="G316" s="3" t="s">
        <v>410</v>
      </c>
      <c r="H316" s="3">
        <v>1</v>
      </c>
      <c r="I316" s="5" t="s">
        <v>140</v>
      </c>
      <c r="J316" s="5" t="s">
        <v>410</v>
      </c>
      <c r="K316" s="5">
        <v>1</v>
      </c>
      <c r="L316" s="7" t="s">
        <v>141</v>
      </c>
      <c r="M316" s="7" t="s">
        <v>410</v>
      </c>
      <c r="N316" s="7">
        <v>1</v>
      </c>
      <c r="O316" s="9" t="s">
        <v>142</v>
      </c>
      <c r="P316" s="9" t="s">
        <v>410</v>
      </c>
      <c r="Q316" s="9">
        <v>1</v>
      </c>
      <c r="R316" t="s">
        <v>23</v>
      </c>
      <c r="S316">
        <v>4</v>
      </c>
    </row>
    <row r="317" spans="1:19">
      <c r="A317">
        <v>195</v>
      </c>
      <c r="B317" t="s">
        <v>200</v>
      </c>
      <c r="C317">
        <v>1859.9087</v>
      </c>
      <c r="D317">
        <v>345.7</v>
      </c>
      <c r="E317">
        <v>-0.832015373215654</v>
      </c>
      <c r="F317" s="3" t="s">
        <v>18</v>
      </c>
      <c r="G317" s="3" t="s">
        <v>410</v>
      </c>
      <c r="H317" s="3">
        <v>1</v>
      </c>
      <c r="I317" s="5" t="s">
        <v>140</v>
      </c>
      <c r="J317" s="5" t="s">
        <v>410</v>
      </c>
      <c r="K317" s="5">
        <v>0.99</v>
      </c>
      <c r="L317" s="7" t="s">
        <v>141</v>
      </c>
      <c r="M317" s="7" t="s">
        <v>410</v>
      </c>
      <c r="N317" s="7">
        <v>1</v>
      </c>
      <c r="O317" s="9" t="s">
        <v>142</v>
      </c>
      <c r="P317" s="9" t="s">
        <v>410</v>
      </c>
      <c r="Q317" s="9">
        <v>1</v>
      </c>
      <c r="R317" t="s">
        <v>23</v>
      </c>
      <c r="S317">
        <v>4</v>
      </c>
    </row>
    <row r="318" spans="1:19">
      <c r="A318">
        <v>242</v>
      </c>
      <c r="B318" t="s">
        <v>269</v>
      </c>
      <c r="C318">
        <v>2121.9337</v>
      </c>
      <c r="D318">
        <v>383</v>
      </c>
      <c r="E318">
        <v>-0.56445085683208196</v>
      </c>
      <c r="F318" s="3" t="s">
        <v>18</v>
      </c>
      <c r="G318" s="3" t="s">
        <v>410</v>
      </c>
      <c r="H318" s="3">
        <v>1</v>
      </c>
      <c r="I318" s="5" t="s">
        <v>140</v>
      </c>
      <c r="J318" s="5" t="s">
        <v>410</v>
      </c>
      <c r="K318" s="5">
        <v>0.97</v>
      </c>
      <c r="L318" s="7" t="s">
        <v>141</v>
      </c>
      <c r="M318" s="7" t="s">
        <v>410</v>
      </c>
      <c r="N318" s="7">
        <v>1</v>
      </c>
      <c r="O318" s="9" t="s">
        <v>142</v>
      </c>
      <c r="P318" s="9" t="s">
        <v>410</v>
      </c>
      <c r="Q318" s="9">
        <v>1</v>
      </c>
      <c r="R318" t="s">
        <v>23</v>
      </c>
      <c r="S318">
        <v>4</v>
      </c>
    </row>
    <row r="319" spans="1:19">
      <c r="A319">
        <v>261</v>
      </c>
      <c r="B319" t="s">
        <v>322</v>
      </c>
      <c r="C319">
        <v>1243.9730999999999</v>
      </c>
      <c r="D319">
        <v>281.39999999999998</v>
      </c>
      <c r="E319">
        <v>-0.58413944892390601</v>
      </c>
      <c r="F319" s="3" t="s">
        <v>18</v>
      </c>
      <c r="G319" s="3" t="s">
        <v>410</v>
      </c>
      <c r="H319" s="3">
        <v>0.93400000000000005</v>
      </c>
      <c r="I319" s="5" t="s">
        <v>140</v>
      </c>
      <c r="J319" s="5" t="s">
        <v>410</v>
      </c>
      <c r="K319" s="5">
        <v>0.97</v>
      </c>
      <c r="L319" s="7" t="s">
        <v>141</v>
      </c>
      <c r="M319" s="7" t="s">
        <v>410</v>
      </c>
      <c r="N319" s="7">
        <v>1</v>
      </c>
      <c r="O319" s="9" t="s">
        <v>142</v>
      </c>
      <c r="P319" s="9" t="s">
        <v>410</v>
      </c>
      <c r="Q319" s="9">
        <v>1</v>
      </c>
      <c r="R319" t="s">
        <v>23</v>
      </c>
      <c r="S319">
        <v>4</v>
      </c>
    </row>
    <row r="320" spans="1:19">
      <c r="A320">
        <v>323</v>
      </c>
      <c r="B320" t="s">
        <v>322</v>
      </c>
      <c r="C320">
        <v>1221.9911999999999</v>
      </c>
      <c r="D320">
        <v>283.10000000000002</v>
      </c>
      <c r="E320">
        <v>-0.62678338153591495</v>
      </c>
      <c r="F320" s="3" t="s">
        <v>18</v>
      </c>
      <c r="G320" s="3" t="s">
        <v>410</v>
      </c>
      <c r="H320" s="3">
        <v>0.96599999999999997</v>
      </c>
      <c r="I320" s="5" t="s">
        <v>140</v>
      </c>
      <c r="J320" s="5" t="s">
        <v>410</v>
      </c>
      <c r="K320" s="5">
        <v>0.95</v>
      </c>
      <c r="L320" s="7" t="s">
        <v>141</v>
      </c>
      <c r="M320" s="7" t="s">
        <v>410</v>
      </c>
      <c r="N320" s="7">
        <v>1</v>
      </c>
      <c r="O320" s="9" t="s">
        <v>142</v>
      </c>
      <c r="P320" s="9" t="s">
        <v>410</v>
      </c>
      <c r="Q320" s="9">
        <v>1</v>
      </c>
      <c r="R320" t="s">
        <v>23</v>
      </c>
      <c r="S320">
        <v>4</v>
      </c>
    </row>
    <row r="321" spans="1:19">
      <c r="A321">
        <v>349</v>
      </c>
      <c r="B321" t="s">
        <v>404</v>
      </c>
      <c r="C321">
        <v>1559.9278999999999</v>
      </c>
      <c r="D321">
        <v>315.8</v>
      </c>
      <c r="E321">
        <v>-0.18615951089850599</v>
      </c>
      <c r="F321" s="3" t="s">
        <v>18</v>
      </c>
      <c r="G321" s="3" t="s">
        <v>410</v>
      </c>
      <c r="H321" s="3">
        <v>0.998</v>
      </c>
      <c r="I321" s="5" t="s">
        <v>140</v>
      </c>
      <c r="J321" s="5" t="s">
        <v>410</v>
      </c>
      <c r="K321" s="5">
        <v>0.9</v>
      </c>
      <c r="L321" s="7" t="s">
        <v>141</v>
      </c>
      <c r="M321" s="7" t="s">
        <v>410</v>
      </c>
      <c r="N321" s="7">
        <v>1</v>
      </c>
      <c r="O321" s="9" t="s">
        <v>142</v>
      </c>
      <c r="P321" s="9" t="s">
        <v>410</v>
      </c>
      <c r="Q321" s="9">
        <v>1</v>
      </c>
      <c r="R321" t="s">
        <v>23</v>
      </c>
      <c r="S321">
        <v>4</v>
      </c>
    </row>
    <row r="322" spans="1:19">
      <c r="A322">
        <v>32</v>
      </c>
      <c r="B322" t="s">
        <v>82</v>
      </c>
      <c r="C322">
        <v>190.0497</v>
      </c>
      <c r="D322">
        <v>136.6</v>
      </c>
      <c r="E322">
        <v>-0.83749964289916101</v>
      </c>
      <c r="F322" s="3" t="s">
        <v>18</v>
      </c>
      <c r="G322" s="3" t="s">
        <v>410</v>
      </c>
      <c r="H322" s="3">
        <v>1</v>
      </c>
      <c r="I322" s="5" t="s">
        <v>55</v>
      </c>
      <c r="J322" s="5" t="s">
        <v>410</v>
      </c>
      <c r="K322" s="5">
        <v>0.87</v>
      </c>
      <c r="L322" s="7" t="s">
        <v>83</v>
      </c>
      <c r="M322" s="7" t="s">
        <v>410</v>
      </c>
      <c r="N322" s="7">
        <v>0.57999999999999996</v>
      </c>
      <c r="O322" s="9" t="s">
        <v>84</v>
      </c>
      <c r="P322" s="9" t="s">
        <v>410</v>
      </c>
      <c r="Q322" s="9">
        <v>0.995</v>
      </c>
      <c r="R322" t="s">
        <v>23</v>
      </c>
      <c r="S322">
        <v>4</v>
      </c>
    </row>
    <row r="323" spans="1:19">
      <c r="A323">
        <v>39</v>
      </c>
      <c r="B323" t="s">
        <v>95</v>
      </c>
      <c r="C323">
        <v>228.0265</v>
      </c>
      <c r="D323">
        <v>148</v>
      </c>
      <c r="E323">
        <v>-0.77189657400956002</v>
      </c>
      <c r="F323" s="3" t="s">
        <v>18</v>
      </c>
      <c r="G323" s="3" t="s">
        <v>410</v>
      </c>
      <c r="H323" s="3">
        <v>1</v>
      </c>
      <c r="I323" s="5" t="s">
        <v>55</v>
      </c>
      <c r="J323" s="5" t="s">
        <v>410</v>
      </c>
      <c r="K323" s="5">
        <v>0.72</v>
      </c>
      <c r="L323" s="7" t="s">
        <v>83</v>
      </c>
      <c r="M323" s="7" t="s">
        <v>410</v>
      </c>
      <c r="N323" s="7">
        <v>0.62</v>
      </c>
      <c r="O323" s="9" t="s">
        <v>84</v>
      </c>
      <c r="P323" s="9" t="s">
        <v>410</v>
      </c>
      <c r="Q323" s="9">
        <v>0.997</v>
      </c>
      <c r="R323" t="s">
        <v>23</v>
      </c>
      <c r="S323">
        <v>4</v>
      </c>
    </row>
    <row r="324" spans="1:19">
      <c r="A324">
        <v>347</v>
      </c>
      <c r="B324" t="s">
        <v>401</v>
      </c>
      <c r="C324">
        <v>238.91820000000001</v>
      </c>
      <c r="D324">
        <v>136.4</v>
      </c>
      <c r="E324">
        <v>-0.65143542548139499</v>
      </c>
      <c r="F324" s="3" t="s">
        <v>18</v>
      </c>
      <c r="G324" s="3" t="s">
        <v>410</v>
      </c>
      <c r="H324" s="3">
        <v>0.874</v>
      </c>
      <c r="I324" s="5" t="s">
        <v>55</v>
      </c>
      <c r="J324" s="5" t="s">
        <v>410</v>
      </c>
      <c r="K324" s="5">
        <v>0.86</v>
      </c>
      <c r="L324" s="7" t="s">
        <v>402</v>
      </c>
      <c r="M324" s="7" t="s">
        <v>410</v>
      </c>
      <c r="N324" s="7">
        <v>0.91</v>
      </c>
      <c r="O324" s="9" t="s">
        <v>403</v>
      </c>
      <c r="P324" s="9" t="s">
        <v>410</v>
      </c>
      <c r="Q324" s="9">
        <v>0.93300000000000005</v>
      </c>
      <c r="R324" t="s">
        <v>23</v>
      </c>
      <c r="S324">
        <v>4</v>
      </c>
    </row>
    <row r="325" spans="1:19">
      <c r="A325">
        <v>179</v>
      </c>
      <c r="B325" t="s">
        <v>256</v>
      </c>
      <c r="C325">
        <v>243.07409999999999</v>
      </c>
      <c r="D325">
        <v>153.6</v>
      </c>
      <c r="E325">
        <v>-0.80269514736426095</v>
      </c>
      <c r="F325" s="3" t="s">
        <v>18</v>
      </c>
      <c r="G325" s="3" t="s">
        <v>410</v>
      </c>
      <c r="H325" s="3">
        <v>1</v>
      </c>
      <c r="I325" s="5" t="s">
        <v>55</v>
      </c>
      <c r="J325" s="5" t="s">
        <v>410</v>
      </c>
      <c r="K325" s="5">
        <v>0.63</v>
      </c>
      <c r="L325" s="7" t="s">
        <v>218</v>
      </c>
      <c r="M325" s="7" t="s">
        <v>410</v>
      </c>
      <c r="N325" s="7">
        <v>0.8</v>
      </c>
      <c r="O325" s="9" t="s">
        <v>257</v>
      </c>
      <c r="P325" s="9" t="s">
        <v>410</v>
      </c>
      <c r="Q325" s="9">
        <v>0.64200000000000002</v>
      </c>
      <c r="R325" t="s">
        <v>23</v>
      </c>
      <c r="S325">
        <v>4</v>
      </c>
    </row>
    <row r="326" spans="1:19">
      <c r="A326">
        <v>200</v>
      </c>
      <c r="B326" t="s">
        <v>256</v>
      </c>
      <c r="C326">
        <v>221.09200000000001</v>
      </c>
      <c r="D326">
        <v>155.6</v>
      </c>
      <c r="E326">
        <v>-0.84513930328679998</v>
      </c>
      <c r="F326" s="3" t="s">
        <v>18</v>
      </c>
      <c r="G326" s="3" t="s">
        <v>410</v>
      </c>
      <c r="H326" s="3">
        <v>1</v>
      </c>
      <c r="I326" s="5" t="s">
        <v>55</v>
      </c>
      <c r="J326" s="5" t="s">
        <v>410</v>
      </c>
      <c r="K326" s="5">
        <v>0.65</v>
      </c>
      <c r="L326" s="7" t="s">
        <v>218</v>
      </c>
      <c r="M326" s="7" t="s">
        <v>410</v>
      </c>
      <c r="N326" s="7">
        <v>0.87</v>
      </c>
      <c r="O326" s="9" t="s">
        <v>257</v>
      </c>
      <c r="P326" s="9" t="s">
        <v>410</v>
      </c>
      <c r="Q326" s="9">
        <v>0.73699999999999999</v>
      </c>
      <c r="R326" t="s">
        <v>23</v>
      </c>
      <c r="S326">
        <v>4</v>
      </c>
    </row>
    <row r="327" spans="1:19">
      <c r="A327">
        <v>142</v>
      </c>
      <c r="B327" t="s">
        <v>217</v>
      </c>
      <c r="C327">
        <v>190.05029999999999</v>
      </c>
      <c r="D327">
        <v>137.30000000000001</v>
      </c>
      <c r="E327">
        <v>-0.83809897296799796</v>
      </c>
      <c r="F327" s="3" t="s">
        <v>18</v>
      </c>
      <c r="G327" s="3" t="s">
        <v>410</v>
      </c>
      <c r="H327" s="3">
        <v>1</v>
      </c>
      <c r="I327" s="5" t="s">
        <v>55</v>
      </c>
      <c r="J327" s="5" t="s">
        <v>410</v>
      </c>
      <c r="K327" s="5">
        <v>0.82</v>
      </c>
      <c r="L327" s="7" t="s">
        <v>218</v>
      </c>
      <c r="M327" s="7" t="s">
        <v>410</v>
      </c>
      <c r="N327" s="7">
        <v>0.66</v>
      </c>
      <c r="O327" s="9" t="s">
        <v>219</v>
      </c>
      <c r="P327" s="9" t="s">
        <v>410</v>
      </c>
      <c r="Q327" s="9">
        <v>0.84699999999999998</v>
      </c>
      <c r="R327" t="s">
        <v>23</v>
      </c>
      <c r="S327">
        <v>4</v>
      </c>
    </row>
    <row r="328" spans="1:19">
      <c r="A328">
        <v>284</v>
      </c>
      <c r="B328" t="s">
        <v>345</v>
      </c>
      <c r="C328">
        <v>205.09639999999999</v>
      </c>
      <c r="D328">
        <v>150.6</v>
      </c>
      <c r="E328">
        <v>-0.86739922115057799</v>
      </c>
      <c r="F328" s="3" t="s">
        <v>18</v>
      </c>
      <c r="G328" s="3" t="s">
        <v>410</v>
      </c>
      <c r="H328" s="3">
        <v>1</v>
      </c>
      <c r="I328" s="5" t="s">
        <v>55</v>
      </c>
      <c r="J328" s="5" t="s">
        <v>410</v>
      </c>
      <c r="K328" s="5">
        <v>0.86</v>
      </c>
      <c r="L328" s="7" t="s">
        <v>218</v>
      </c>
      <c r="M328" s="7" t="s">
        <v>410</v>
      </c>
      <c r="N328" s="7">
        <v>0.94</v>
      </c>
      <c r="O328" s="9" t="s">
        <v>219</v>
      </c>
      <c r="P328" s="9" t="s">
        <v>410</v>
      </c>
      <c r="Q328" s="9">
        <v>0.873</v>
      </c>
      <c r="R328" t="s">
        <v>23</v>
      </c>
      <c r="S328">
        <v>4</v>
      </c>
    </row>
    <row r="329" spans="1:19">
      <c r="A329">
        <v>305</v>
      </c>
      <c r="B329" t="s">
        <v>364</v>
      </c>
      <c r="C329">
        <v>226.0847</v>
      </c>
      <c r="D329">
        <v>153.9</v>
      </c>
      <c r="E329">
        <v>-0.83226469452443996</v>
      </c>
      <c r="F329" s="3" t="s">
        <v>18</v>
      </c>
      <c r="G329" s="3" t="s">
        <v>410</v>
      </c>
      <c r="H329" s="3">
        <v>1</v>
      </c>
      <c r="I329" s="5" t="s">
        <v>55</v>
      </c>
      <c r="J329" s="5" t="s">
        <v>410</v>
      </c>
      <c r="K329" s="5">
        <v>0.76</v>
      </c>
      <c r="L329" s="7" t="s">
        <v>218</v>
      </c>
      <c r="M329" s="7" t="s">
        <v>410</v>
      </c>
      <c r="N329" s="7">
        <v>0.97</v>
      </c>
      <c r="O329" s="9" t="s">
        <v>219</v>
      </c>
      <c r="P329" s="9" t="s">
        <v>410</v>
      </c>
      <c r="Q329" s="9">
        <v>0.59099999999999997</v>
      </c>
      <c r="R329" t="s">
        <v>23</v>
      </c>
      <c r="S329">
        <v>4</v>
      </c>
    </row>
    <row r="330" spans="1:19">
      <c r="A330">
        <v>322</v>
      </c>
      <c r="B330" t="s">
        <v>380</v>
      </c>
      <c r="C330">
        <v>205.09639999999999</v>
      </c>
      <c r="D330">
        <v>151.30000000000001</v>
      </c>
      <c r="E330">
        <v>-0.86739922115057799</v>
      </c>
      <c r="F330" s="3" t="s">
        <v>18</v>
      </c>
      <c r="G330" s="3" t="s">
        <v>410</v>
      </c>
      <c r="H330" s="3">
        <v>1</v>
      </c>
      <c r="I330" s="5" t="s">
        <v>55</v>
      </c>
      <c r="J330" s="5" t="s">
        <v>410</v>
      </c>
      <c r="K330" s="5">
        <v>0.88</v>
      </c>
      <c r="L330" s="7" t="s">
        <v>218</v>
      </c>
      <c r="M330" s="7" t="s">
        <v>410</v>
      </c>
      <c r="N330" s="7">
        <v>0.96</v>
      </c>
      <c r="O330" s="9" t="s">
        <v>219</v>
      </c>
      <c r="P330" s="9" t="s">
        <v>410</v>
      </c>
      <c r="Q330" s="9">
        <v>0.86699999999999999</v>
      </c>
      <c r="R330" t="s">
        <v>23</v>
      </c>
      <c r="S330">
        <v>4</v>
      </c>
    </row>
    <row r="331" spans="1:19">
      <c r="A331">
        <v>324</v>
      </c>
      <c r="B331" t="s">
        <v>381</v>
      </c>
      <c r="C331">
        <v>160.07499999999999</v>
      </c>
      <c r="D331">
        <v>132.4</v>
      </c>
      <c r="E331">
        <v>-0.89626795168359796</v>
      </c>
      <c r="F331" s="3" t="s">
        <v>18</v>
      </c>
      <c r="G331" s="3" t="s">
        <v>410</v>
      </c>
      <c r="H331" s="3">
        <v>1</v>
      </c>
      <c r="I331" s="5" t="s">
        <v>55</v>
      </c>
      <c r="J331" s="5" t="s">
        <v>410</v>
      </c>
      <c r="K331" s="5">
        <v>0.78</v>
      </c>
      <c r="L331" s="7" t="s">
        <v>218</v>
      </c>
      <c r="M331" s="7" t="s">
        <v>410</v>
      </c>
      <c r="N331" s="7">
        <v>0.89</v>
      </c>
      <c r="O331" s="9" t="s">
        <v>382</v>
      </c>
      <c r="P331" s="9" t="s">
        <v>410</v>
      </c>
      <c r="Q331" s="9">
        <v>0.96599999999999997</v>
      </c>
      <c r="R331" t="s">
        <v>23</v>
      </c>
      <c r="S331">
        <v>4</v>
      </c>
    </row>
    <row r="332" spans="1:19">
      <c r="A332">
        <v>14</v>
      </c>
      <c r="B332" t="s">
        <v>54</v>
      </c>
      <c r="C332">
        <v>181.07210000000001</v>
      </c>
      <c r="D332">
        <v>131.1</v>
      </c>
      <c r="E332">
        <v>-0.86992359940057895</v>
      </c>
      <c r="F332" s="3" t="s">
        <v>18</v>
      </c>
      <c r="G332" s="3" t="s">
        <v>410</v>
      </c>
      <c r="H332" s="3">
        <v>1</v>
      </c>
      <c r="I332" s="5" t="s">
        <v>55</v>
      </c>
      <c r="J332" s="5" t="s">
        <v>410</v>
      </c>
      <c r="K332" s="5">
        <v>0.63</v>
      </c>
      <c r="L332" s="7" t="s">
        <v>56</v>
      </c>
      <c r="M332" s="7" t="s">
        <v>410</v>
      </c>
      <c r="N332" s="7">
        <v>0.78</v>
      </c>
      <c r="O332" s="9" t="s">
        <v>57</v>
      </c>
      <c r="P332" s="9" t="s">
        <v>410</v>
      </c>
      <c r="Q332" s="9">
        <v>1</v>
      </c>
      <c r="R332" t="s">
        <v>23</v>
      </c>
      <c r="S332">
        <v>4</v>
      </c>
    </row>
    <row r="333" spans="1:19">
      <c r="A333">
        <v>42</v>
      </c>
      <c r="B333" t="s">
        <v>103</v>
      </c>
      <c r="C333">
        <v>165.02549999999999</v>
      </c>
      <c r="D333">
        <v>128</v>
      </c>
      <c r="E333">
        <v>-0.84124046141221198</v>
      </c>
      <c r="F333" s="3" t="s">
        <v>18</v>
      </c>
      <c r="G333" s="3" t="s">
        <v>410</v>
      </c>
      <c r="H333" s="3">
        <v>1</v>
      </c>
      <c r="I333" s="5" t="s">
        <v>55</v>
      </c>
      <c r="J333" s="5" t="s">
        <v>410</v>
      </c>
      <c r="K333" s="5">
        <v>0.92</v>
      </c>
      <c r="L333" s="7" t="s">
        <v>56</v>
      </c>
      <c r="M333" s="7" t="s">
        <v>410</v>
      </c>
      <c r="N333" s="7">
        <v>0.74</v>
      </c>
      <c r="O333" s="9" t="s">
        <v>57</v>
      </c>
      <c r="P333" s="9" t="s">
        <v>410</v>
      </c>
      <c r="Q333" s="9">
        <v>1</v>
      </c>
      <c r="R333" t="s">
        <v>23</v>
      </c>
      <c r="S333">
        <v>4</v>
      </c>
    </row>
    <row r="334" spans="1:19">
      <c r="A334">
        <v>57</v>
      </c>
      <c r="B334" t="s">
        <v>120</v>
      </c>
      <c r="C334">
        <v>137.0461</v>
      </c>
      <c r="D334">
        <v>130.5</v>
      </c>
      <c r="E334">
        <v>-0.89308091415415403</v>
      </c>
      <c r="F334" s="3" t="s">
        <v>18</v>
      </c>
      <c r="G334" s="3" t="s">
        <v>410</v>
      </c>
      <c r="H334" s="3">
        <v>1</v>
      </c>
      <c r="I334" s="5" t="s">
        <v>55</v>
      </c>
      <c r="J334" s="5" t="s">
        <v>410</v>
      </c>
      <c r="K334" s="5">
        <v>0.72</v>
      </c>
      <c r="L334" s="7" t="s">
        <v>56</v>
      </c>
      <c r="M334" s="7" t="s">
        <v>410</v>
      </c>
      <c r="N334" s="7">
        <v>0.64</v>
      </c>
      <c r="O334" s="9" t="s">
        <v>57</v>
      </c>
      <c r="P334" s="9" t="s">
        <v>410</v>
      </c>
      <c r="Q334" s="9">
        <v>1</v>
      </c>
      <c r="R334" t="s">
        <v>23</v>
      </c>
      <c r="S334">
        <v>4</v>
      </c>
    </row>
    <row r="335" spans="1:19">
      <c r="A335">
        <v>74</v>
      </c>
      <c r="B335" t="s">
        <v>137</v>
      </c>
      <c r="C335">
        <v>179.05760000000001</v>
      </c>
      <c r="D335">
        <v>133.6</v>
      </c>
      <c r="E335">
        <v>-0.85767289323993601</v>
      </c>
      <c r="F335" s="3" t="s">
        <v>18</v>
      </c>
      <c r="G335" s="3" t="s">
        <v>410</v>
      </c>
      <c r="H335" s="3">
        <v>1</v>
      </c>
      <c r="I335" s="5" t="s">
        <v>55</v>
      </c>
      <c r="J335" s="5" t="s">
        <v>410</v>
      </c>
      <c r="K335" s="5">
        <v>0.7</v>
      </c>
      <c r="L335" s="7" t="s">
        <v>56</v>
      </c>
      <c r="M335" s="7" t="s">
        <v>410</v>
      </c>
      <c r="N335" s="7">
        <v>0.64</v>
      </c>
      <c r="O335" s="9" t="s">
        <v>57</v>
      </c>
      <c r="P335" s="9" t="s">
        <v>410</v>
      </c>
      <c r="Q335" s="9">
        <v>1</v>
      </c>
      <c r="R335" t="s">
        <v>23</v>
      </c>
      <c r="S335">
        <v>4</v>
      </c>
    </row>
    <row r="336" spans="1:19">
      <c r="A336">
        <v>85</v>
      </c>
      <c r="B336" t="s">
        <v>154</v>
      </c>
      <c r="C336">
        <v>195.08609999999999</v>
      </c>
      <c r="D336">
        <v>140.19999999999999</v>
      </c>
      <c r="E336">
        <v>-0.86827624081797705</v>
      </c>
      <c r="F336" s="3" t="s">
        <v>18</v>
      </c>
      <c r="G336" s="3" t="s">
        <v>410</v>
      </c>
      <c r="H336" s="3">
        <v>1</v>
      </c>
      <c r="I336" s="5" t="s">
        <v>55</v>
      </c>
      <c r="J336" s="5" t="s">
        <v>410</v>
      </c>
      <c r="K336" s="5">
        <v>0.87</v>
      </c>
      <c r="L336" s="7" t="s">
        <v>56</v>
      </c>
      <c r="M336" s="7" t="s">
        <v>410</v>
      </c>
      <c r="N336" s="7">
        <v>0.52</v>
      </c>
      <c r="O336" s="9" t="s">
        <v>57</v>
      </c>
      <c r="P336" s="9" t="s">
        <v>410</v>
      </c>
      <c r="Q336" s="9">
        <v>1</v>
      </c>
      <c r="R336" t="s">
        <v>23</v>
      </c>
      <c r="S336">
        <v>4</v>
      </c>
    </row>
    <row r="337" spans="1:19">
      <c r="A337">
        <v>113</v>
      </c>
      <c r="B337" t="s">
        <v>137</v>
      </c>
      <c r="C337">
        <v>203.053</v>
      </c>
      <c r="D337">
        <v>147.69999999999999</v>
      </c>
      <c r="E337">
        <v>-0.82628078334036603</v>
      </c>
      <c r="F337" s="3" t="s">
        <v>18</v>
      </c>
      <c r="G337" s="3" t="s">
        <v>410</v>
      </c>
      <c r="H337" s="3">
        <v>1</v>
      </c>
      <c r="I337" s="5" t="s">
        <v>55</v>
      </c>
      <c r="J337" s="5" t="s">
        <v>410</v>
      </c>
      <c r="K337" s="5">
        <v>0.73</v>
      </c>
      <c r="L337" s="7" t="s">
        <v>56</v>
      </c>
      <c r="M337" s="7" t="s">
        <v>410</v>
      </c>
      <c r="N337" s="7">
        <v>0.77</v>
      </c>
      <c r="O337" s="9" t="s">
        <v>57</v>
      </c>
      <c r="P337" s="9" t="s">
        <v>410</v>
      </c>
      <c r="Q337" s="9">
        <v>1</v>
      </c>
      <c r="R337" t="s">
        <v>23</v>
      </c>
      <c r="S337">
        <v>4</v>
      </c>
    </row>
    <row r="338" spans="1:19">
      <c r="A338">
        <v>149</v>
      </c>
      <c r="B338" t="s">
        <v>228</v>
      </c>
      <c r="C338">
        <v>136.06139999999999</v>
      </c>
      <c r="D338">
        <v>125.6</v>
      </c>
      <c r="E338">
        <v>-0.90948038282806498</v>
      </c>
      <c r="F338" s="3" t="s">
        <v>18</v>
      </c>
      <c r="G338" s="3" t="s">
        <v>410</v>
      </c>
      <c r="H338" s="3">
        <v>1</v>
      </c>
      <c r="I338" s="5" t="s">
        <v>55</v>
      </c>
      <c r="J338" s="5" t="s">
        <v>410</v>
      </c>
      <c r="K338" s="5">
        <v>0.9</v>
      </c>
      <c r="L338" s="7" t="s">
        <v>56</v>
      </c>
      <c r="M338" s="7" t="s">
        <v>410</v>
      </c>
      <c r="N338" s="7">
        <v>0.61</v>
      </c>
      <c r="O338" s="9" t="s">
        <v>57</v>
      </c>
      <c r="P338" s="9" t="s">
        <v>410</v>
      </c>
      <c r="Q338" s="9">
        <v>1</v>
      </c>
      <c r="R338" t="s">
        <v>23</v>
      </c>
      <c r="S338">
        <v>4</v>
      </c>
    </row>
    <row r="339" spans="1:19">
      <c r="A339">
        <v>162</v>
      </c>
      <c r="B339" t="s">
        <v>242</v>
      </c>
      <c r="C339">
        <v>167.02109999999999</v>
      </c>
      <c r="D339">
        <v>126.2</v>
      </c>
      <c r="E339">
        <v>-0.83461227040413599</v>
      </c>
      <c r="F339" s="3" t="s">
        <v>18</v>
      </c>
      <c r="G339" s="3" t="s">
        <v>410</v>
      </c>
      <c r="H339" s="3">
        <v>1</v>
      </c>
      <c r="I339" s="5" t="s">
        <v>55</v>
      </c>
      <c r="J339" s="5" t="s">
        <v>410</v>
      </c>
      <c r="K339" s="5">
        <v>0.89</v>
      </c>
      <c r="L339" s="7" t="s">
        <v>56</v>
      </c>
      <c r="M339" s="7" t="s">
        <v>410</v>
      </c>
      <c r="N339" s="7">
        <v>0.87</v>
      </c>
      <c r="O339" s="9" t="s">
        <v>57</v>
      </c>
      <c r="P339" s="9" t="s">
        <v>410</v>
      </c>
      <c r="Q339" s="9">
        <v>1</v>
      </c>
      <c r="R339" t="s">
        <v>23</v>
      </c>
      <c r="S339">
        <v>4</v>
      </c>
    </row>
    <row r="340" spans="1:19">
      <c r="A340">
        <v>164</v>
      </c>
      <c r="B340" t="s">
        <v>120</v>
      </c>
      <c r="C340">
        <v>157.0137</v>
      </c>
      <c r="D340">
        <v>135</v>
      </c>
      <c r="E340">
        <v>-0.83838605207097305</v>
      </c>
      <c r="F340" s="3" t="s">
        <v>18</v>
      </c>
      <c r="G340" s="3" t="s">
        <v>410</v>
      </c>
      <c r="H340" s="3">
        <v>1</v>
      </c>
      <c r="I340" s="5" t="s">
        <v>55</v>
      </c>
      <c r="J340" s="5" t="s">
        <v>410</v>
      </c>
      <c r="K340" s="5">
        <v>0.86</v>
      </c>
      <c r="L340" s="7" t="s">
        <v>56</v>
      </c>
      <c r="M340" s="7" t="s">
        <v>410</v>
      </c>
      <c r="N340" s="7">
        <v>0.63</v>
      </c>
      <c r="O340" s="9" t="s">
        <v>57</v>
      </c>
      <c r="P340" s="9" t="s">
        <v>410</v>
      </c>
      <c r="Q340" s="9">
        <v>0.999</v>
      </c>
      <c r="R340" t="s">
        <v>23</v>
      </c>
      <c r="S340">
        <v>4</v>
      </c>
    </row>
    <row r="341" spans="1:19">
      <c r="A341">
        <v>244</v>
      </c>
      <c r="B341" t="s">
        <v>308</v>
      </c>
      <c r="C341">
        <v>175.0232</v>
      </c>
      <c r="D341">
        <v>151.69999999999999</v>
      </c>
      <c r="E341">
        <v>-0.82777751029897195</v>
      </c>
      <c r="F341" s="3" t="s">
        <v>18</v>
      </c>
      <c r="G341" s="3" t="s">
        <v>410</v>
      </c>
      <c r="H341" s="3">
        <v>1</v>
      </c>
      <c r="I341" s="5" t="s">
        <v>55</v>
      </c>
      <c r="J341" s="5" t="s">
        <v>410</v>
      </c>
      <c r="K341" s="5">
        <v>0.61</v>
      </c>
      <c r="L341" s="7" t="s">
        <v>56</v>
      </c>
      <c r="M341" s="7" t="s">
        <v>410</v>
      </c>
      <c r="N341" s="7">
        <v>0.64</v>
      </c>
      <c r="O341" s="9" t="s">
        <v>57</v>
      </c>
      <c r="P341" s="9" t="s">
        <v>410</v>
      </c>
      <c r="Q341" s="9">
        <v>1</v>
      </c>
      <c r="R341" t="s">
        <v>23</v>
      </c>
      <c r="S341">
        <v>4</v>
      </c>
    </row>
    <row r="342" spans="1:19">
      <c r="A342">
        <v>246</v>
      </c>
      <c r="B342" t="s">
        <v>310</v>
      </c>
      <c r="C342">
        <v>188.0548</v>
      </c>
      <c r="D342">
        <v>148.80000000000001</v>
      </c>
      <c r="E342">
        <v>-0.84482705232090904</v>
      </c>
      <c r="F342" s="3" t="s">
        <v>18</v>
      </c>
      <c r="G342" s="3" t="s">
        <v>410</v>
      </c>
      <c r="H342" s="3">
        <v>1</v>
      </c>
      <c r="I342" s="5" t="s">
        <v>55</v>
      </c>
      <c r="J342" s="5" t="s">
        <v>410</v>
      </c>
      <c r="K342" s="5">
        <v>0.57999999999999996</v>
      </c>
      <c r="L342" s="7" t="s">
        <v>56</v>
      </c>
      <c r="M342" s="7" t="s">
        <v>410</v>
      </c>
      <c r="N342" s="7">
        <v>0.53</v>
      </c>
      <c r="O342" s="9" t="s">
        <v>57</v>
      </c>
      <c r="P342" s="9" t="s">
        <v>410</v>
      </c>
      <c r="Q342" s="9">
        <v>1</v>
      </c>
      <c r="R342" t="s">
        <v>23</v>
      </c>
      <c r="S342">
        <v>4</v>
      </c>
    </row>
    <row r="343" spans="1:19">
      <c r="A343">
        <v>247</v>
      </c>
      <c r="B343" t="s">
        <v>242</v>
      </c>
      <c r="C343">
        <v>169.03620000000001</v>
      </c>
      <c r="D343">
        <v>130.5</v>
      </c>
      <c r="E343">
        <v>-0.84746230663364497</v>
      </c>
      <c r="F343" s="3" t="s">
        <v>18</v>
      </c>
      <c r="G343" s="3" t="s">
        <v>410</v>
      </c>
      <c r="H343" s="3">
        <v>1</v>
      </c>
      <c r="I343" s="5" t="s">
        <v>55</v>
      </c>
      <c r="J343" s="5" t="s">
        <v>410</v>
      </c>
      <c r="K343" s="5">
        <v>0.75</v>
      </c>
      <c r="L343" s="7" t="s">
        <v>56</v>
      </c>
      <c r="M343" s="7" t="s">
        <v>410</v>
      </c>
      <c r="N343" s="7">
        <v>0.79</v>
      </c>
      <c r="O343" s="9" t="s">
        <v>57</v>
      </c>
      <c r="P343" s="9" t="s">
        <v>410</v>
      </c>
      <c r="Q343" s="9">
        <v>1</v>
      </c>
      <c r="R343" t="s">
        <v>23</v>
      </c>
      <c r="S343">
        <v>4</v>
      </c>
    </row>
    <row r="344" spans="1:19">
      <c r="A344">
        <v>260</v>
      </c>
      <c r="B344" t="s">
        <v>308</v>
      </c>
      <c r="C344">
        <v>153.0402</v>
      </c>
      <c r="D344">
        <v>132.9</v>
      </c>
      <c r="E344">
        <v>-0.86932267111822603</v>
      </c>
      <c r="F344" s="3" t="s">
        <v>18</v>
      </c>
      <c r="G344" s="3" t="s">
        <v>410</v>
      </c>
      <c r="H344" s="3">
        <v>1</v>
      </c>
      <c r="I344" s="5" t="s">
        <v>55</v>
      </c>
      <c r="J344" s="5" t="s">
        <v>410</v>
      </c>
      <c r="K344" s="5">
        <v>0.65</v>
      </c>
      <c r="L344" s="7" t="s">
        <v>56</v>
      </c>
      <c r="M344" s="7" t="s">
        <v>410</v>
      </c>
      <c r="N344" s="7">
        <v>0.85</v>
      </c>
      <c r="O344" s="9" t="s">
        <v>57</v>
      </c>
      <c r="P344" s="9" t="s">
        <v>410</v>
      </c>
      <c r="Q344" s="9">
        <v>0.999</v>
      </c>
      <c r="R344" t="s">
        <v>23</v>
      </c>
      <c r="S344">
        <v>4</v>
      </c>
    </row>
    <row r="345" spans="1:19">
      <c r="A345">
        <v>353</v>
      </c>
      <c r="B345" t="s">
        <v>242</v>
      </c>
      <c r="C345">
        <v>191.0181</v>
      </c>
      <c r="D345">
        <v>142.6</v>
      </c>
      <c r="E345">
        <v>-0.80481837402152201</v>
      </c>
      <c r="F345" s="3" t="s">
        <v>18</v>
      </c>
      <c r="G345" s="3" t="s">
        <v>410</v>
      </c>
      <c r="H345" s="3">
        <v>1</v>
      </c>
      <c r="I345" s="5" t="s">
        <v>55</v>
      </c>
      <c r="J345" s="5" t="s">
        <v>410</v>
      </c>
      <c r="K345" s="5">
        <v>0.68</v>
      </c>
      <c r="L345" s="7" t="s">
        <v>56</v>
      </c>
      <c r="M345" s="7" t="s">
        <v>410</v>
      </c>
      <c r="N345" s="7">
        <v>0.52</v>
      </c>
      <c r="O345" s="9" t="s">
        <v>57</v>
      </c>
      <c r="P345" s="9" t="s">
        <v>410</v>
      </c>
      <c r="Q345" s="9">
        <v>0.99399999999999999</v>
      </c>
      <c r="R345" t="s">
        <v>23</v>
      </c>
      <c r="S345">
        <v>4</v>
      </c>
    </row>
    <row r="346" spans="1:19">
      <c r="A346">
        <v>270</v>
      </c>
      <c r="B346" t="s">
        <v>331</v>
      </c>
      <c r="C346">
        <v>125.0365</v>
      </c>
      <c r="D346">
        <v>119.5</v>
      </c>
      <c r="E346">
        <v>-0.89689025607175699</v>
      </c>
      <c r="F346" s="3" t="s">
        <v>18</v>
      </c>
      <c r="G346" s="3" t="s">
        <v>410</v>
      </c>
      <c r="H346" s="3">
        <v>1</v>
      </c>
      <c r="I346" s="5" t="s">
        <v>55</v>
      </c>
      <c r="J346" s="5" t="s">
        <v>410</v>
      </c>
      <c r="K346" s="5">
        <v>0.84</v>
      </c>
      <c r="L346" s="7" t="s">
        <v>332</v>
      </c>
      <c r="M346" s="7" t="s">
        <v>410</v>
      </c>
      <c r="N346" s="7">
        <v>0.61</v>
      </c>
      <c r="O346" s="9" t="s">
        <v>333</v>
      </c>
      <c r="P346" s="9" t="s">
        <v>410</v>
      </c>
      <c r="Q346" s="9">
        <v>1</v>
      </c>
      <c r="R346" t="s">
        <v>23</v>
      </c>
      <c r="S346">
        <v>4</v>
      </c>
    </row>
    <row r="347" spans="1:19">
      <c r="A347">
        <v>291</v>
      </c>
      <c r="B347" t="s">
        <v>352</v>
      </c>
      <c r="C347">
        <v>181.0325</v>
      </c>
      <c r="D347">
        <v>143.30000000000001</v>
      </c>
      <c r="E347">
        <v>-0.83036781485654398</v>
      </c>
      <c r="F347" s="3" t="s">
        <v>18</v>
      </c>
      <c r="G347" s="3" t="s">
        <v>410</v>
      </c>
      <c r="H347" s="3">
        <v>1</v>
      </c>
      <c r="I347" s="5" t="s">
        <v>55</v>
      </c>
      <c r="J347" s="5" t="s">
        <v>410</v>
      </c>
      <c r="K347" s="5">
        <v>0.63</v>
      </c>
      <c r="L347" s="7" t="s">
        <v>353</v>
      </c>
      <c r="M347" s="7" t="s">
        <v>410</v>
      </c>
      <c r="N347" s="7">
        <v>0.57999999999999996</v>
      </c>
      <c r="O347" s="9" t="s">
        <v>354</v>
      </c>
      <c r="P347" s="9" t="s">
        <v>410</v>
      </c>
      <c r="Q347" s="9">
        <v>0.97799999999999998</v>
      </c>
      <c r="R347" t="s">
        <v>23</v>
      </c>
      <c r="S347">
        <v>4</v>
      </c>
    </row>
    <row r="348" spans="1:19">
      <c r="A348">
        <v>304</v>
      </c>
      <c r="B348" t="s">
        <v>363</v>
      </c>
      <c r="C348">
        <v>391.28539999999998</v>
      </c>
      <c r="D348">
        <v>200.5</v>
      </c>
      <c r="E348">
        <v>-0.84850953604058099</v>
      </c>
      <c r="F348" s="3" t="s">
        <v>18</v>
      </c>
      <c r="G348" s="3" t="s">
        <v>410</v>
      </c>
      <c r="H348" s="3">
        <v>1</v>
      </c>
      <c r="I348" s="5" t="s">
        <v>55</v>
      </c>
      <c r="J348" s="5" t="s">
        <v>410</v>
      </c>
      <c r="K348" s="5">
        <v>0.64</v>
      </c>
      <c r="L348" s="7" t="s">
        <v>353</v>
      </c>
      <c r="M348" s="7" t="s">
        <v>410</v>
      </c>
      <c r="N348" s="7">
        <v>0.73</v>
      </c>
      <c r="O348" s="9" t="s">
        <v>354</v>
      </c>
      <c r="P348" s="9" t="s">
        <v>410</v>
      </c>
      <c r="Q348" s="9">
        <v>0.94799999999999995</v>
      </c>
      <c r="R348" t="s">
        <v>23</v>
      </c>
      <c r="S348">
        <v>4</v>
      </c>
    </row>
    <row r="349" spans="1:19">
      <c r="A349">
        <v>140</v>
      </c>
      <c r="B349" t="s">
        <v>212</v>
      </c>
      <c r="C349">
        <v>271.09699999999998</v>
      </c>
      <c r="D349">
        <v>163.19999999999999</v>
      </c>
      <c r="E349">
        <v>-0.79430612461385397</v>
      </c>
      <c r="F349" s="3" t="s">
        <v>18</v>
      </c>
      <c r="G349" s="3" t="s">
        <v>410</v>
      </c>
      <c r="H349" s="3">
        <v>1</v>
      </c>
      <c r="I349" s="5" t="s">
        <v>213</v>
      </c>
      <c r="J349" s="5" t="s">
        <v>410</v>
      </c>
      <c r="K349" s="5">
        <v>0.62</v>
      </c>
      <c r="L349" s="7" t="s">
        <v>214</v>
      </c>
      <c r="M349" s="7" t="s">
        <v>410</v>
      </c>
      <c r="N349" s="7">
        <v>0.91</v>
      </c>
      <c r="O349" s="9" t="s">
        <v>215</v>
      </c>
      <c r="P349" s="9" t="s">
        <v>410</v>
      </c>
      <c r="Q349" s="9">
        <v>0.996</v>
      </c>
      <c r="R349" t="s">
        <v>23</v>
      </c>
      <c r="S349">
        <v>4</v>
      </c>
    </row>
    <row r="350" spans="1:19">
      <c r="A350">
        <v>40</v>
      </c>
      <c r="B350" t="s">
        <v>96</v>
      </c>
      <c r="C350">
        <v>1362.0179000000001</v>
      </c>
      <c r="D350">
        <v>211.3</v>
      </c>
      <c r="E350">
        <v>-0.49713630104270101</v>
      </c>
      <c r="F350" s="3" t="s">
        <v>97</v>
      </c>
      <c r="G350" s="3" t="s">
        <v>410</v>
      </c>
      <c r="H350" s="3">
        <v>1</v>
      </c>
      <c r="I350" s="5" t="s">
        <v>98</v>
      </c>
      <c r="J350" s="5" t="s">
        <v>410</v>
      </c>
      <c r="K350" s="5">
        <v>0.99</v>
      </c>
      <c r="L350" s="7" t="s">
        <v>99</v>
      </c>
      <c r="M350" s="7" t="s">
        <v>410</v>
      </c>
      <c r="N350" s="7">
        <v>1</v>
      </c>
      <c r="O350" s="9" t="s">
        <v>100</v>
      </c>
      <c r="P350" s="9" t="s">
        <v>410</v>
      </c>
      <c r="Q350" s="9">
        <v>1</v>
      </c>
      <c r="R350" t="s">
        <v>23</v>
      </c>
      <c r="S350">
        <v>4</v>
      </c>
    </row>
    <row r="351" spans="1:19">
      <c r="A351">
        <v>43</v>
      </c>
      <c r="B351" t="s">
        <v>104</v>
      </c>
      <c r="C351">
        <v>282.79969999999997</v>
      </c>
      <c r="D351">
        <v>132.80000000000001</v>
      </c>
      <c r="E351">
        <v>-0.48393945248000098</v>
      </c>
      <c r="F351" s="3" t="s">
        <v>97</v>
      </c>
      <c r="G351" s="3" t="s">
        <v>410</v>
      </c>
      <c r="H351" s="3">
        <v>0.63400000000000001</v>
      </c>
      <c r="I351" s="5" t="s">
        <v>98</v>
      </c>
      <c r="J351" s="5" t="s">
        <v>410</v>
      </c>
      <c r="K351" s="5">
        <v>0.77</v>
      </c>
      <c r="L351" s="7" t="s">
        <v>99</v>
      </c>
      <c r="M351" s="7" t="s">
        <v>410</v>
      </c>
      <c r="N351" s="7">
        <v>0.94</v>
      </c>
      <c r="O351" s="9" t="s">
        <v>100</v>
      </c>
      <c r="P351" s="9" t="s">
        <v>410</v>
      </c>
      <c r="Q351" s="9">
        <v>0.998</v>
      </c>
      <c r="R351" t="s">
        <v>23</v>
      </c>
      <c r="S351">
        <v>4</v>
      </c>
    </row>
    <row r="352" spans="1:19">
      <c r="A352">
        <v>79</v>
      </c>
      <c r="B352" t="s">
        <v>145</v>
      </c>
      <c r="C352">
        <v>1621.8278</v>
      </c>
      <c r="D352">
        <v>230.5</v>
      </c>
      <c r="E352">
        <v>-1.6945058813234899E-2</v>
      </c>
      <c r="F352" s="3" t="s">
        <v>97</v>
      </c>
      <c r="G352" s="3" t="s">
        <v>410</v>
      </c>
      <c r="H352" s="3">
        <v>1</v>
      </c>
      <c r="I352" s="5" t="s">
        <v>98</v>
      </c>
      <c r="J352" s="5" t="s">
        <v>410</v>
      </c>
      <c r="K352" s="5">
        <v>1</v>
      </c>
      <c r="L352" s="7" t="s">
        <v>99</v>
      </c>
      <c r="M352" s="7" t="s">
        <v>410</v>
      </c>
      <c r="N352" s="7">
        <v>1</v>
      </c>
      <c r="O352" s="9" t="s">
        <v>100</v>
      </c>
      <c r="P352" s="9" t="s">
        <v>410</v>
      </c>
      <c r="Q352" s="9">
        <v>1</v>
      </c>
      <c r="R352" t="s">
        <v>23</v>
      </c>
      <c r="S352">
        <v>4</v>
      </c>
    </row>
    <row r="353" spans="1:19">
      <c r="A353">
        <v>350</v>
      </c>
      <c r="B353" t="s">
        <v>405</v>
      </c>
      <c r="C353">
        <v>1471.9336000000001</v>
      </c>
      <c r="D353">
        <v>214</v>
      </c>
      <c r="E353">
        <v>-0.29010971536013103</v>
      </c>
      <c r="F353" s="3" t="s">
        <v>97</v>
      </c>
      <c r="G353" s="3" t="s">
        <v>410</v>
      </c>
      <c r="H353" s="3">
        <v>1</v>
      </c>
      <c r="I353" s="5" t="s">
        <v>98</v>
      </c>
      <c r="J353" s="5" t="s">
        <v>410</v>
      </c>
      <c r="K353" s="5">
        <v>1</v>
      </c>
      <c r="L353" s="7" t="s">
        <v>99</v>
      </c>
      <c r="M353" s="7" t="s">
        <v>410</v>
      </c>
      <c r="N353" s="7">
        <v>1</v>
      </c>
      <c r="O353" s="9" t="s">
        <v>100</v>
      </c>
      <c r="P353" s="9" t="s">
        <v>410</v>
      </c>
      <c r="Q353" s="9">
        <v>1</v>
      </c>
      <c r="R353" t="s">
        <v>23</v>
      </c>
      <c r="S353">
        <v>4</v>
      </c>
    </row>
    <row r="354" spans="1:19">
      <c r="A354">
        <v>352</v>
      </c>
      <c r="B354" t="s">
        <v>407</v>
      </c>
      <c r="C354">
        <v>732.48239999999998</v>
      </c>
      <c r="D354">
        <v>165.6</v>
      </c>
      <c r="E354">
        <v>-0.66454537118397605</v>
      </c>
      <c r="F354" s="3" t="s">
        <v>97</v>
      </c>
      <c r="G354" s="3" t="s">
        <v>410</v>
      </c>
      <c r="H354" s="3">
        <v>0.92600000000000005</v>
      </c>
      <c r="I354" s="5" t="s">
        <v>98</v>
      </c>
      <c r="J354" s="5" t="s">
        <v>410</v>
      </c>
      <c r="K354" s="5">
        <v>0.63</v>
      </c>
      <c r="L354" s="7" t="s">
        <v>99</v>
      </c>
      <c r="M354" s="7" t="s">
        <v>410</v>
      </c>
      <c r="N354" s="7">
        <v>1</v>
      </c>
      <c r="O354" s="9" t="s">
        <v>100</v>
      </c>
      <c r="P354" s="9" t="s">
        <v>410</v>
      </c>
      <c r="Q354" s="9">
        <v>1</v>
      </c>
      <c r="R354" t="s">
        <v>23</v>
      </c>
      <c r="S354">
        <v>4</v>
      </c>
    </row>
    <row r="355" spans="1:19">
      <c r="A355">
        <v>299</v>
      </c>
      <c r="B355" t="s">
        <v>309</v>
      </c>
      <c r="C355">
        <v>782.63930000000005</v>
      </c>
      <c r="D355">
        <v>273.10000000000002</v>
      </c>
      <c r="E355">
        <v>-0.76544258827482303</v>
      </c>
      <c r="F355" s="3" t="s">
        <v>18</v>
      </c>
      <c r="G355" s="3" t="s">
        <v>410</v>
      </c>
      <c r="H355" s="3">
        <v>1</v>
      </c>
      <c r="I355" s="5" t="s">
        <v>20</v>
      </c>
      <c r="J355" s="5" t="s">
        <v>410</v>
      </c>
      <c r="K355" s="5">
        <v>0.88</v>
      </c>
      <c r="L355" s="7" t="s">
        <v>28</v>
      </c>
      <c r="M355" s="7" t="s">
        <v>19</v>
      </c>
      <c r="N355" s="7">
        <v>0.52</v>
      </c>
      <c r="O355" s="9" t="s">
        <v>41</v>
      </c>
      <c r="P355" s="9" t="s">
        <v>19</v>
      </c>
      <c r="Q355" s="9">
        <v>0.61399999999999999</v>
      </c>
      <c r="R355" t="s">
        <v>23</v>
      </c>
      <c r="S355">
        <v>2</v>
      </c>
    </row>
  </sheetData>
  <autoFilter ref="A1:S1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91"/>
  <sheetViews>
    <sheetView workbookViewId="0">
      <selection activeCell="F36" sqref="F36"/>
    </sheetView>
  </sheetViews>
  <sheetFormatPr baseColWidth="10" defaultRowHeight="16"/>
  <cols>
    <col min="1" max="1" width="32.83203125" customWidth="1"/>
  </cols>
  <sheetData>
    <row r="1" spans="1:13">
      <c r="A1" s="2" t="s">
        <v>4</v>
      </c>
      <c r="B1" t="s">
        <v>97</v>
      </c>
      <c r="C1" t="s">
        <v>18</v>
      </c>
      <c r="D1" t="s">
        <v>411</v>
      </c>
    </row>
    <row r="2" spans="1:13">
      <c r="A2" t="s">
        <v>97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4" t="s">
        <v>7</v>
      </c>
      <c r="B5" t="s">
        <v>43</v>
      </c>
      <c r="C5" t="s">
        <v>20</v>
      </c>
      <c r="D5" t="s">
        <v>98</v>
      </c>
      <c r="E5" t="s">
        <v>65</v>
      </c>
      <c r="F5" t="s">
        <v>37</v>
      </c>
      <c r="G5" t="s">
        <v>151</v>
      </c>
      <c r="H5" t="s">
        <v>31</v>
      </c>
      <c r="I5" t="s">
        <v>156</v>
      </c>
      <c r="J5" t="s">
        <v>140</v>
      </c>
      <c r="K5" t="s">
        <v>55</v>
      </c>
      <c r="L5" t="s">
        <v>213</v>
      </c>
      <c r="M5" t="s">
        <v>411</v>
      </c>
    </row>
    <row r="6" spans="1:13">
      <c r="A6" t="s">
        <v>43</v>
      </c>
      <c r="B6">
        <v>102</v>
      </c>
      <c r="C6">
        <v>8</v>
      </c>
      <c r="D6">
        <v>0</v>
      </c>
      <c r="E6">
        <v>2</v>
      </c>
      <c r="F6">
        <v>29</v>
      </c>
      <c r="G6">
        <v>0</v>
      </c>
      <c r="H6">
        <v>12</v>
      </c>
      <c r="I6">
        <v>0</v>
      </c>
      <c r="J6">
        <v>2</v>
      </c>
      <c r="K6">
        <v>12</v>
      </c>
      <c r="L6">
        <v>1</v>
      </c>
      <c r="M6">
        <v>0.39285714285714302</v>
      </c>
    </row>
    <row r="7" spans="1:13">
      <c r="A7" t="s">
        <v>20</v>
      </c>
      <c r="B7">
        <v>4</v>
      </c>
      <c r="C7">
        <v>791</v>
      </c>
      <c r="D7">
        <v>0</v>
      </c>
      <c r="E7">
        <v>0</v>
      </c>
      <c r="F7">
        <v>37</v>
      </c>
      <c r="G7">
        <v>0</v>
      </c>
      <c r="H7">
        <v>10</v>
      </c>
      <c r="I7">
        <v>2</v>
      </c>
      <c r="J7">
        <v>1</v>
      </c>
      <c r="K7">
        <v>7</v>
      </c>
      <c r="L7">
        <v>1</v>
      </c>
      <c r="M7">
        <v>7.2684642438452504E-2</v>
      </c>
    </row>
    <row r="8" spans="1:13">
      <c r="A8" t="s">
        <v>98</v>
      </c>
      <c r="B8">
        <v>2</v>
      </c>
      <c r="C8">
        <v>2</v>
      </c>
      <c r="D8">
        <v>41</v>
      </c>
      <c r="E8">
        <v>1</v>
      </c>
      <c r="F8">
        <v>0</v>
      </c>
      <c r="G8">
        <v>0</v>
      </c>
      <c r="H8">
        <v>3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65</v>
      </c>
      <c r="B9">
        <v>1</v>
      </c>
      <c r="C9">
        <v>1</v>
      </c>
      <c r="D9">
        <v>0</v>
      </c>
      <c r="E9">
        <v>144</v>
      </c>
      <c r="F9">
        <v>3</v>
      </c>
      <c r="G9">
        <v>0</v>
      </c>
      <c r="H9">
        <v>7</v>
      </c>
      <c r="I9">
        <v>0</v>
      </c>
      <c r="J9">
        <v>2</v>
      </c>
      <c r="K9">
        <v>1</v>
      </c>
      <c r="L9">
        <v>1</v>
      </c>
      <c r="M9">
        <v>0.1</v>
      </c>
    </row>
    <row r="10" spans="1:13">
      <c r="A10" t="s">
        <v>37</v>
      </c>
      <c r="B10">
        <v>12</v>
      </c>
      <c r="C10">
        <v>41</v>
      </c>
      <c r="D10">
        <v>0</v>
      </c>
      <c r="E10">
        <v>3</v>
      </c>
      <c r="F10">
        <v>409</v>
      </c>
      <c r="G10">
        <v>4</v>
      </c>
      <c r="H10">
        <v>54</v>
      </c>
      <c r="I10">
        <v>2</v>
      </c>
      <c r="J10">
        <v>1</v>
      </c>
      <c r="K10">
        <v>38</v>
      </c>
      <c r="L10">
        <v>1</v>
      </c>
      <c r="M10">
        <v>0.27610619469026598</v>
      </c>
    </row>
    <row r="11" spans="1:13">
      <c r="A11" t="s">
        <v>151</v>
      </c>
      <c r="B11">
        <v>1</v>
      </c>
      <c r="C11">
        <v>5</v>
      </c>
      <c r="D11">
        <v>0</v>
      </c>
      <c r="E11">
        <v>0</v>
      </c>
      <c r="F11">
        <v>5</v>
      </c>
      <c r="G11">
        <v>28</v>
      </c>
      <c r="H11">
        <v>1</v>
      </c>
      <c r="I11">
        <v>0</v>
      </c>
      <c r="J11">
        <v>0</v>
      </c>
      <c r="K11">
        <v>2</v>
      </c>
      <c r="L11">
        <v>0</v>
      </c>
      <c r="M11">
        <v>0.33333333333333298</v>
      </c>
    </row>
    <row r="12" spans="1:13">
      <c r="A12" t="s">
        <v>31</v>
      </c>
      <c r="B12">
        <v>13</v>
      </c>
      <c r="C12">
        <v>15</v>
      </c>
      <c r="D12">
        <v>0</v>
      </c>
      <c r="E12">
        <v>13</v>
      </c>
      <c r="F12">
        <v>50</v>
      </c>
      <c r="G12">
        <v>0</v>
      </c>
      <c r="H12">
        <v>166</v>
      </c>
      <c r="I12">
        <v>0</v>
      </c>
      <c r="J12">
        <v>1</v>
      </c>
      <c r="K12">
        <v>18</v>
      </c>
      <c r="L12">
        <v>0</v>
      </c>
      <c r="M12">
        <v>0.39855072463768099</v>
      </c>
    </row>
    <row r="13" spans="1:13">
      <c r="A13" t="s">
        <v>156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140</v>
      </c>
      <c r="B14">
        <v>2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55</v>
      </c>
      <c r="B15">
        <v>9</v>
      </c>
      <c r="C15">
        <v>7</v>
      </c>
      <c r="D15">
        <v>0</v>
      </c>
      <c r="E15">
        <v>7</v>
      </c>
      <c r="F15">
        <v>50</v>
      </c>
      <c r="G15">
        <v>1</v>
      </c>
      <c r="H15">
        <v>25</v>
      </c>
      <c r="I15">
        <v>0</v>
      </c>
      <c r="J15">
        <v>0</v>
      </c>
      <c r="K15">
        <v>58</v>
      </c>
      <c r="L15">
        <v>0</v>
      </c>
      <c r="M15">
        <v>0.63057324840764295</v>
      </c>
    </row>
    <row r="16" spans="1:13">
      <c r="A16" t="s">
        <v>213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6" t="s">
        <v>10</v>
      </c>
      <c r="B18" t="s">
        <v>99</v>
      </c>
      <c r="C18" t="s">
        <v>353</v>
      </c>
      <c r="D18" t="s">
        <v>44</v>
      </c>
      <c r="E18" t="s">
        <v>38</v>
      </c>
      <c r="F18" t="s">
        <v>332</v>
      </c>
      <c r="G18" t="s">
        <v>86</v>
      </c>
      <c r="H18" t="s">
        <v>214</v>
      </c>
      <c r="I18" t="s">
        <v>28</v>
      </c>
      <c r="J18" t="s">
        <v>56</v>
      </c>
      <c r="K18" t="s">
        <v>218</v>
      </c>
      <c r="L18" t="s">
        <v>141</v>
      </c>
      <c r="M18" t="s">
        <v>152</v>
      </c>
      <c r="N18" t="s">
        <v>32</v>
      </c>
      <c r="O18" t="s">
        <v>167</v>
      </c>
      <c r="P18" t="s">
        <v>233</v>
      </c>
      <c r="Q18" t="s">
        <v>66</v>
      </c>
      <c r="R18" t="s">
        <v>367</v>
      </c>
      <c r="S18" t="s">
        <v>402</v>
      </c>
      <c r="T18" t="s">
        <v>78</v>
      </c>
      <c r="U18" t="s">
        <v>83</v>
      </c>
      <c r="V18" t="s">
        <v>21</v>
      </c>
      <c r="W18" t="s">
        <v>25</v>
      </c>
      <c r="X18" t="s">
        <v>411</v>
      </c>
    </row>
    <row r="19" spans="1:24">
      <c r="A19" t="s">
        <v>99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353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4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0.91666666666666696</v>
      </c>
    </row>
    <row r="21" spans="1:24">
      <c r="A21" t="s">
        <v>44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3</v>
      </c>
      <c r="Q21">
        <v>0</v>
      </c>
      <c r="R21">
        <v>3</v>
      </c>
      <c r="S21">
        <v>0</v>
      </c>
      <c r="T21">
        <v>0</v>
      </c>
      <c r="U21">
        <v>0</v>
      </c>
      <c r="V21">
        <v>0</v>
      </c>
      <c r="W21">
        <v>0</v>
      </c>
      <c r="X21">
        <v>4.13793103448276E-2</v>
      </c>
    </row>
    <row r="22" spans="1:24">
      <c r="A22" t="s">
        <v>38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2.1276595744680899E-2</v>
      </c>
    </row>
    <row r="23" spans="1:24">
      <c r="A23" t="s">
        <v>332</v>
      </c>
      <c r="B23">
        <v>0</v>
      </c>
      <c r="C23">
        <v>1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7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>
        <v>1</v>
      </c>
      <c r="V23">
        <v>0</v>
      </c>
      <c r="W23">
        <v>0</v>
      </c>
      <c r="X23">
        <v>0.5</v>
      </c>
    </row>
    <row r="24" spans="1:24">
      <c r="A24" t="s">
        <v>86</v>
      </c>
      <c r="B24">
        <v>0</v>
      </c>
      <c r="C24">
        <v>0</v>
      </c>
      <c r="D24">
        <v>0</v>
      </c>
      <c r="E24">
        <v>0</v>
      </c>
      <c r="F24">
        <v>0</v>
      </c>
      <c r="G24">
        <v>186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5</v>
      </c>
      <c r="X24">
        <v>5.5837563451776602E-2</v>
      </c>
    </row>
    <row r="25" spans="1:24">
      <c r="A25" t="s">
        <v>214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28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16</v>
      </c>
      <c r="W26">
        <v>7</v>
      </c>
      <c r="X26">
        <v>6.1224489795918297E-2</v>
      </c>
    </row>
    <row r="27" spans="1:24">
      <c r="A27" t="s">
        <v>56</v>
      </c>
      <c r="B27">
        <v>0</v>
      </c>
      <c r="C27">
        <v>3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19</v>
      </c>
      <c r="K27">
        <v>7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4</v>
      </c>
      <c r="V27">
        <v>0</v>
      </c>
      <c r="W27">
        <v>0</v>
      </c>
      <c r="X27">
        <v>0.52500000000000002</v>
      </c>
    </row>
    <row r="28" spans="1:24">
      <c r="A28" t="s">
        <v>218</v>
      </c>
      <c r="B28">
        <v>0</v>
      </c>
      <c r="C28">
        <v>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5</v>
      </c>
      <c r="K28">
        <v>33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0.232558139534884</v>
      </c>
    </row>
    <row r="29" spans="1:24">
      <c r="A29" t="s">
        <v>141</v>
      </c>
      <c r="B29">
        <v>0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61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1.6129032258064498E-2</v>
      </c>
    </row>
    <row r="30" spans="1:24">
      <c r="A30" t="s">
        <v>152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32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167</v>
      </c>
      <c r="B32">
        <v>0</v>
      </c>
      <c r="C32">
        <v>0</v>
      </c>
      <c r="D32">
        <v>0</v>
      </c>
      <c r="E32">
        <v>24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</v>
      </c>
    </row>
    <row r="33" spans="1:51">
      <c r="A33" t="s">
        <v>233</v>
      </c>
      <c r="B33">
        <v>0</v>
      </c>
      <c r="C33">
        <v>0</v>
      </c>
      <c r="D33">
        <v>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0.30769230769230799</v>
      </c>
    </row>
    <row r="34" spans="1:51">
      <c r="A34" t="s">
        <v>66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68</v>
      </c>
      <c r="R34">
        <v>0</v>
      </c>
      <c r="S34">
        <v>0</v>
      </c>
      <c r="T34">
        <v>22</v>
      </c>
      <c r="U34">
        <v>0</v>
      </c>
      <c r="V34">
        <v>0</v>
      </c>
      <c r="W34">
        <v>0</v>
      </c>
      <c r="X34">
        <v>0.24444444444444399</v>
      </c>
    </row>
    <row r="35" spans="1:51">
      <c r="A35" t="s">
        <v>367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402</v>
      </c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9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11</v>
      </c>
      <c r="T36">
        <v>0</v>
      </c>
      <c r="U36">
        <v>1</v>
      </c>
      <c r="V36">
        <v>0</v>
      </c>
      <c r="W36">
        <v>0</v>
      </c>
      <c r="X36">
        <v>0.56000000000000005</v>
      </c>
    </row>
    <row r="37" spans="1:51">
      <c r="A37" t="s">
        <v>78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14</v>
      </c>
      <c r="R37">
        <v>0</v>
      </c>
      <c r="S37">
        <v>0</v>
      </c>
      <c r="T37">
        <v>56</v>
      </c>
      <c r="U37">
        <v>0</v>
      </c>
      <c r="V37">
        <v>0</v>
      </c>
      <c r="W37">
        <v>0</v>
      </c>
      <c r="X37">
        <v>0.2</v>
      </c>
    </row>
    <row r="38" spans="1:51">
      <c r="A38" t="s">
        <v>83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4</v>
      </c>
      <c r="K38">
        <v>3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U38">
        <v>4</v>
      </c>
      <c r="V38">
        <v>0</v>
      </c>
      <c r="W38">
        <v>0</v>
      </c>
      <c r="X38">
        <v>0.69230769230769196</v>
      </c>
    </row>
    <row r="39" spans="1:51">
      <c r="A39" t="s">
        <v>21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19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186</v>
      </c>
      <c r="W39">
        <v>2</v>
      </c>
      <c r="X39">
        <v>0.101449275362319</v>
      </c>
    </row>
    <row r="40" spans="1:51">
      <c r="A40" t="s">
        <v>25</v>
      </c>
      <c r="B40">
        <v>0</v>
      </c>
      <c r="C40">
        <v>0</v>
      </c>
      <c r="D40">
        <v>0</v>
      </c>
      <c r="E40">
        <v>0</v>
      </c>
      <c r="F40">
        <v>0</v>
      </c>
      <c r="G40">
        <v>16</v>
      </c>
      <c r="H40">
        <v>0</v>
      </c>
      <c r="I40">
        <v>4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37</v>
      </c>
      <c r="X40">
        <v>0.35087719298245601</v>
      </c>
    </row>
    <row r="42" spans="1:51">
      <c r="A42" s="8" t="s">
        <v>13</v>
      </c>
      <c r="B42" s="10" t="s">
        <v>314</v>
      </c>
      <c r="C42" s="10" t="s">
        <v>100</v>
      </c>
      <c r="D42" s="10" t="s">
        <v>153</v>
      </c>
      <c r="E42" s="10" t="s">
        <v>39</v>
      </c>
      <c r="F42" s="10" t="s">
        <v>45</v>
      </c>
      <c r="G42" s="10" t="s">
        <v>234</v>
      </c>
      <c r="H42" s="10" t="s">
        <v>248</v>
      </c>
      <c r="I42" s="10" t="s">
        <v>195</v>
      </c>
      <c r="J42" s="10" t="s">
        <v>368</v>
      </c>
      <c r="K42" s="10" t="s">
        <v>202</v>
      </c>
      <c r="L42" s="10" t="s">
        <v>60</v>
      </c>
      <c r="M42" s="10" t="s">
        <v>33</v>
      </c>
      <c r="N42" s="10" t="s">
        <v>190</v>
      </c>
      <c r="O42" s="10" t="s">
        <v>22</v>
      </c>
      <c r="P42" s="10" t="s">
        <v>339</v>
      </c>
      <c r="Q42" s="10" t="s">
        <v>226</v>
      </c>
      <c r="R42" s="10" t="s">
        <v>49</v>
      </c>
      <c r="S42" s="10" t="s">
        <v>87</v>
      </c>
      <c r="T42" s="10" t="s">
        <v>172</v>
      </c>
      <c r="U42" s="10" t="s">
        <v>89</v>
      </c>
      <c r="V42" s="10" t="s">
        <v>102</v>
      </c>
      <c r="W42" s="10" t="s">
        <v>29</v>
      </c>
      <c r="X42" s="10" t="s">
        <v>41</v>
      </c>
      <c r="Y42" s="10" t="s">
        <v>53</v>
      </c>
      <c r="Z42" s="10" t="s">
        <v>63</v>
      </c>
      <c r="AA42" s="10" t="s">
        <v>168</v>
      </c>
      <c r="AB42" s="10" t="s">
        <v>47</v>
      </c>
      <c r="AC42" s="10" t="s">
        <v>354</v>
      </c>
      <c r="AD42" s="10" t="s">
        <v>382</v>
      </c>
      <c r="AE42" s="10" t="s">
        <v>219</v>
      </c>
      <c r="AF42" s="10" t="s">
        <v>92</v>
      </c>
      <c r="AG42" s="10" t="s">
        <v>215</v>
      </c>
      <c r="AH42" s="10" t="s">
        <v>142</v>
      </c>
      <c r="AI42" s="10" t="s">
        <v>35</v>
      </c>
      <c r="AJ42" s="10" t="s">
        <v>26</v>
      </c>
      <c r="AK42" s="10" t="s">
        <v>67</v>
      </c>
      <c r="AL42" s="10" t="s">
        <v>283</v>
      </c>
      <c r="AM42" s="10" t="s">
        <v>106</v>
      </c>
      <c r="AN42" s="10" t="s">
        <v>57</v>
      </c>
      <c r="AO42" s="10" t="s">
        <v>412</v>
      </c>
      <c r="AP42" s="10" t="s">
        <v>403</v>
      </c>
      <c r="AQ42" s="10" t="s">
        <v>161</v>
      </c>
      <c r="AR42" s="10" t="s">
        <v>182</v>
      </c>
      <c r="AS42" s="10" t="s">
        <v>79</v>
      </c>
      <c r="AT42" s="10" t="s">
        <v>333</v>
      </c>
      <c r="AU42" s="10" t="s">
        <v>222</v>
      </c>
      <c r="AV42" s="10" t="s">
        <v>84</v>
      </c>
      <c r="AW42" s="10" t="s">
        <v>110</v>
      </c>
      <c r="AX42" s="10" t="s">
        <v>257</v>
      </c>
      <c r="AY42" s="10" t="s">
        <v>411</v>
      </c>
    </row>
    <row r="43" spans="1:51">
      <c r="A43" s="10" t="s">
        <v>314</v>
      </c>
      <c r="B43" s="10">
        <v>3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9</v>
      </c>
      <c r="N43" s="10">
        <v>1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0</v>
      </c>
      <c r="AO43" s="10">
        <v>0</v>
      </c>
      <c r="AP43" s="10">
        <v>0</v>
      </c>
      <c r="AQ43" s="10">
        <v>0</v>
      </c>
      <c r="AR43" s="10">
        <v>0</v>
      </c>
      <c r="AS43" s="10">
        <v>0</v>
      </c>
      <c r="AT43" s="10">
        <v>0</v>
      </c>
      <c r="AU43" s="10">
        <v>0</v>
      </c>
      <c r="AV43" s="10">
        <v>0</v>
      </c>
      <c r="AW43" s="10">
        <v>0</v>
      </c>
      <c r="AX43" s="10">
        <v>0</v>
      </c>
      <c r="AY43" s="10">
        <v>0.76923076923076905</v>
      </c>
    </row>
    <row r="44" spans="1:51">
      <c r="A44" s="10" t="s">
        <v>100</v>
      </c>
      <c r="B44" s="10">
        <v>0</v>
      </c>
      <c r="C44" s="10">
        <v>51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v>0</v>
      </c>
      <c r="AA44" s="10">
        <v>0</v>
      </c>
      <c r="AB44" s="10">
        <v>0</v>
      </c>
      <c r="AC44" s="10">
        <v>0</v>
      </c>
      <c r="AD44" s="10">
        <v>0</v>
      </c>
      <c r="AE44" s="10">
        <v>0</v>
      </c>
      <c r="AF44" s="10">
        <v>0</v>
      </c>
      <c r="AG44" s="10">
        <v>0</v>
      </c>
      <c r="AH44" s="10">
        <v>0</v>
      </c>
      <c r="AI44" s="10">
        <v>0</v>
      </c>
      <c r="AJ44" s="10">
        <v>0</v>
      </c>
      <c r="AK44" s="10">
        <v>0</v>
      </c>
      <c r="AL44" s="10">
        <v>0</v>
      </c>
      <c r="AM44" s="10">
        <v>0</v>
      </c>
      <c r="AN44" s="10">
        <v>0</v>
      </c>
      <c r="AO44" s="10">
        <v>0</v>
      </c>
      <c r="AP44" s="10">
        <v>0</v>
      </c>
      <c r="AQ44" s="10">
        <v>0</v>
      </c>
      <c r="AR44" s="10">
        <v>0</v>
      </c>
      <c r="AS44" s="10">
        <v>0</v>
      </c>
      <c r="AT44" s="10">
        <v>0</v>
      </c>
      <c r="AU44" s="10">
        <v>0</v>
      </c>
      <c r="AV44" s="10">
        <v>0</v>
      </c>
      <c r="AW44" s="10">
        <v>0</v>
      </c>
      <c r="AX44" s="10">
        <v>0</v>
      </c>
      <c r="AY44" s="10">
        <v>0</v>
      </c>
    </row>
    <row r="45" spans="1:51">
      <c r="A45" s="10" t="s">
        <v>153</v>
      </c>
      <c r="B45" s="10">
        <v>0</v>
      </c>
      <c r="C45" s="10">
        <v>0</v>
      </c>
      <c r="D45" s="10">
        <v>15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>
        <v>0</v>
      </c>
      <c r="AS45" s="10">
        <v>0</v>
      </c>
      <c r="AT45" s="10">
        <v>0</v>
      </c>
      <c r="AU45" s="10">
        <v>4</v>
      </c>
      <c r="AV45" s="10">
        <v>0</v>
      </c>
      <c r="AW45" s="10">
        <v>0</v>
      </c>
      <c r="AX45" s="10">
        <v>0</v>
      </c>
      <c r="AY45" s="10">
        <v>0.21052631578947401</v>
      </c>
    </row>
    <row r="46" spans="1:51">
      <c r="A46" s="10" t="s">
        <v>39</v>
      </c>
      <c r="B46" s="10">
        <v>0</v>
      </c>
      <c r="C46" s="10">
        <v>0</v>
      </c>
      <c r="D46" s="10">
        <v>0</v>
      </c>
      <c r="E46" s="10">
        <v>503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10">
        <v>0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Q46" s="10">
        <v>0</v>
      </c>
      <c r="AR46" s="10">
        <v>0</v>
      </c>
      <c r="AS46" s="10">
        <v>0</v>
      </c>
      <c r="AT46" s="10">
        <v>0</v>
      </c>
      <c r="AU46" s="10">
        <v>0</v>
      </c>
      <c r="AV46" s="10">
        <v>0</v>
      </c>
      <c r="AW46" s="10">
        <v>2</v>
      </c>
      <c r="AX46" s="10">
        <v>0</v>
      </c>
      <c r="AY46" s="10">
        <v>3.9603960396039596E-3</v>
      </c>
    </row>
    <row r="47" spans="1:51">
      <c r="A47" s="10" t="s">
        <v>45</v>
      </c>
      <c r="B47" s="10">
        <v>0</v>
      </c>
      <c r="C47" s="10">
        <v>0</v>
      </c>
      <c r="D47" s="10">
        <v>0</v>
      </c>
      <c r="E47" s="10">
        <v>0</v>
      </c>
      <c r="F47" s="10">
        <v>9</v>
      </c>
      <c r="G47" s="10">
        <v>0</v>
      </c>
      <c r="H47" s="10">
        <v>2</v>
      </c>
      <c r="I47" s="10">
        <v>1</v>
      </c>
      <c r="J47" s="10">
        <v>0</v>
      </c>
      <c r="K47" s="10">
        <v>0</v>
      </c>
      <c r="L47" s="10">
        <v>2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10">
        <v>0</v>
      </c>
      <c r="AA47" s="10">
        <v>0</v>
      </c>
      <c r="AB47" s="10">
        <v>0</v>
      </c>
      <c r="AC47" s="10">
        <v>0</v>
      </c>
      <c r="AD47" s="10">
        <v>0</v>
      </c>
      <c r="AE47" s="10">
        <v>0</v>
      </c>
      <c r="AF47" s="10">
        <v>0</v>
      </c>
      <c r="AG47" s="10">
        <v>0</v>
      </c>
      <c r="AH47" s="10">
        <v>0</v>
      </c>
      <c r="AI47" s="10">
        <v>0</v>
      </c>
      <c r="AJ47" s="10">
        <v>0</v>
      </c>
      <c r="AK47" s="10">
        <v>0</v>
      </c>
      <c r="AL47" s="10">
        <v>0</v>
      </c>
      <c r="AM47" s="10">
        <v>0</v>
      </c>
      <c r="AN47" s="10">
        <v>0</v>
      </c>
      <c r="AO47" s="10">
        <v>0</v>
      </c>
      <c r="AP47" s="10">
        <v>0</v>
      </c>
      <c r="AQ47" s="10">
        <v>0</v>
      </c>
      <c r="AR47" s="10">
        <v>0</v>
      </c>
      <c r="AS47" s="10">
        <v>0</v>
      </c>
      <c r="AT47" s="10">
        <v>0</v>
      </c>
      <c r="AU47" s="10">
        <v>0</v>
      </c>
      <c r="AV47" s="10">
        <v>0</v>
      </c>
      <c r="AW47" s="10">
        <v>0</v>
      </c>
      <c r="AX47" s="10">
        <v>0</v>
      </c>
      <c r="AY47" s="10">
        <v>0.35714285714285698</v>
      </c>
    </row>
    <row r="48" spans="1:51">
      <c r="A48" s="10" t="s">
        <v>234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13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0">
        <v>0</v>
      </c>
      <c r="AG48" s="10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0">
        <v>0</v>
      </c>
      <c r="AR48" s="10">
        <v>0</v>
      </c>
      <c r="AS48" s="10">
        <v>0</v>
      </c>
      <c r="AT48" s="10">
        <v>0</v>
      </c>
      <c r="AU48" s="10">
        <v>0</v>
      </c>
      <c r="AV48" s="10">
        <v>0</v>
      </c>
      <c r="AW48" s="10">
        <v>0</v>
      </c>
      <c r="AX48" s="10">
        <v>0</v>
      </c>
      <c r="AY48" s="10">
        <v>0</v>
      </c>
    </row>
    <row r="49" spans="1:51">
      <c r="A49" s="10" t="s">
        <v>248</v>
      </c>
      <c r="B49" s="10">
        <v>0</v>
      </c>
      <c r="C49" s="10">
        <v>0</v>
      </c>
      <c r="D49" s="10">
        <v>0</v>
      </c>
      <c r="E49" s="10">
        <v>0</v>
      </c>
      <c r="F49" s="10">
        <v>2</v>
      </c>
      <c r="G49" s="10">
        <v>0</v>
      </c>
      <c r="H49" s="10">
        <v>13</v>
      </c>
      <c r="I49" s="10">
        <v>5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10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 s="10">
        <v>0</v>
      </c>
      <c r="AA49" s="10">
        <v>0</v>
      </c>
      <c r="AB49" s="10">
        <v>0</v>
      </c>
      <c r="AC49" s="10">
        <v>0</v>
      </c>
      <c r="AD49" s="10">
        <v>0</v>
      </c>
      <c r="AE49" s="10">
        <v>0</v>
      </c>
      <c r="AF49" s="10">
        <v>0</v>
      </c>
      <c r="AG49" s="10">
        <v>0</v>
      </c>
      <c r="AH49" s="10">
        <v>0</v>
      </c>
      <c r="AI49" s="10">
        <v>0</v>
      </c>
      <c r="AJ49" s="10">
        <v>0</v>
      </c>
      <c r="AK49" s="10">
        <v>0</v>
      </c>
      <c r="AL49" s="10">
        <v>0</v>
      </c>
      <c r="AM49" s="10">
        <v>0</v>
      </c>
      <c r="AN49" s="10">
        <v>0</v>
      </c>
      <c r="AO49" s="10">
        <v>0</v>
      </c>
      <c r="AP49" s="10">
        <v>0</v>
      </c>
      <c r="AQ49" s="10">
        <v>0</v>
      </c>
      <c r="AR49" s="10">
        <v>0</v>
      </c>
      <c r="AS49" s="10">
        <v>0</v>
      </c>
      <c r="AT49" s="10">
        <v>0</v>
      </c>
      <c r="AU49" s="10">
        <v>0</v>
      </c>
      <c r="AV49" s="10">
        <v>0</v>
      </c>
      <c r="AW49" s="10">
        <v>0</v>
      </c>
      <c r="AX49" s="10">
        <v>0</v>
      </c>
      <c r="AY49" s="10">
        <v>0.35</v>
      </c>
    </row>
    <row r="50" spans="1:51">
      <c r="A50" s="10" t="s">
        <v>195</v>
      </c>
      <c r="B50" s="10">
        <v>0</v>
      </c>
      <c r="C50" s="10">
        <v>0</v>
      </c>
      <c r="D50" s="10">
        <v>0</v>
      </c>
      <c r="E50" s="10">
        <v>0</v>
      </c>
      <c r="F50" s="10">
        <v>1</v>
      </c>
      <c r="G50" s="10">
        <v>0</v>
      </c>
      <c r="H50" s="10">
        <v>2</v>
      </c>
      <c r="I50" s="10">
        <v>31</v>
      </c>
      <c r="J50" s="10">
        <v>0</v>
      </c>
      <c r="K50" s="10">
        <v>0</v>
      </c>
      <c r="L50" s="10">
        <v>2</v>
      </c>
      <c r="M50" s="10">
        <v>0</v>
      </c>
      <c r="N50" s="10">
        <v>0</v>
      </c>
      <c r="O50" s="10">
        <v>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 s="10">
        <v>0</v>
      </c>
      <c r="AA50" s="10">
        <v>0</v>
      </c>
      <c r="AB50" s="10">
        <v>0</v>
      </c>
      <c r="AC50" s="10">
        <v>0</v>
      </c>
      <c r="AD50" s="10">
        <v>0</v>
      </c>
      <c r="AE50" s="10">
        <v>0</v>
      </c>
      <c r="AF50" s="10">
        <v>0</v>
      </c>
      <c r="AG50" s="10">
        <v>0</v>
      </c>
      <c r="AH50" s="10">
        <v>0</v>
      </c>
      <c r="AI50" s="10">
        <v>0</v>
      </c>
      <c r="AJ50" s="10">
        <v>0</v>
      </c>
      <c r="AK50" s="10">
        <v>0</v>
      </c>
      <c r="AL50" s="10">
        <v>0</v>
      </c>
      <c r="AM50" s="10">
        <v>0</v>
      </c>
      <c r="AN50" s="10">
        <v>0</v>
      </c>
      <c r="AO50" s="10">
        <v>0</v>
      </c>
      <c r="AP50" s="10">
        <v>0</v>
      </c>
      <c r="AQ50" s="10">
        <v>0</v>
      </c>
      <c r="AR50" s="10">
        <v>0</v>
      </c>
      <c r="AS50" s="10">
        <v>0</v>
      </c>
      <c r="AT50" s="10">
        <v>0</v>
      </c>
      <c r="AU50" s="10">
        <v>0</v>
      </c>
      <c r="AV50" s="10">
        <v>0</v>
      </c>
      <c r="AW50" s="10">
        <v>0</v>
      </c>
      <c r="AX50" s="10">
        <v>0</v>
      </c>
      <c r="AY50" s="10">
        <v>0.13888888888888901</v>
      </c>
    </row>
    <row r="51" spans="1:51">
      <c r="A51" s="10" t="s">
        <v>368</v>
      </c>
      <c r="B51" s="10">
        <v>0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10</v>
      </c>
      <c r="K51" s="10">
        <v>0</v>
      </c>
      <c r="L51" s="10">
        <v>0</v>
      </c>
      <c r="M51" s="10">
        <v>0</v>
      </c>
      <c r="N51" s="10">
        <v>0</v>
      </c>
      <c r="O51" s="10">
        <v>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  <c r="AD51" s="10">
        <v>0</v>
      </c>
      <c r="AE51" s="10">
        <v>0</v>
      </c>
      <c r="AF51" s="10">
        <v>0</v>
      </c>
      <c r="AG51" s="10">
        <v>0</v>
      </c>
      <c r="AH51" s="10">
        <v>0</v>
      </c>
      <c r="AI51" s="10">
        <v>0</v>
      </c>
      <c r="AJ51" s="10">
        <v>0</v>
      </c>
      <c r="AK51" s="10">
        <v>0</v>
      </c>
      <c r="AL51" s="10">
        <v>0</v>
      </c>
      <c r="AM51" s="10">
        <v>0</v>
      </c>
      <c r="AN51" s="10">
        <v>0</v>
      </c>
      <c r="AO51" s="10">
        <v>0</v>
      </c>
      <c r="AP51" s="10">
        <v>0</v>
      </c>
      <c r="AQ51" s="10">
        <v>0</v>
      </c>
      <c r="AR51" s="10">
        <v>0</v>
      </c>
      <c r="AS51" s="10">
        <v>0</v>
      </c>
      <c r="AT51" s="10">
        <v>0</v>
      </c>
      <c r="AU51" s="10">
        <v>0</v>
      </c>
      <c r="AV51" s="10">
        <v>0</v>
      </c>
      <c r="AW51" s="10">
        <v>0</v>
      </c>
      <c r="AX51" s="10">
        <v>0</v>
      </c>
      <c r="AY51" s="10">
        <v>0</v>
      </c>
    </row>
    <row r="52" spans="1:51">
      <c r="A52" s="10" t="s">
        <v>202</v>
      </c>
      <c r="B52" s="10">
        <v>0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21</v>
      </c>
      <c r="L52" s="10">
        <v>0</v>
      </c>
      <c r="M52" s="10">
        <v>0</v>
      </c>
      <c r="N52" s="10">
        <v>0</v>
      </c>
      <c r="O52" s="10">
        <v>0</v>
      </c>
      <c r="P52" s="10">
        <v>0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  <c r="Z52" s="10">
        <v>0</v>
      </c>
      <c r="AA52" s="10">
        <v>0</v>
      </c>
      <c r="AB52" s="10">
        <v>2</v>
      </c>
      <c r="AC52" s="10">
        <v>0</v>
      </c>
      <c r="AD52" s="10">
        <v>0</v>
      </c>
      <c r="AE52" s="10">
        <v>0</v>
      </c>
      <c r="AF52" s="10">
        <v>0</v>
      </c>
      <c r="AG52" s="10">
        <v>0</v>
      </c>
      <c r="AH52" s="10">
        <v>0</v>
      </c>
      <c r="AI52" s="10">
        <v>0</v>
      </c>
      <c r="AJ52" s="10">
        <v>0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Q52" s="10">
        <v>0</v>
      </c>
      <c r="AR52" s="10">
        <v>0</v>
      </c>
      <c r="AS52" s="10">
        <v>0</v>
      </c>
      <c r="AT52" s="10">
        <v>0</v>
      </c>
      <c r="AU52" s="10">
        <v>0</v>
      </c>
      <c r="AV52" s="10">
        <v>0</v>
      </c>
      <c r="AW52" s="10">
        <v>0</v>
      </c>
      <c r="AX52" s="10">
        <v>0</v>
      </c>
      <c r="AY52" s="10">
        <v>8.6956521739130502E-2</v>
      </c>
    </row>
    <row r="53" spans="1:51">
      <c r="A53" s="10" t="s">
        <v>60</v>
      </c>
      <c r="B53" s="10">
        <v>0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44</v>
      </c>
      <c r="M53" s="10">
        <v>0</v>
      </c>
      <c r="N53" s="10">
        <v>0</v>
      </c>
      <c r="O53" s="10">
        <v>0</v>
      </c>
      <c r="P53" s="10">
        <v>0</v>
      </c>
      <c r="Q53" s="10">
        <v>0</v>
      </c>
      <c r="R53" s="10">
        <v>1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10">
        <v>0</v>
      </c>
      <c r="AA53" s="10">
        <v>0</v>
      </c>
      <c r="AB53" s="10">
        <v>0</v>
      </c>
      <c r="AC53" s="10">
        <v>0</v>
      </c>
      <c r="AD53" s="10">
        <v>0</v>
      </c>
      <c r="AE53" s="10">
        <v>0</v>
      </c>
      <c r="AF53" s="10">
        <v>0</v>
      </c>
      <c r="AG53" s="10">
        <v>0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N53" s="10">
        <v>0</v>
      </c>
      <c r="AO53" s="10">
        <v>0</v>
      </c>
      <c r="AP53" s="10">
        <v>0</v>
      </c>
      <c r="AQ53" s="10">
        <v>0</v>
      </c>
      <c r="AR53" s="10">
        <v>0</v>
      </c>
      <c r="AS53" s="10">
        <v>0</v>
      </c>
      <c r="AT53" s="10">
        <v>0</v>
      </c>
      <c r="AU53" s="10">
        <v>0</v>
      </c>
      <c r="AV53" s="10">
        <v>0</v>
      </c>
      <c r="AW53" s="10">
        <v>0</v>
      </c>
      <c r="AX53" s="10">
        <v>0</v>
      </c>
      <c r="AY53" s="10">
        <v>2.2222222222222299E-2</v>
      </c>
    </row>
    <row r="54" spans="1:51">
      <c r="A54" s="10" t="s">
        <v>33</v>
      </c>
      <c r="B54" s="10">
        <v>2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246</v>
      </c>
      <c r="N54" s="10">
        <v>3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>
        <v>0</v>
      </c>
      <c r="AE54" s="10">
        <v>0</v>
      </c>
      <c r="AF54" s="10">
        <v>0</v>
      </c>
      <c r="AG54" s="10">
        <v>0</v>
      </c>
      <c r="AH54" s="10">
        <v>0</v>
      </c>
      <c r="AI54" s="10">
        <v>0</v>
      </c>
      <c r="AJ54" s="10">
        <v>0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Q54" s="10">
        <v>0</v>
      </c>
      <c r="AR54" s="10">
        <v>0</v>
      </c>
      <c r="AS54" s="10">
        <v>0</v>
      </c>
      <c r="AT54" s="10">
        <v>0</v>
      </c>
      <c r="AU54" s="10">
        <v>0</v>
      </c>
      <c r="AV54" s="10">
        <v>0</v>
      </c>
      <c r="AW54" s="10">
        <v>0</v>
      </c>
      <c r="AX54" s="10">
        <v>0</v>
      </c>
      <c r="AY54" s="10">
        <v>1.9920318725099601E-2</v>
      </c>
    </row>
    <row r="55" spans="1:51">
      <c r="A55" s="10" t="s">
        <v>190</v>
      </c>
      <c r="B55" s="10">
        <v>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6</v>
      </c>
      <c r="N55" s="10">
        <v>4</v>
      </c>
      <c r="O55" s="10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  <c r="AD55" s="10">
        <v>0</v>
      </c>
      <c r="AE55" s="10">
        <v>0</v>
      </c>
      <c r="AF55" s="10">
        <v>0</v>
      </c>
      <c r="AG55" s="10">
        <v>0</v>
      </c>
      <c r="AH55" s="10">
        <v>0</v>
      </c>
      <c r="AI55" s="10">
        <v>0</v>
      </c>
      <c r="AJ55" s="10">
        <v>0</v>
      </c>
      <c r="AK55" s="10">
        <v>0</v>
      </c>
      <c r="AL55" s="10">
        <v>0</v>
      </c>
      <c r="AM55" s="10">
        <v>0</v>
      </c>
      <c r="AN55" s="10">
        <v>0</v>
      </c>
      <c r="AO55" s="10">
        <v>0</v>
      </c>
      <c r="AP55" s="10">
        <v>0</v>
      </c>
      <c r="AQ55" s="10">
        <v>0</v>
      </c>
      <c r="AR55" s="10">
        <v>0</v>
      </c>
      <c r="AS55" s="10">
        <v>0</v>
      </c>
      <c r="AT55" s="10">
        <v>0</v>
      </c>
      <c r="AU55" s="10">
        <v>0</v>
      </c>
      <c r="AV55" s="10">
        <v>0</v>
      </c>
      <c r="AW55" s="10">
        <v>0</v>
      </c>
      <c r="AX55" s="10">
        <v>0</v>
      </c>
      <c r="AY55" s="10">
        <v>0.66666666666666696</v>
      </c>
    </row>
    <row r="56" spans="1:51">
      <c r="A56" s="10" t="s">
        <v>22</v>
      </c>
      <c r="B56" s="10">
        <v>0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29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10">
        <v>1</v>
      </c>
      <c r="AA56" s="10">
        <v>0</v>
      </c>
      <c r="AB56" s="10">
        <v>0</v>
      </c>
      <c r="AC56" s="10">
        <v>0</v>
      </c>
      <c r="AD56" s="10">
        <v>0</v>
      </c>
      <c r="AE56" s="10">
        <v>0</v>
      </c>
      <c r="AF56" s="10">
        <v>0</v>
      </c>
      <c r="AG56" s="10">
        <v>0</v>
      </c>
      <c r="AH56" s="10">
        <v>0</v>
      </c>
      <c r="AI56" s="10">
        <v>0</v>
      </c>
      <c r="AJ56" s="10">
        <v>0</v>
      </c>
      <c r="AK56" s="10">
        <v>0</v>
      </c>
      <c r="AL56" s="10">
        <v>0</v>
      </c>
      <c r="AM56" s="10">
        <v>0</v>
      </c>
      <c r="AN56" s="10">
        <v>0</v>
      </c>
      <c r="AO56" s="10">
        <v>0</v>
      </c>
      <c r="AP56" s="10">
        <v>0</v>
      </c>
      <c r="AQ56" s="10">
        <v>0</v>
      </c>
      <c r="AR56" s="10">
        <v>0</v>
      </c>
      <c r="AS56" s="10">
        <v>0</v>
      </c>
      <c r="AT56" s="10">
        <v>0</v>
      </c>
      <c r="AU56" s="10">
        <v>0</v>
      </c>
      <c r="AV56" s="10">
        <v>0</v>
      </c>
      <c r="AW56" s="10">
        <v>0</v>
      </c>
      <c r="AX56" s="10">
        <v>0</v>
      </c>
      <c r="AY56" s="10">
        <v>3.3333333333333298E-2</v>
      </c>
    </row>
    <row r="57" spans="1:51">
      <c r="A57" s="10" t="s">
        <v>339</v>
      </c>
      <c r="B57" s="10">
        <v>0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10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 s="10">
        <v>0</v>
      </c>
      <c r="AA57" s="10">
        <v>0</v>
      </c>
      <c r="AB57" s="10">
        <v>0</v>
      </c>
      <c r="AC57" s="10">
        <v>0</v>
      </c>
      <c r="AD57" s="10">
        <v>0</v>
      </c>
      <c r="AE57" s="10">
        <v>0</v>
      </c>
      <c r="AF57" s="10">
        <v>0</v>
      </c>
      <c r="AG57" s="10">
        <v>0</v>
      </c>
      <c r="AH57" s="10">
        <v>0</v>
      </c>
      <c r="AI57" s="10">
        <v>0</v>
      </c>
      <c r="AJ57" s="10">
        <v>0</v>
      </c>
      <c r="AK57" s="10">
        <v>0</v>
      </c>
      <c r="AL57" s="10">
        <v>0</v>
      </c>
      <c r="AM57" s="10">
        <v>4</v>
      </c>
      <c r="AN57" s="10">
        <v>0</v>
      </c>
      <c r="AO57" s="10">
        <v>0</v>
      </c>
      <c r="AP57" s="10">
        <v>0</v>
      </c>
      <c r="AQ57" s="10">
        <v>0</v>
      </c>
      <c r="AR57" s="10">
        <v>0</v>
      </c>
      <c r="AS57" s="10">
        <v>0</v>
      </c>
      <c r="AT57" s="10">
        <v>0</v>
      </c>
      <c r="AU57" s="10">
        <v>0</v>
      </c>
      <c r="AV57" s="10">
        <v>0</v>
      </c>
      <c r="AW57" s="10">
        <v>0</v>
      </c>
      <c r="AX57" s="10">
        <v>0</v>
      </c>
      <c r="AY57" s="10">
        <v>0.28571428571428598</v>
      </c>
    </row>
    <row r="58" spans="1:51">
      <c r="A58" s="10" t="s">
        <v>226</v>
      </c>
      <c r="B58" s="10">
        <v>0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44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10">
        <v>0</v>
      </c>
      <c r="AA58" s="10">
        <v>1</v>
      </c>
      <c r="AB58" s="10">
        <v>0</v>
      </c>
      <c r="AC58" s="10">
        <v>0</v>
      </c>
      <c r="AD58" s="10">
        <v>0</v>
      </c>
      <c r="AE58" s="10">
        <v>0</v>
      </c>
      <c r="AF58" s="10">
        <v>0</v>
      </c>
      <c r="AG58" s="10">
        <v>0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N58" s="10">
        <v>0</v>
      </c>
      <c r="AO58" s="10">
        <v>0</v>
      </c>
      <c r="AP58" s="10">
        <v>0</v>
      </c>
      <c r="AQ58" s="10">
        <v>0</v>
      </c>
      <c r="AR58" s="10">
        <v>0</v>
      </c>
      <c r="AS58" s="10">
        <v>0</v>
      </c>
      <c r="AT58" s="10">
        <v>0</v>
      </c>
      <c r="AU58" s="10">
        <v>0</v>
      </c>
      <c r="AV58" s="10">
        <v>0</v>
      </c>
      <c r="AW58" s="10">
        <v>0</v>
      </c>
      <c r="AX58" s="10">
        <v>0</v>
      </c>
      <c r="AY58" s="10">
        <v>2.2222222222222299E-2</v>
      </c>
    </row>
    <row r="59" spans="1:51">
      <c r="A59" s="10" t="s">
        <v>49</v>
      </c>
      <c r="B59" s="10">
        <v>0</v>
      </c>
      <c r="C59" s="10">
        <v>0</v>
      </c>
      <c r="D59" s="10">
        <v>0</v>
      </c>
      <c r="E59" s="10">
        <v>0</v>
      </c>
      <c r="F59" s="10">
        <v>1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1</v>
      </c>
      <c r="M59" s="10">
        <v>0</v>
      </c>
      <c r="N59" s="10">
        <v>0</v>
      </c>
      <c r="O59" s="10">
        <v>0</v>
      </c>
      <c r="P59" s="10">
        <v>0</v>
      </c>
      <c r="Q59" s="10">
        <v>0</v>
      </c>
      <c r="R59" s="10">
        <v>28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10">
        <v>0</v>
      </c>
      <c r="AA59" s="10">
        <v>0</v>
      </c>
      <c r="AB59" s="10">
        <v>0</v>
      </c>
      <c r="AC59" s="10">
        <v>0</v>
      </c>
      <c r="AD59" s="10">
        <v>0</v>
      </c>
      <c r="AE59" s="10">
        <v>0</v>
      </c>
      <c r="AF59" s="10">
        <v>0</v>
      </c>
      <c r="AG59" s="10">
        <v>0</v>
      </c>
      <c r="AH59" s="10">
        <v>0</v>
      </c>
      <c r="AI59" s="10">
        <v>0</v>
      </c>
      <c r="AJ59" s="10">
        <v>0</v>
      </c>
      <c r="AK59" s="10">
        <v>0</v>
      </c>
      <c r="AL59" s="10">
        <v>0</v>
      </c>
      <c r="AM59" s="10">
        <v>0</v>
      </c>
      <c r="AN59" s="10">
        <v>0</v>
      </c>
      <c r="AO59" s="10">
        <v>0</v>
      </c>
      <c r="AP59" s="10">
        <v>0</v>
      </c>
      <c r="AQ59" s="10">
        <v>0</v>
      </c>
      <c r="AR59" s="10">
        <v>0</v>
      </c>
      <c r="AS59" s="10">
        <v>0</v>
      </c>
      <c r="AT59" s="10">
        <v>0</v>
      </c>
      <c r="AU59" s="10">
        <v>0</v>
      </c>
      <c r="AV59" s="10">
        <v>0</v>
      </c>
      <c r="AW59" s="10">
        <v>0</v>
      </c>
      <c r="AX59" s="10">
        <v>0</v>
      </c>
      <c r="AY59" s="10">
        <v>6.6666666666666693E-2</v>
      </c>
    </row>
    <row r="60" spans="1:51">
      <c r="A60" s="10" t="s">
        <v>87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0">
        <v>0</v>
      </c>
      <c r="Q60" s="10">
        <v>0</v>
      </c>
      <c r="R60" s="10">
        <v>0</v>
      </c>
      <c r="S60" s="10">
        <v>39</v>
      </c>
      <c r="T60" s="10">
        <v>0</v>
      </c>
      <c r="U60" s="10">
        <v>8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0">
        <v>0</v>
      </c>
      <c r="AW60" s="10">
        <v>0</v>
      </c>
      <c r="AX60" s="10">
        <v>0</v>
      </c>
      <c r="AY60" s="10">
        <v>0.170212765957447</v>
      </c>
    </row>
    <row r="61" spans="1:51">
      <c r="A61" s="10" t="s">
        <v>172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1</v>
      </c>
      <c r="T61" s="10">
        <v>7</v>
      </c>
      <c r="U61" s="10">
        <v>6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>
        <v>0</v>
      </c>
      <c r="AE61" s="10">
        <v>0</v>
      </c>
      <c r="AF61" s="10">
        <v>0</v>
      </c>
      <c r="AG61" s="10">
        <v>0</v>
      </c>
      <c r="AH61" s="10">
        <v>0</v>
      </c>
      <c r="AI61" s="10">
        <v>0</v>
      </c>
      <c r="AJ61" s="10">
        <v>0</v>
      </c>
      <c r="AK61" s="10">
        <v>0</v>
      </c>
      <c r="AL61" s="10">
        <v>0</v>
      </c>
      <c r="AM61" s="10">
        <v>0</v>
      </c>
      <c r="AN61" s="10">
        <v>0</v>
      </c>
      <c r="AO61" s="10">
        <v>0</v>
      </c>
      <c r="AP61" s="10">
        <v>0</v>
      </c>
      <c r="AQ61" s="10">
        <v>0</v>
      </c>
      <c r="AR61" s="10">
        <v>0</v>
      </c>
      <c r="AS61" s="10">
        <v>0</v>
      </c>
      <c r="AT61" s="10">
        <v>0</v>
      </c>
      <c r="AU61" s="10">
        <v>0</v>
      </c>
      <c r="AV61" s="10">
        <v>0</v>
      </c>
      <c r="AW61" s="10">
        <v>0</v>
      </c>
      <c r="AX61" s="10">
        <v>0</v>
      </c>
      <c r="AY61" s="10">
        <v>0.5</v>
      </c>
    </row>
    <row r="62" spans="1:51">
      <c r="A62" s="10" t="s">
        <v>89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6</v>
      </c>
      <c r="T62" s="10">
        <v>3</v>
      </c>
      <c r="U62" s="10">
        <v>106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2</v>
      </c>
      <c r="AG62" s="10">
        <v>0</v>
      </c>
      <c r="AH62" s="10">
        <v>0</v>
      </c>
      <c r="AI62" s="10">
        <v>0</v>
      </c>
      <c r="AJ62" s="10">
        <v>0</v>
      </c>
      <c r="AK62" s="10">
        <v>0</v>
      </c>
      <c r="AL62" s="10">
        <v>0</v>
      </c>
      <c r="AM62" s="10">
        <v>0</v>
      </c>
      <c r="AN62" s="10">
        <v>0</v>
      </c>
      <c r="AO62" s="10">
        <v>0</v>
      </c>
      <c r="AP62" s="10">
        <v>0</v>
      </c>
      <c r="AQ62" s="10">
        <v>0</v>
      </c>
      <c r="AR62" s="10">
        <v>0</v>
      </c>
      <c r="AS62" s="10">
        <v>0</v>
      </c>
      <c r="AT62" s="10">
        <v>0</v>
      </c>
      <c r="AU62" s="10">
        <v>0</v>
      </c>
      <c r="AV62" s="10">
        <v>0</v>
      </c>
      <c r="AW62" s="10">
        <v>0</v>
      </c>
      <c r="AX62" s="10">
        <v>0</v>
      </c>
      <c r="AY62" s="10">
        <v>9.4017094017094002E-2</v>
      </c>
    </row>
    <row r="63" spans="1:51">
      <c r="A63" s="10" t="s">
        <v>102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15</v>
      </c>
      <c r="W63" s="10">
        <v>0</v>
      </c>
      <c r="X63" s="10">
        <v>11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0</v>
      </c>
      <c r="AF63" s="10">
        <v>0</v>
      </c>
      <c r="AG63" s="10">
        <v>0</v>
      </c>
      <c r="AH63" s="10">
        <v>0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10">
        <v>0</v>
      </c>
      <c r="AQ63" s="10">
        <v>0</v>
      </c>
      <c r="AR63" s="10">
        <v>0</v>
      </c>
      <c r="AS63" s="10">
        <v>0</v>
      </c>
      <c r="AT63" s="10">
        <v>0</v>
      </c>
      <c r="AU63" s="10">
        <v>0</v>
      </c>
      <c r="AV63" s="10">
        <v>0</v>
      </c>
      <c r="AW63" s="10">
        <v>0</v>
      </c>
      <c r="AX63" s="10">
        <v>0</v>
      </c>
      <c r="AY63" s="10">
        <v>0.42307692307692302</v>
      </c>
    </row>
    <row r="64" spans="1:51">
      <c r="A64" s="10" t="s">
        <v>29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104</v>
      </c>
      <c r="X64" s="10">
        <v>31</v>
      </c>
      <c r="Y64" s="10">
        <v>5</v>
      </c>
      <c r="Z64" s="10">
        <v>0</v>
      </c>
      <c r="AA64" s="10">
        <v>0</v>
      </c>
      <c r="AB64" s="10">
        <v>0</v>
      </c>
      <c r="AC64" s="10">
        <v>0</v>
      </c>
      <c r="AD64" s="10">
        <v>0</v>
      </c>
      <c r="AE64" s="10">
        <v>0</v>
      </c>
      <c r="AF64" s="10">
        <v>0</v>
      </c>
      <c r="AG64" s="10">
        <v>0</v>
      </c>
      <c r="AH64" s="10">
        <v>0</v>
      </c>
      <c r="AI64" s="10">
        <v>0</v>
      </c>
      <c r="AJ64" s="10">
        <v>0</v>
      </c>
      <c r="AK64" s="10">
        <v>0</v>
      </c>
      <c r="AL64" s="10">
        <v>0</v>
      </c>
      <c r="AM64" s="10">
        <v>0</v>
      </c>
      <c r="AN64" s="10">
        <v>0</v>
      </c>
      <c r="AO64" s="10">
        <v>0</v>
      </c>
      <c r="AP64" s="10">
        <v>0</v>
      </c>
      <c r="AQ64" s="10">
        <v>0</v>
      </c>
      <c r="AR64" s="10">
        <v>0</v>
      </c>
      <c r="AS64" s="10">
        <v>0</v>
      </c>
      <c r="AT64" s="10">
        <v>0</v>
      </c>
      <c r="AU64" s="10">
        <v>0</v>
      </c>
      <c r="AV64" s="10">
        <v>0</v>
      </c>
      <c r="AW64" s="10">
        <v>0</v>
      </c>
      <c r="AX64" s="10">
        <v>0</v>
      </c>
      <c r="AY64" s="10">
        <v>0.25714285714285701</v>
      </c>
    </row>
    <row r="65" spans="1:51">
      <c r="A65" s="10" t="s">
        <v>41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4</v>
      </c>
      <c r="W65" s="10">
        <v>38</v>
      </c>
      <c r="X65" s="10">
        <v>91</v>
      </c>
      <c r="Y65" s="10">
        <v>11</v>
      </c>
      <c r="Z65" s="10">
        <v>0</v>
      </c>
      <c r="AA65" s="10">
        <v>0</v>
      </c>
      <c r="AB65" s="10">
        <v>0</v>
      </c>
      <c r="AC65" s="10">
        <v>0</v>
      </c>
      <c r="AD65" s="10">
        <v>0</v>
      </c>
      <c r="AE65" s="10">
        <v>0</v>
      </c>
      <c r="AF65" s="10">
        <v>0</v>
      </c>
      <c r="AG65" s="10">
        <v>0</v>
      </c>
      <c r="AH65" s="10">
        <v>0</v>
      </c>
      <c r="AI65" s="10">
        <v>0</v>
      </c>
      <c r="AJ65" s="10">
        <v>0</v>
      </c>
      <c r="AK65" s="10">
        <v>0</v>
      </c>
      <c r="AL65" s="10">
        <v>0</v>
      </c>
      <c r="AM65" s="10">
        <v>0</v>
      </c>
      <c r="AN65" s="10">
        <v>0</v>
      </c>
      <c r="AO65" s="10">
        <v>0</v>
      </c>
      <c r="AP65" s="10">
        <v>0</v>
      </c>
      <c r="AQ65" s="10">
        <v>0</v>
      </c>
      <c r="AR65" s="10">
        <v>0</v>
      </c>
      <c r="AS65" s="10">
        <v>0</v>
      </c>
      <c r="AT65" s="10">
        <v>0</v>
      </c>
      <c r="AU65" s="10">
        <v>0</v>
      </c>
      <c r="AV65" s="10">
        <v>0</v>
      </c>
      <c r="AW65" s="10">
        <v>0</v>
      </c>
      <c r="AX65" s="10">
        <v>0</v>
      </c>
      <c r="AY65" s="10">
        <v>0.36805555555555602</v>
      </c>
    </row>
    <row r="66" spans="1:51">
      <c r="A66" s="10" t="s">
        <v>53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7</v>
      </c>
      <c r="X66" s="10">
        <v>10</v>
      </c>
      <c r="Y66" s="10">
        <v>65</v>
      </c>
      <c r="Z66" s="10">
        <v>0</v>
      </c>
      <c r="AA66" s="10">
        <v>0</v>
      </c>
      <c r="AB66" s="10">
        <v>0</v>
      </c>
      <c r="AC66" s="10">
        <v>0</v>
      </c>
      <c r="AD66" s="10">
        <v>0</v>
      </c>
      <c r="AE66" s="10">
        <v>0</v>
      </c>
      <c r="AF66" s="10">
        <v>0</v>
      </c>
      <c r="AG66" s="10">
        <v>0</v>
      </c>
      <c r="AH66" s="10">
        <v>0</v>
      </c>
      <c r="AI66" s="10">
        <v>0</v>
      </c>
      <c r="AJ66" s="10">
        <v>0</v>
      </c>
      <c r="AK66" s="10">
        <v>0</v>
      </c>
      <c r="AL66" s="10">
        <v>0</v>
      </c>
      <c r="AM66" s="10">
        <v>0</v>
      </c>
      <c r="AN66" s="10">
        <v>0</v>
      </c>
      <c r="AO66" s="10">
        <v>0</v>
      </c>
      <c r="AP66" s="10">
        <v>0</v>
      </c>
      <c r="AQ66" s="10">
        <v>0</v>
      </c>
      <c r="AR66" s="10">
        <v>0</v>
      </c>
      <c r="AS66" s="10">
        <v>0</v>
      </c>
      <c r="AT66" s="10">
        <v>0</v>
      </c>
      <c r="AU66" s="10">
        <v>0</v>
      </c>
      <c r="AV66" s="10">
        <v>0</v>
      </c>
      <c r="AW66" s="10">
        <v>0</v>
      </c>
      <c r="AX66" s="10">
        <v>0</v>
      </c>
      <c r="AY66" s="10">
        <v>0.207317073170732</v>
      </c>
    </row>
    <row r="67" spans="1:51">
      <c r="A67" s="10" t="s">
        <v>63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78</v>
      </c>
      <c r="AA67" s="10">
        <v>0</v>
      </c>
      <c r="AB67" s="10">
        <v>0</v>
      </c>
      <c r="AC67" s="10">
        <v>0</v>
      </c>
      <c r="AD67" s="10">
        <v>0</v>
      </c>
      <c r="AE67" s="10">
        <v>0</v>
      </c>
      <c r="AF67" s="10">
        <v>0</v>
      </c>
      <c r="AG67" s="10">
        <v>0</v>
      </c>
      <c r="AH67" s="10">
        <v>0</v>
      </c>
      <c r="AI67" s="10">
        <v>30</v>
      </c>
      <c r="AJ67" s="10">
        <v>0</v>
      </c>
      <c r="AK67" s="10">
        <v>0</v>
      </c>
      <c r="AL67" s="10">
        <v>0</v>
      </c>
      <c r="AM67" s="10">
        <v>0</v>
      </c>
      <c r="AN67" s="10">
        <v>0</v>
      </c>
      <c r="AO67" s="10">
        <v>0</v>
      </c>
      <c r="AP67" s="10">
        <v>0</v>
      </c>
      <c r="AQ67" s="10">
        <v>0</v>
      </c>
      <c r="AR67" s="10">
        <v>0</v>
      </c>
      <c r="AS67" s="10">
        <v>0</v>
      </c>
      <c r="AT67" s="10">
        <v>0</v>
      </c>
      <c r="AU67" s="10">
        <v>0</v>
      </c>
      <c r="AV67" s="10">
        <v>0</v>
      </c>
      <c r="AW67" s="10">
        <v>0</v>
      </c>
      <c r="AX67" s="10">
        <v>0</v>
      </c>
      <c r="AY67" s="10">
        <v>0.27777777777777801</v>
      </c>
    </row>
    <row r="68" spans="1:51">
      <c r="A68" s="10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2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13</v>
      </c>
      <c r="AB68" s="10">
        <v>0</v>
      </c>
      <c r="AC68" s="10">
        <v>0</v>
      </c>
      <c r="AD68" s="10">
        <v>0</v>
      </c>
      <c r="AE68" s="10">
        <v>0</v>
      </c>
      <c r="AF68" s="10">
        <v>0</v>
      </c>
      <c r="AG68" s="10">
        <v>0</v>
      </c>
      <c r="AH68" s="10">
        <v>0</v>
      </c>
      <c r="AI68" s="10">
        <v>0</v>
      </c>
      <c r="AJ68" s="10">
        <v>0</v>
      </c>
      <c r="AK68" s="10">
        <v>0</v>
      </c>
      <c r="AL68" s="10">
        <v>0</v>
      </c>
      <c r="AM68" s="10">
        <v>0</v>
      </c>
      <c r="AN68" s="10">
        <v>0</v>
      </c>
      <c r="AO68" s="10">
        <v>0</v>
      </c>
      <c r="AP68" s="10">
        <v>0</v>
      </c>
      <c r="AQ68" s="10">
        <v>0</v>
      </c>
      <c r="AR68" s="10">
        <v>0</v>
      </c>
      <c r="AS68" s="10">
        <v>0</v>
      </c>
      <c r="AT68" s="10">
        <v>0</v>
      </c>
      <c r="AU68" s="10">
        <v>0</v>
      </c>
      <c r="AV68" s="10">
        <v>0</v>
      </c>
      <c r="AW68" s="10">
        <v>0</v>
      </c>
      <c r="AX68" s="10">
        <v>0</v>
      </c>
      <c r="AY68" s="10">
        <v>0.133333333333333</v>
      </c>
    </row>
    <row r="69" spans="1:51">
      <c r="A69" s="10" t="s">
        <v>47</v>
      </c>
      <c r="B69" s="10">
        <v>0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15</v>
      </c>
      <c r="AC69" s="10">
        <v>0</v>
      </c>
      <c r="AD69" s="10">
        <v>0</v>
      </c>
      <c r="AE69" s="10">
        <v>0</v>
      </c>
      <c r="AF69" s="10">
        <v>0</v>
      </c>
      <c r="AG69" s="10">
        <v>0</v>
      </c>
      <c r="AH69" s="10">
        <v>0</v>
      </c>
      <c r="AI69" s="10">
        <v>0</v>
      </c>
      <c r="AJ69" s="10">
        <v>5</v>
      </c>
      <c r="AK69" s="10">
        <v>0</v>
      </c>
      <c r="AL69" s="10">
        <v>0</v>
      </c>
      <c r="AM69" s="10">
        <v>0</v>
      </c>
      <c r="AN69" s="10">
        <v>0</v>
      </c>
      <c r="AO69" s="10">
        <v>0</v>
      </c>
      <c r="AP69" s="10">
        <v>0</v>
      </c>
      <c r="AQ69" s="10">
        <v>0</v>
      </c>
      <c r="AR69" s="10">
        <v>0</v>
      </c>
      <c r="AS69" s="10">
        <v>0</v>
      </c>
      <c r="AT69" s="10">
        <v>0</v>
      </c>
      <c r="AU69" s="10">
        <v>0</v>
      </c>
      <c r="AV69" s="10">
        <v>0</v>
      </c>
      <c r="AW69" s="10">
        <v>0</v>
      </c>
      <c r="AX69" s="10">
        <v>0</v>
      </c>
      <c r="AY69" s="10">
        <v>0.25</v>
      </c>
    </row>
    <row r="70" spans="1:51">
      <c r="A70" s="10" t="s">
        <v>354</v>
      </c>
      <c r="B70" s="10">
        <v>0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12</v>
      </c>
      <c r="AD70" s="10">
        <v>0</v>
      </c>
      <c r="AE70" s="10">
        <v>0</v>
      </c>
      <c r="AF70" s="10">
        <v>0</v>
      </c>
      <c r="AG70" s="10">
        <v>0</v>
      </c>
      <c r="AH70" s="10">
        <v>0</v>
      </c>
      <c r="AI70" s="10">
        <v>0</v>
      </c>
      <c r="AJ70" s="10">
        <v>0</v>
      </c>
      <c r="AK70" s="10">
        <v>0</v>
      </c>
      <c r="AL70" s="10">
        <v>0</v>
      </c>
      <c r="AM70" s="10">
        <v>0</v>
      </c>
      <c r="AN70" s="10">
        <v>0</v>
      </c>
      <c r="AO70" s="10">
        <v>0</v>
      </c>
      <c r="AP70" s="10">
        <v>0</v>
      </c>
      <c r="AQ70" s="10">
        <v>0</v>
      </c>
      <c r="AR70" s="10">
        <v>0</v>
      </c>
      <c r="AS70" s="10">
        <v>0</v>
      </c>
      <c r="AT70" s="10">
        <v>0</v>
      </c>
      <c r="AU70" s="10">
        <v>0</v>
      </c>
      <c r="AV70" s="10">
        <v>0</v>
      </c>
      <c r="AW70" s="10">
        <v>0</v>
      </c>
      <c r="AX70" s="10">
        <v>0</v>
      </c>
      <c r="AY70" s="10">
        <v>0</v>
      </c>
    </row>
    <row r="71" spans="1:51">
      <c r="A71" s="10" t="s">
        <v>382</v>
      </c>
      <c r="B71" s="10">
        <v>0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  <c r="O71" s="10">
        <v>0</v>
      </c>
      <c r="P71" s="10">
        <v>0</v>
      </c>
      <c r="Q71" s="10">
        <v>0</v>
      </c>
      <c r="R71" s="10">
        <v>0</v>
      </c>
      <c r="S71" s="10">
        <v>0</v>
      </c>
      <c r="T71" s="10">
        <v>0</v>
      </c>
      <c r="U71" s="10">
        <v>0</v>
      </c>
      <c r="V71" s="10">
        <v>0</v>
      </c>
      <c r="W71" s="10">
        <v>0</v>
      </c>
      <c r="X71" s="10">
        <v>0</v>
      </c>
      <c r="Y71" s="10">
        <v>0</v>
      </c>
      <c r="Z71" s="10">
        <v>0</v>
      </c>
      <c r="AA71" s="10">
        <v>0</v>
      </c>
      <c r="AB71" s="10">
        <v>0</v>
      </c>
      <c r="AC71" s="10">
        <v>0</v>
      </c>
      <c r="AD71" s="10">
        <v>8</v>
      </c>
      <c r="AE71" s="10">
        <v>1</v>
      </c>
      <c r="AF71" s="10">
        <v>0</v>
      </c>
      <c r="AG71" s="10">
        <v>0</v>
      </c>
      <c r="AH71" s="10">
        <v>0</v>
      </c>
      <c r="AI71" s="10">
        <v>0</v>
      </c>
      <c r="AJ71" s="10">
        <v>0</v>
      </c>
      <c r="AK71" s="10">
        <v>0</v>
      </c>
      <c r="AL71" s="10">
        <v>0</v>
      </c>
      <c r="AM71" s="10">
        <v>0</v>
      </c>
      <c r="AN71" s="10">
        <v>0</v>
      </c>
      <c r="AO71" s="10">
        <v>0</v>
      </c>
      <c r="AP71" s="10">
        <v>0</v>
      </c>
      <c r="AQ71" s="10">
        <v>0</v>
      </c>
      <c r="AR71" s="10">
        <v>0</v>
      </c>
      <c r="AS71" s="10">
        <v>0</v>
      </c>
      <c r="AT71" s="10">
        <v>0</v>
      </c>
      <c r="AU71" s="10">
        <v>0</v>
      </c>
      <c r="AV71" s="10">
        <v>0</v>
      </c>
      <c r="AW71" s="10">
        <v>0</v>
      </c>
      <c r="AX71" s="10">
        <v>2</v>
      </c>
      <c r="AY71" s="10">
        <v>0.27272727272727298</v>
      </c>
    </row>
    <row r="72" spans="1:51">
      <c r="A72" s="10" t="s">
        <v>219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0">
        <v>0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1</v>
      </c>
      <c r="AE72" s="10">
        <v>17</v>
      </c>
      <c r="AF72" s="10">
        <v>0</v>
      </c>
      <c r="AG72" s="10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0">
        <v>0</v>
      </c>
      <c r="AW72" s="10">
        <v>0</v>
      </c>
      <c r="AX72" s="10">
        <v>1</v>
      </c>
      <c r="AY72" s="10">
        <v>0.105263157894737</v>
      </c>
    </row>
    <row r="73" spans="1:51">
      <c r="A73" s="10" t="s">
        <v>92</v>
      </c>
      <c r="B73" s="10">
        <v>0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0</v>
      </c>
      <c r="U73" s="10">
        <v>5</v>
      </c>
      <c r="V73" s="10">
        <v>0</v>
      </c>
      <c r="W73" s="10">
        <v>0</v>
      </c>
      <c r="X73" s="10">
        <v>0</v>
      </c>
      <c r="Y73" s="10">
        <v>0</v>
      </c>
      <c r="Z73" s="10">
        <v>0</v>
      </c>
      <c r="AA73" s="10">
        <v>0</v>
      </c>
      <c r="AB73" s="10">
        <v>0</v>
      </c>
      <c r="AC73" s="10">
        <v>0</v>
      </c>
      <c r="AD73" s="10">
        <v>0</v>
      </c>
      <c r="AE73" s="10">
        <v>0</v>
      </c>
      <c r="AF73" s="10">
        <v>14</v>
      </c>
      <c r="AG73" s="10">
        <v>0</v>
      </c>
      <c r="AH73" s="10">
        <v>0</v>
      </c>
      <c r="AI73" s="10">
        <v>0</v>
      </c>
      <c r="AJ73" s="10">
        <v>0</v>
      </c>
      <c r="AK73" s="10">
        <v>0</v>
      </c>
      <c r="AL73" s="10">
        <v>0</v>
      </c>
      <c r="AM73" s="10">
        <v>0</v>
      </c>
      <c r="AN73" s="10">
        <v>0</v>
      </c>
      <c r="AO73" s="10">
        <v>0</v>
      </c>
      <c r="AP73" s="10">
        <v>0</v>
      </c>
      <c r="AQ73" s="10">
        <v>0</v>
      </c>
      <c r="AR73" s="10">
        <v>0</v>
      </c>
      <c r="AS73" s="10">
        <v>0</v>
      </c>
      <c r="AT73" s="10">
        <v>0</v>
      </c>
      <c r="AU73" s="10">
        <v>0</v>
      </c>
      <c r="AV73" s="10">
        <v>0</v>
      </c>
      <c r="AW73" s="10">
        <v>0</v>
      </c>
      <c r="AX73" s="10">
        <v>0</v>
      </c>
      <c r="AY73" s="10">
        <v>0.26315789473684198</v>
      </c>
    </row>
    <row r="74" spans="1:51">
      <c r="A74" s="10" t="s">
        <v>215</v>
      </c>
      <c r="B74" s="10">
        <v>0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0</v>
      </c>
      <c r="Z74" s="10">
        <v>0</v>
      </c>
      <c r="AA74" s="10">
        <v>0</v>
      </c>
      <c r="AB74" s="10">
        <v>0</v>
      </c>
      <c r="AC74" s="10">
        <v>0</v>
      </c>
      <c r="AD74" s="10">
        <v>0</v>
      </c>
      <c r="AE74" s="10">
        <v>0</v>
      </c>
      <c r="AF74" s="10">
        <v>0</v>
      </c>
      <c r="AG74" s="10">
        <v>15</v>
      </c>
      <c r="AH74" s="10">
        <v>0</v>
      </c>
      <c r="AI74" s="10">
        <v>0</v>
      </c>
      <c r="AJ74" s="10">
        <v>0</v>
      </c>
      <c r="AK74" s="10">
        <v>0</v>
      </c>
      <c r="AL74" s="10">
        <v>0</v>
      </c>
      <c r="AM74" s="10">
        <v>0</v>
      </c>
      <c r="AN74" s="10">
        <v>0</v>
      </c>
      <c r="AO74" s="10">
        <v>0</v>
      </c>
      <c r="AP74" s="10">
        <v>0</v>
      </c>
      <c r="AQ74" s="10">
        <v>0</v>
      </c>
      <c r="AR74" s="10">
        <v>0</v>
      </c>
      <c r="AS74" s="10">
        <v>0</v>
      </c>
      <c r="AT74" s="10">
        <v>0</v>
      </c>
      <c r="AU74" s="10">
        <v>0</v>
      </c>
      <c r="AV74" s="10">
        <v>0</v>
      </c>
      <c r="AW74" s="10">
        <v>0</v>
      </c>
      <c r="AX74" s="10">
        <v>0</v>
      </c>
      <c r="AY74" s="10">
        <v>0</v>
      </c>
    </row>
    <row r="75" spans="1:51">
      <c r="A75" s="10" t="s">
        <v>142</v>
      </c>
      <c r="B75" s="10">
        <v>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>
        <v>0</v>
      </c>
      <c r="N75" s="10">
        <v>0</v>
      </c>
      <c r="O75" s="10">
        <v>0</v>
      </c>
      <c r="P75" s="10">
        <v>0</v>
      </c>
      <c r="Q75" s="10">
        <v>0</v>
      </c>
      <c r="R75" s="10">
        <v>0</v>
      </c>
      <c r="S75" s="10">
        <v>0</v>
      </c>
      <c r="T75" s="10">
        <v>0</v>
      </c>
      <c r="U75" s="10">
        <v>0</v>
      </c>
      <c r="V75" s="10">
        <v>0</v>
      </c>
      <c r="W75" s="10">
        <v>0</v>
      </c>
      <c r="X75" s="10">
        <v>0</v>
      </c>
      <c r="Y75" s="10">
        <v>0</v>
      </c>
      <c r="Z75" s="10">
        <v>0</v>
      </c>
      <c r="AA75" s="10">
        <v>0</v>
      </c>
      <c r="AB75" s="10">
        <v>0</v>
      </c>
      <c r="AC75" s="10">
        <v>0</v>
      </c>
      <c r="AD75" s="10">
        <v>0</v>
      </c>
      <c r="AE75" s="10">
        <v>0</v>
      </c>
      <c r="AF75" s="10">
        <v>0</v>
      </c>
      <c r="AG75" s="10">
        <v>0</v>
      </c>
      <c r="AH75" s="10">
        <v>62</v>
      </c>
      <c r="AI75" s="10">
        <v>0</v>
      </c>
      <c r="AJ75" s="10">
        <v>0</v>
      </c>
      <c r="AK75" s="10">
        <v>0</v>
      </c>
      <c r="AL75" s="10">
        <v>0</v>
      </c>
      <c r="AM75" s="10">
        <v>0</v>
      </c>
      <c r="AN75" s="10">
        <v>0</v>
      </c>
      <c r="AO75" s="10">
        <v>0</v>
      </c>
      <c r="AP75" s="10">
        <v>0</v>
      </c>
      <c r="AQ75" s="10">
        <v>0</v>
      </c>
      <c r="AR75" s="10">
        <v>0</v>
      </c>
      <c r="AS75" s="10">
        <v>0</v>
      </c>
      <c r="AT75" s="10">
        <v>0</v>
      </c>
      <c r="AU75" s="10">
        <v>0</v>
      </c>
      <c r="AV75" s="10">
        <v>0</v>
      </c>
      <c r="AW75" s="10">
        <v>0</v>
      </c>
      <c r="AX75" s="10">
        <v>0</v>
      </c>
      <c r="AY75" s="10">
        <v>0</v>
      </c>
    </row>
    <row r="76" spans="1:51">
      <c r="A76" s="10" t="s">
        <v>35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33</v>
      </c>
      <c r="AA76" s="10">
        <v>0</v>
      </c>
      <c r="AB76" s="10">
        <v>0</v>
      </c>
      <c r="AC76" s="10">
        <v>0</v>
      </c>
      <c r="AD76" s="10">
        <v>0</v>
      </c>
      <c r="AE76" s="10">
        <v>0</v>
      </c>
      <c r="AF76" s="10">
        <v>0</v>
      </c>
      <c r="AG76" s="10">
        <v>0</v>
      </c>
      <c r="AH76" s="10">
        <v>0</v>
      </c>
      <c r="AI76" s="10">
        <v>36</v>
      </c>
      <c r="AJ76" s="10">
        <v>0</v>
      </c>
      <c r="AK76" s="10">
        <v>0</v>
      </c>
      <c r="AL76" s="10">
        <v>0</v>
      </c>
      <c r="AM76" s="10">
        <v>0</v>
      </c>
      <c r="AN76" s="10">
        <v>0</v>
      </c>
      <c r="AO76" s="10">
        <v>0</v>
      </c>
      <c r="AP76" s="10">
        <v>0</v>
      </c>
      <c r="AQ76" s="10">
        <v>0</v>
      </c>
      <c r="AR76" s="10">
        <v>0</v>
      </c>
      <c r="AS76" s="10">
        <v>0</v>
      </c>
      <c r="AT76" s="10">
        <v>0</v>
      </c>
      <c r="AU76" s="10">
        <v>0</v>
      </c>
      <c r="AV76" s="10">
        <v>0</v>
      </c>
      <c r="AW76" s="10">
        <v>0</v>
      </c>
      <c r="AX76" s="10">
        <v>0</v>
      </c>
      <c r="AY76" s="10">
        <v>0.47826086956521702</v>
      </c>
    </row>
    <row r="77" spans="1:51">
      <c r="A77" s="10" t="s">
        <v>26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3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6</v>
      </c>
      <c r="AC77" s="10">
        <v>0</v>
      </c>
      <c r="AD77" s="10">
        <v>0</v>
      </c>
      <c r="AE77" s="10">
        <v>0</v>
      </c>
      <c r="AF77" s="10">
        <v>0</v>
      </c>
      <c r="AG77" s="10">
        <v>0</v>
      </c>
      <c r="AH77" s="10">
        <v>0</v>
      </c>
      <c r="AI77" s="10">
        <v>0</v>
      </c>
      <c r="AJ77" s="10">
        <v>5</v>
      </c>
      <c r="AK77" s="10">
        <v>0</v>
      </c>
      <c r="AL77" s="10">
        <v>0</v>
      </c>
      <c r="AM77" s="10">
        <v>0</v>
      </c>
      <c r="AN77" s="10">
        <v>0</v>
      </c>
      <c r="AO77" s="10">
        <v>0</v>
      </c>
      <c r="AP77" s="10">
        <v>0</v>
      </c>
      <c r="AQ77" s="10">
        <v>0</v>
      </c>
      <c r="AR77" s="10">
        <v>0</v>
      </c>
      <c r="AS77" s="10">
        <v>0</v>
      </c>
      <c r="AT77" s="10">
        <v>0</v>
      </c>
      <c r="AU77" s="10">
        <v>0</v>
      </c>
      <c r="AV77" s="10">
        <v>0</v>
      </c>
      <c r="AW77" s="10">
        <v>0</v>
      </c>
      <c r="AX77" s="10">
        <v>0</v>
      </c>
      <c r="AY77" s="10">
        <v>0.64285714285714302</v>
      </c>
    </row>
    <row r="78" spans="1:51">
      <c r="A78" s="10" t="s">
        <v>67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10">
        <v>0</v>
      </c>
      <c r="L78" s="10">
        <v>0</v>
      </c>
      <c r="M78" s="10">
        <v>0</v>
      </c>
      <c r="N78" s="10">
        <v>0</v>
      </c>
      <c r="O78" s="10">
        <v>0</v>
      </c>
      <c r="P78" s="10">
        <v>3</v>
      </c>
      <c r="Q78" s="10">
        <v>0</v>
      </c>
      <c r="R78" s="10">
        <v>0</v>
      </c>
      <c r="S78" s="10">
        <v>0</v>
      </c>
      <c r="T78" s="10">
        <v>0</v>
      </c>
      <c r="U78" s="10">
        <v>0</v>
      </c>
      <c r="V78" s="10">
        <v>0</v>
      </c>
      <c r="W78" s="10">
        <v>0</v>
      </c>
      <c r="X78" s="10">
        <v>0</v>
      </c>
      <c r="Y78" s="10">
        <v>0</v>
      </c>
      <c r="Z78" s="10">
        <v>0</v>
      </c>
      <c r="AA78" s="10">
        <v>0</v>
      </c>
      <c r="AB78" s="10">
        <v>0</v>
      </c>
      <c r="AC78" s="10">
        <v>0</v>
      </c>
      <c r="AD78" s="10">
        <v>0</v>
      </c>
      <c r="AE78" s="10">
        <v>0</v>
      </c>
      <c r="AF78" s="10">
        <v>0</v>
      </c>
      <c r="AG78" s="10">
        <v>0</v>
      </c>
      <c r="AH78" s="10">
        <v>0</v>
      </c>
      <c r="AI78" s="10">
        <v>0</v>
      </c>
      <c r="AJ78" s="10">
        <v>0</v>
      </c>
      <c r="AK78" s="10">
        <v>1</v>
      </c>
      <c r="AL78" s="10">
        <v>0</v>
      </c>
      <c r="AM78" s="10">
        <v>15</v>
      </c>
      <c r="AN78" s="10">
        <v>0</v>
      </c>
      <c r="AO78" s="10">
        <v>0</v>
      </c>
      <c r="AP78" s="10">
        <v>0</v>
      </c>
      <c r="AQ78" s="10">
        <v>0</v>
      </c>
      <c r="AR78" s="10">
        <v>0</v>
      </c>
      <c r="AS78" s="10">
        <v>0</v>
      </c>
      <c r="AT78" s="10">
        <v>0</v>
      </c>
      <c r="AU78" s="10">
        <v>0</v>
      </c>
      <c r="AV78" s="10">
        <v>0</v>
      </c>
      <c r="AW78" s="10">
        <v>0</v>
      </c>
      <c r="AX78" s="10">
        <v>0</v>
      </c>
      <c r="AY78" s="10">
        <v>0.94736842105263197</v>
      </c>
    </row>
    <row r="79" spans="1:51">
      <c r="A79" s="10" t="s">
        <v>283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>
        <v>0</v>
      </c>
      <c r="AE79" s="10">
        <v>0</v>
      </c>
      <c r="AF79" s="10">
        <v>0</v>
      </c>
      <c r="AG79" s="10">
        <v>0</v>
      </c>
      <c r="AH79" s="10">
        <v>0</v>
      </c>
      <c r="AI79" s="10">
        <v>0</v>
      </c>
      <c r="AJ79" s="10">
        <v>0</v>
      </c>
      <c r="AK79" s="10">
        <v>1</v>
      </c>
      <c r="AL79" s="10">
        <v>15</v>
      </c>
      <c r="AM79" s="10">
        <v>0</v>
      </c>
      <c r="AN79" s="10">
        <v>0</v>
      </c>
      <c r="AO79" s="10">
        <v>0</v>
      </c>
      <c r="AP79" s="10">
        <v>0</v>
      </c>
      <c r="AQ79" s="10">
        <v>0</v>
      </c>
      <c r="AR79" s="10">
        <v>0</v>
      </c>
      <c r="AS79" s="10">
        <v>0</v>
      </c>
      <c r="AT79" s="10">
        <v>0</v>
      </c>
      <c r="AU79" s="10">
        <v>0</v>
      </c>
      <c r="AV79" s="10">
        <v>0</v>
      </c>
      <c r="AW79" s="10">
        <v>0</v>
      </c>
      <c r="AX79" s="10">
        <v>0</v>
      </c>
      <c r="AY79" s="10">
        <v>6.25E-2</v>
      </c>
    </row>
    <row r="80" spans="1:51">
      <c r="A80" s="10" t="s">
        <v>106</v>
      </c>
      <c r="B80" s="10">
        <v>0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  <c r="O80" s="10">
        <v>0</v>
      </c>
      <c r="P80" s="10">
        <v>3</v>
      </c>
      <c r="Q80" s="10">
        <v>0</v>
      </c>
      <c r="R80" s="10">
        <v>0</v>
      </c>
      <c r="S80" s="10">
        <v>0</v>
      </c>
      <c r="T80" s="10">
        <v>0</v>
      </c>
      <c r="U80" s="10">
        <v>0</v>
      </c>
      <c r="V80" s="10">
        <v>0</v>
      </c>
      <c r="W80" s="10">
        <v>0</v>
      </c>
      <c r="X80" s="10">
        <v>0</v>
      </c>
      <c r="Y80" s="10">
        <v>0</v>
      </c>
      <c r="Z80" s="10">
        <v>0</v>
      </c>
      <c r="AA80" s="10">
        <v>0</v>
      </c>
      <c r="AB80" s="10">
        <v>0</v>
      </c>
      <c r="AC80" s="10">
        <v>0</v>
      </c>
      <c r="AD80" s="10">
        <v>0</v>
      </c>
      <c r="AE80" s="10">
        <v>0</v>
      </c>
      <c r="AF80" s="10">
        <v>0</v>
      </c>
      <c r="AG80" s="10">
        <v>0</v>
      </c>
      <c r="AH80" s="10">
        <v>0</v>
      </c>
      <c r="AI80" s="10">
        <v>0</v>
      </c>
      <c r="AJ80" s="10">
        <v>0</v>
      </c>
      <c r="AK80" s="10">
        <v>11</v>
      </c>
      <c r="AL80" s="10">
        <v>2</v>
      </c>
      <c r="AM80" s="10">
        <v>25</v>
      </c>
      <c r="AN80" s="10">
        <v>0</v>
      </c>
      <c r="AO80" s="10">
        <v>0</v>
      </c>
      <c r="AP80" s="10">
        <v>0</v>
      </c>
      <c r="AQ80" s="10">
        <v>0</v>
      </c>
      <c r="AR80" s="10">
        <v>0</v>
      </c>
      <c r="AS80" s="10">
        <v>0</v>
      </c>
      <c r="AT80" s="10">
        <v>0</v>
      </c>
      <c r="AU80" s="10">
        <v>0</v>
      </c>
      <c r="AV80" s="10">
        <v>0</v>
      </c>
      <c r="AW80" s="10">
        <v>0</v>
      </c>
      <c r="AX80" s="10">
        <v>0</v>
      </c>
      <c r="AY80" s="10">
        <v>0.39024390243902402</v>
      </c>
    </row>
    <row r="81" spans="1:51">
      <c r="A81" s="10" t="s">
        <v>57</v>
      </c>
      <c r="B81" s="10">
        <v>0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  <c r="O81" s="10">
        <v>0</v>
      </c>
      <c r="P81" s="10">
        <v>0</v>
      </c>
      <c r="Q81" s="10">
        <v>0</v>
      </c>
      <c r="R81" s="10">
        <v>0</v>
      </c>
      <c r="S81" s="10">
        <v>0</v>
      </c>
      <c r="T81" s="10">
        <v>0</v>
      </c>
      <c r="U81" s="10">
        <v>0</v>
      </c>
      <c r="V81" s="10">
        <v>0</v>
      </c>
      <c r="W81" s="10">
        <v>0</v>
      </c>
      <c r="X81" s="10">
        <v>0</v>
      </c>
      <c r="Y81" s="10">
        <v>0</v>
      </c>
      <c r="Z81" s="10">
        <v>0</v>
      </c>
      <c r="AA81" s="10">
        <v>0</v>
      </c>
      <c r="AB81" s="10">
        <v>0</v>
      </c>
      <c r="AC81" s="10">
        <v>0</v>
      </c>
      <c r="AD81" s="10">
        <v>0</v>
      </c>
      <c r="AE81" s="10">
        <v>0</v>
      </c>
      <c r="AF81" s="10">
        <v>0</v>
      </c>
      <c r="AG81" s="10">
        <v>0</v>
      </c>
      <c r="AH81" s="10">
        <v>0</v>
      </c>
      <c r="AI81" s="10">
        <v>0</v>
      </c>
      <c r="AJ81" s="10">
        <v>0</v>
      </c>
      <c r="AK81" s="10">
        <v>0</v>
      </c>
      <c r="AL81" s="10">
        <v>0</v>
      </c>
      <c r="AM81" s="10">
        <v>0</v>
      </c>
      <c r="AN81" s="10">
        <v>40</v>
      </c>
      <c r="AO81" s="10">
        <v>0</v>
      </c>
      <c r="AP81" s="10">
        <v>0</v>
      </c>
      <c r="AQ81" s="10">
        <v>0</v>
      </c>
      <c r="AR81" s="10">
        <v>0</v>
      </c>
      <c r="AS81" s="10">
        <v>0</v>
      </c>
      <c r="AT81" s="10">
        <v>0</v>
      </c>
      <c r="AU81" s="10">
        <v>0</v>
      </c>
      <c r="AV81" s="10">
        <v>0</v>
      </c>
      <c r="AW81" s="10">
        <v>0</v>
      </c>
      <c r="AX81" s="10">
        <v>0</v>
      </c>
      <c r="AY81" s="10">
        <v>0</v>
      </c>
    </row>
    <row r="82" spans="1:51">
      <c r="A82" s="10" t="s">
        <v>412</v>
      </c>
      <c r="B82" s="10">
        <v>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  <c r="O82" s="10">
        <v>0</v>
      </c>
      <c r="P82" s="10">
        <v>0</v>
      </c>
      <c r="Q82" s="10">
        <v>0</v>
      </c>
      <c r="R82" s="10">
        <v>0</v>
      </c>
      <c r="S82" s="10">
        <v>0</v>
      </c>
      <c r="T82" s="10">
        <v>0</v>
      </c>
      <c r="U82" s="10">
        <v>0</v>
      </c>
      <c r="V82" s="10">
        <v>0</v>
      </c>
      <c r="W82" s="10">
        <v>0</v>
      </c>
      <c r="X82" s="10">
        <v>0</v>
      </c>
      <c r="Y82" s="10">
        <v>0</v>
      </c>
      <c r="Z82" s="10">
        <v>0</v>
      </c>
      <c r="AA82" s="10">
        <v>0</v>
      </c>
      <c r="AB82" s="10">
        <v>0</v>
      </c>
      <c r="AC82" s="10">
        <v>0</v>
      </c>
      <c r="AD82" s="10">
        <v>0</v>
      </c>
      <c r="AE82" s="10">
        <v>0</v>
      </c>
      <c r="AF82" s="10">
        <v>0</v>
      </c>
      <c r="AG82" s="10">
        <v>0</v>
      </c>
      <c r="AH82" s="10">
        <v>0</v>
      </c>
      <c r="AI82" s="10">
        <v>0</v>
      </c>
      <c r="AJ82" s="10">
        <v>0</v>
      </c>
      <c r="AK82" s="10">
        <v>0</v>
      </c>
      <c r="AL82" s="10">
        <v>0</v>
      </c>
      <c r="AM82" s="10">
        <v>0</v>
      </c>
      <c r="AN82" s="10">
        <v>0</v>
      </c>
      <c r="AO82" s="10">
        <v>7</v>
      </c>
      <c r="AP82" s="10">
        <v>3</v>
      </c>
      <c r="AQ82" s="10">
        <v>0</v>
      </c>
      <c r="AR82" s="10">
        <v>0</v>
      </c>
      <c r="AS82" s="10">
        <v>0</v>
      </c>
      <c r="AT82" s="10">
        <v>0</v>
      </c>
      <c r="AU82" s="10">
        <v>0</v>
      </c>
      <c r="AV82" s="10">
        <v>0</v>
      </c>
      <c r="AW82" s="10">
        <v>0</v>
      </c>
      <c r="AX82" s="10">
        <v>0</v>
      </c>
      <c r="AY82" s="10">
        <v>0.3</v>
      </c>
    </row>
    <row r="83" spans="1:51">
      <c r="A83" s="10" t="s">
        <v>403</v>
      </c>
      <c r="B83" s="10">
        <v>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  <c r="O83" s="10">
        <v>0</v>
      </c>
      <c r="P83" s="10">
        <v>0</v>
      </c>
      <c r="Q83" s="10">
        <v>0</v>
      </c>
      <c r="R83" s="10">
        <v>0</v>
      </c>
      <c r="S83" s="10">
        <v>0</v>
      </c>
      <c r="T83" s="10">
        <v>0</v>
      </c>
      <c r="U83" s="10">
        <v>0</v>
      </c>
      <c r="V83" s="10">
        <v>0</v>
      </c>
      <c r="W83" s="10">
        <v>0</v>
      </c>
      <c r="X83" s="10">
        <v>0</v>
      </c>
      <c r="Y83" s="10">
        <v>0</v>
      </c>
      <c r="Z83" s="10">
        <v>0</v>
      </c>
      <c r="AA83" s="10">
        <v>0</v>
      </c>
      <c r="AB83" s="10">
        <v>0</v>
      </c>
      <c r="AC83" s="10">
        <v>0</v>
      </c>
      <c r="AD83" s="10">
        <v>0</v>
      </c>
      <c r="AE83" s="10">
        <v>0</v>
      </c>
      <c r="AF83" s="10">
        <v>0</v>
      </c>
      <c r="AG83" s="10">
        <v>0</v>
      </c>
      <c r="AH83" s="10">
        <v>0</v>
      </c>
      <c r="AI83" s="10">
        <v>0</v>
      </c>
      <c r="AJ83" s="10">
        <v>0</v>
      </c>
      <c r="AK83" s="10">
        <v>0</v>
      </c>
      <c r="AL83" s="10">
        <v>0</v>
      </c>
      <c r="AM83" s="10">
        <v>0</v>
      </c>
      <c r="AN83" s="10">
        <v>0</v>
      </c>
      <c r="AO83" s="10">
        <v>2</v>
      </c>
      <c r="AP83" s="10">
        <v>13</v>
      </c>
      <c r="AQ83" s="10">
        <v>0</v>
      </c>
      <c r="AR83" s="10">
        <v>0</v>
      </c>
      <c r="AS83" s="10">
        <v>0</v>
      </c>
      <c r="AT83" s="10">
        <v>0</v>
      </c>
      <c r="AU83" s="10">
        <v>0</v>
      </c>
      <c r="AV83" s="10">
        <v>0</v>
      </c>
      <c r="AW83" s="10">
        <v>0</v>
      </c>
      <c r="AX83" s="10">
        <v>0</v>
      </c>
      <c r="AY83" s="10">
        <v>0.133333333333333</v>
      </c>
    </row>
    <row r="84" spans="1:51">
      <c r="A84" s="10" t="s">
        <v>161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0">
        <v>0</v>
      </c>
      <c r="Q84" s="10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0">
        <v>0</v>
      </c>
      <c r="AG84" s="10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11</v>
      </c>
      <c r="AR84" s="10">
        <v>0</v>
      </c>
      <c r="AS84" s="10">
        <v>5</v>
      </c>
      <c r="AT84" s="10">
        <v>0</v>
      </c>
      <c r="AU84" s="10">
        <v>0</v>
      </c>
      <c r="AV84" s="10">
        <v>0</v>
      </c>
      <c r="AW84" s="10">
        <v>0</v>
      </c>
      <c r="AX84" s="10">
        <v>0</v>
      </c>
      <c r="AY84" s="10">
        <v>0.3125</v>
      </c>
    </row>
    <row r="85" spans="1:51">
      <c r="A85" s="10" t="s">
        <v>182</v>
      </c>
      <c r="B85" s="10">
        <v>0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0</v>
      </c>
      <c r="S85" s="10">
        <v>0</v>
      </c>
      <c r="T85" s="10">
        <v>0</v>
      </c>
      <c r="U85" s="10">
        <v>0</v>
      </c>
      <c r="V85" s="10">
        <v>0</v>
      </c>
      <c r="W85" s="10">
        <v>0</v>
      </c>
      <c r="X85" s="10">
        <v>0</v>
      </c>
      <c r="Y85" s="10">
        <v>0</v>
      </c>
      <c r="Z85" s="10">
        <v>0</v>
      </c>
      <c r="AA85" s="10">
        <v>0</v>
      </c>
      <c r="AB85" s="10">
        <v>0</v>
      </c>
      <c r="AC85" s="10">
        <v>0</v>
      </c>
      <c r="AD85" s="10">
        <v>0</v>
      </c>
      <c r="AE85" s="10">
        <v>0</v>
      </c>
      <c r="AF85" s="10">
        <v>0</v>
      </c>
      <c r="AG85" s="10">
        <v>0</v>
      </c>
      <c r="AH85" s="10">
        <v>0</v>
      </c>
      <c r="AI85" s="10">
        <v>0</v>
      </c>
      <c r="AJ85" s="10">
        <v>0</v>
      </c>
      <c r="AK85" s="10">
        <v>0</v>
      </c>
      <c r="AL85" s="10">
        <v>0</v>
      </c>
      <c r="AM85" s="10">
        <v>0</v>
      </c>
      <c r="AN85" s="10">
        <v>0</v>
      </c>
      <c r="AO85" s="10">
        <v>0</v>
      </c>
      <c r="AP85" s="10">
        <v>0</v>
      </c>
      <c r="AQ85" s="10">
        <v>0</v>
      </c>
      <c r="AR85" s="10">
        <v>24</v>
      </c>
      <c r="AS85" s="10">
        <v>0</v>
      </c>
      <c r="AT85" s="10">
        <v>0</v>
      </c>
      <c r="AU85" s="10">
        <v>0</v>
      </c>
      <c r="AV85" s="10">
        <v>0</v>
      </c>
      <c r="AW85" s="10">
        <v>0</v>
      </c>
      <c r="AX85" s="10">
        <v>0</v>
      </c>
      <c r="AY85" s="10">
        <v>0</v>
      </c>
    </row>
    <row r="86" spans="1:51">
      <c r="A86" s="10" t="s">
        <v>79</v>
      </c>
      <c r="B86" s="10">
        <v>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  <c r="O86" s="10">
        <v>0</v>
      </c>
      <c r="P86" s="10">
        <v>0</v>
      </c>
      <c r="Q86" s="10">
        <v>0</v>
      </c>
      <c r="R86" s="10">
        <v>0</v>
      </c>
      <c r="S86" s="10">
        <v>0</v>
      </c>
      <c r="T86" s="10">
        <v>0</v>
      </c>
      <c r="U86" s="10">
        <v>0</v>
      </c>
      <c r="V86" s="10">
        <v>0</v>
      </c>
      <c r="W86" s="10">
        <v>0</v>
      </c>
      <c r="X86" s="10">
        <v>0</v>
      </c>
      <c r="Y86" s="10">
        <v>0</v>
      </c>
      <c r="Z86" s="10">
        <v>0</v>
      </c>
      <c r="AA86" s="10">
        <v>0</v>
      </c>
      <c r="AB86" s="10">
        <v>0</v>
      </c>
      <c r="AC86" s="10">
        <v>0</v>
      </c>
      <c r="AD86" s="10">
        <v>0</v>
      </c>
      <c r="AE86" s="10">
        <v>0</v>
      </c>
      <c r="AF86" s="10">
        <v>0</v>
      </c>
      <c r="AG86" s="10">
        <v>0</v>
      </c>
      <c r="AH86" s="10">
        <v>0</v>
      </c>
      <c r="AI86" s="10">
        <v>0</v>
      </c>
      <c r="AJ86" s="10">
        <v>0</v>
      </c>
      <c r="AK86" s="10">
        <v>0</v>
      </c>
      <c r="AL86" s="10">
        <v>0</v>
      </c>
      <c r="AM86" s="10">
        <v>0</v>
      </c>
      <c r="AN86" s="10">
        <v>0</v>
      </c>
      <c r="AO86" s="10">
        <v>0</v>
      </c>
      <c r="AP86" s="10">
        <v>0</v>
      </c>
      <c r="AQ86" s="10">
        <v>5</v>
      </c>
      <c r="AR86" s="10">
        <v>0</v>
      </c>
      <c r="AS86" s="10">
        <v>25</v>
      </c>
      <c r="AT86" s="10">
        <v>0</v>
      </c>
      <c r="AU86" s="10">
        <v>0</v>
      </c>
      <c r="AV86" s="10">
        <v>0</v>
      </c>
      <c r="AW86" s="10">
        <v>0</v>
      </c>
      <c r="AX86" s="10">
        <v>0</v>
      </c>
      <c r="AY86" s="10">
        <v>0.16666666666666699</v>
      </c>
    </row>
    <row r="87" spans="1:51">
      <c r="A87" s="10" t="s">
        <v>333</v>
      </c>
      <c r="B87" s="10">
        <v>0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  <c r="O87" s="10">
        <v>0</v>
      </c>
      <c r="P87" s="10">
        <v>0</v>
      </c>
      <c r="Q87" s="10">
        <v>0</v>
      </c>
      <c r="R87" s="10">
        <v>0</v>
      </c>
      <c r="S87" s="10">
        <v>0</v>
      </c>
      <c r="T87" s="10">
        <v>0</v>
      </c>
      <c r="U87" s="10">
        <v>0</v>
      </c>
      <c r="V87" s="10">
        <v>0</v>
      </c>
      <c r="W87" s="10">
        <v>0</v>
      </c>
      <c r="X87" s="10">
        <v>0</v>
      </c>
      <c r="Y87" s="10">
        <v>0</v>
      </c>
      <c r="Z87" s="10">
        <v>0</v>
      </c>
      <c r="AA87" s="10">
        <v>0</v>
      </c>
      <c r="AB87" s="10">
        <v>0</v>
      </c>
      <c r="AC87" s="10">
        <v>0</v>
      </c>
      <c r="AD87" s="10">
        <v>0</v>
      </c>
      <c r="AE87" s="10">
        <v>0</v>
      </c>
      <c r="AF87" s="10">
        <v>0</v>
      </c>
      <c r="AG87" s="10">
        <v>0</v>
      </c>
      <c r="AH87" s="10">
        <v>0</v>
      </c>
      <c r="AI87" s="10">
        <v>0</v>
      </c>
      <c r="AJ87" s="10">
        <v>0</v>
      </c>
      <c r="AK87" s="10">
        <v>0</v>
      </c>
      <c r="AL87" s="10">
        <v>0</v>
      </c>
      <c r="AM87" s="10">
        <v>0</v>
      </c>
      <c r="AN87" s="10">
        <v>0</v>
      </c>
      <c r="AO87" s="10">
        <v>0</v>
      </c>
      <c r="AP87" s="10">
        <v>0</v>
      </c>
      <c r="AQ87" s="10">
        <v>0</v>
      </c>
      <c r="AR87" s="10">
        <v>0</v>
      </c>
      <c r="AS87" s="10">
        <v>0</v>
      </c>
      <c r="AT87" s="10">
        <v>24</v>
      </c>
      <c r="AU87" s="10">
        <v>0</v>
      </c>
      <c r="AV87" s="10">
        <v>0</v>
      </c>
      <c r="AW87" s="10">
        <v>0</v>
      </c>
      <c r="AX87" s="10">
        <v>0</v>
      </c>
      <c r="AY87" s="10">
        <v>0</v>
      </c>
    </row>
    <row r="88" spans="1:51">
      <c r="A88" s="10" t="s">
        <v>222</v>
      </c>
      <c r="B88" s="10">
        <v>0</v>
      </c>
      <c r="C88" s="10">
        <v>0</v>
      </c>
      <c r="D88" s="10">
        <v>6</v>
      </c>
      <c r="E88" s="10">
        <v>0</v>
      </c>
      <c r="F88" s="10">
        <v>0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>
        <v>0</v>
      </c>
      <c r="N88" s="10">
        <v>0</v>
      </c>
      <c r="O88" s="10">
        <v>0</v>
      </c>
      <c r="P88" s="10">
        <v>0</v>
      </c>
      <c r="Q88" s="10">
        <v>0</v>
      </c>
      <c r="R88" s="10">
        <v>0</v>
      </c>
      <c r="S88" s="10">
        <v>0</v>
      </c>
      <c r="T88" s="10">
        <v>0</v>
      </c>
      <c r="U88" s="10">
        <v>0</v>
      </c>
      <c r="V88" s="10">
        <v>0</v>
      </c>
      <c r="W88" s="10">
        <v>0</v>
      </c>
      <c r="X88" s="10">
        <v>0</v>
      </c>
      <c r="Y88" s="10">
        <v>0</v>
      </c>
      <c r="Z88" s="10">
        <v>0</v>
      </c>
      <c r="AA88" s="10">
        <v>0</v>
      </c>
      <c r="AB88" s="10">
        <v>0</v>
      </c>
      <c r="AC88" s="10">
        <v>0</v>
      </c>
      <c r="AD88" s="10">
        <v>0</v>
      </c>
      <c r="AE88" s="10">
        <v>0</v>
      </c>
      <c r="AF88" s="10">
        <v>0</v>
      </c>
      <c r="AG88" s="10">
        <v>0</v>
      </c>
      <c r="AH88" s="10">
        <v>0</v>
      </c>
      <c r="AI88" s="10">
        <v>0</v>
      </c>
      <c r="AJ88" s="10">
        <v>0</v>
      </c>
      <c r="AK88" s="10">
        <v>0</v>
      </c>
      <c r="AL88" s="10">
        <v>0</v>
      </c>
      <c r="AM88" s="10">
        <v>0</v>
      </c>
      <c r="AN88" s="10">
        <v>0</v>
      </c>
      <c r="AO88" s="10">
        <v>0</v>
      </c>
      <c r="AP88" s="10">
        <v>0</v>
      </c>
      <c r="AQ88" s="10">
        <v>0</v>
      </c>
      <c r="AR88" s="10">
        <v>0</v>
      </c>
      <c r="AS88" s="10">
        <v>0</v>
      </c>
      <c r="AT88" s="10">
        <v>0</v>
      </c>
      <c r="AU88" s="10">
        <v>17</v>
      </c>
      <c r="AV88" s="10">
        <v>0</v>
      </c>
      <c r="AW88" s="10">
        <v>0</v>
      </c>
      <c r="AX88" s="10">
        <v>0</v>
      </c>
      <c r="AY88" s="10">
        <v>0.26086956521739102</v>
      </c>
    </row>
    <row r="89" spans="1:51">
      <c r="A89" s="10" t="s">
        <v>84</v>
      </c>
      <c r="B89" s="10">
        <v>0</v>
      </c>
      <c r="C89" s="10">
        <v>0</v>
      </c>
      <c r="D89" s="10">
        <v>0</v>
      </c>
      <c r="E89" s="10">
        <v>0</v>
      </c>
      <c r="F89" s="10">
        <v>0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  <c r="O89" s="10">
        <v>0</v>
      </c>
      <c r="P89" s="10">
        <v>0</v>
      </c>
      <c r="Q89" s="10">
        <v>0</v>
      </c>
      <c r="R89" s="10">
        <v>0</v>
      </c>
      <c r="S89" s="10">
        <v>0</v>
      </c>
      <c r="T89" s="10">
        <v>0</v>
      </c>
      <c r="U89" s="10">
        <v>0</v>
      </c>
      <c r="V89" s="10">
        <v>0</v>
      </c>
      <c r="W89" s="10">
        <v>0</v>
      </c>
      <c r="X89" s="10">
        <v>0</v>
      </c>
      <c r="Y89" s="10">
        <v>0</v>
      </c>
      <c r="Z89" s="10">
        <v>0</v>
      </c>
      <c r="AA89" s="10">
        <v>0</v>
      </c>
      <c r="AB89" s="10">
        <v>0</v>
      </c>
      <c r="AC89" s="10">
        <v>0</v>
      </c>
      <c r="AD89" s="10">
        <v>0</v>
      </c>
      <c r="AE89" s="10">
        <v>0</v>
      </c>
      <c r="AF89" s="10">
        <v>0</v>
      </c>
      <c r="AG89" s="10">
        <v>0</v>
      </c>
      <c r="AH89" s="10">
        <v>0</v>
      </c>
      <c r="AI89" s="10">
        <v>0</v>
      </c>
      <c r="AJ89" s="10">
        <v>0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Q89" s="10">
        <v>0</v>
      </c>
      <c r="AR89" s="10">
        <v>0</v>
      </c>
      <c r="AS89" s="10">
        <v>0</v>
      </c>
      <c r="AT89" s="10">
        <v>0</v>
      </c>
      <c r="AU89" s="10">
        <v>0</v>
      </c>
      <c r="AV89" s="10">
        <v>13</v>
      </c>
      <c r="AW89" s="10">
        <v>0</v>
      </c>
      <c r="AX89" s="10">
        <v>0</v>
      </c>
      <c r="AY89" s="10">
        <v>0</v>
      </c>
    </row>
    <row r="90" spans="1:51">
      <c r="A90" s="10" t="s">
        <v>110</v>
      </c>
      <c r="B90" s="10">
        <v>0</v>
      </c>
      <c r="C90" s="10">
        <v>0</v>
      </c>
      <c r="D90" s="10">
        <v>0</v>
      </c>
      <c r="E90" s="10">
        <v>8</v>
      </c>
      <c r="F90" s="10">
        <v>0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  <c r="M90" s="10">
        <v>0</v>
      </c>
      <c r="N90" s="10">
        <v>0</v>
      </c>
      <c r="O90" s="10">
        <v>0</v>
      </c>
      <c r="P90" s="10">
        <v>0</v>
      </c>
      <c r="Q90" s="10">
        <v>0</v>
      </c>
      <c r="R90" s="10">
        <v>0</v>
      </c>
      <c r="S90" s="10">
        <v>0</v>
      </c>
      <c r="T90" s="10">
        <v>0</v>
      </c>
      <c r="U90" s="10">
        <v>0</v>
      </c>
      <c r="V90" s="10">
        <v>0</v>
      </c>
      <c r="W90" s="10">
        <v>0</v>
      </c>
      <c r="X90" s="10">
        <v>0</v>
      </c>
      <c r="Y90" s="10">
        <v>0</v>
      </c>
      <c r="Z90" s="10">
        <v>0</v>
      </c>
      <c r="AA90" s="10">
        <v>0</v>
      </c>
      <c r="AB90" s="10">
        <v>0</v>
      </c>
      <c r="AC90" s="10">
        <v>0</v>
      </c>
      <c r="AD90" s="10">
        <v>0</v>
      </c>
      <c r="AE90" s="10">
        <v>0</v>
      </c>
      <c r="AF90" s="10">
        <v>0</v>
      </c>
      <c r="AG90" s="10">
        <v>0</v>
      </c>
      <c r="AH90" s="10">
        <v>0</v>
      </c>
      <c r="AI90" s="10">
        <v>0</v>
      </c>
      <c r="AJ90" s="10">
        <v>0</v>
      </c>
      <c r="AK90" s="10">
        <v>0</v>
      </c>
      <c r="AL90" s="10">
        <v>0</v>
      </c>
      <c r="AM90" s="10">
        <v>0</v>
      </c>
      <c r="AN90" s="10">
        <v>0</v>
      </c>
      <c r="AO90" s="10">
        <v>0</v>
      </c>
      <c r="AP90" s="10">
        <v>0</v>
      </c>
      <c r="AQ90" s="10">
        <v>0</v>
      </c>
      <c r="AR90" s="10">
        <v>0</v>
      </c>
      <c r="AS90" s="10">
        <v>0</v>
      </c>
      <c r="AT90" s="10">
        <v>0</v>
      </c>
      <c r="AU90" s="10">
        <v>0</v>
      </c>
      <c r="AV90" s="10">
        <v>0</v>
      </c>
      <c r="AW90" s="10">
        <v>4</v>
      </c>
      <c r="AX90" s="10">
        <v>0</v>
      </c>
      <c r="AY90" s="10">
        <v>0.66666666666666696</v>
      </c>
    </row>
    <row r="91" spans="1:51">
      <c r="A91" s="10" t="s">
        <v>257</v>
      </c>
      <c r="B91" s="10">
        <v>0</v>
      </c>
      <c r="C91" s="10">
        <v>0</v>
      </c>
      <c r="D91" s="10">
        <v>0</v>
      </c>
      <c r="E91" s="10">
        <v>0</v>
      </c>
      <c r="F91" s="10">
        <v>0</v>
      </c>
      <c r="G91" s="10">
        <v>0</v>
      </c>
      <c r="H91" s="10">
        <v>0</v>
      </c>
      <c r="I91" s="10">
        <v>0</v>
      </c>
      <c r="J91" s="10">
        <v>0</v>
      </c>
      <c r="K91" s="10">
        <v>0</v>
      </c>
      <c r="L91" s="10">
        <v>0</v>
      </c>
      <c r="M91" s="10">
        <v>0</v>
      </c>
      <c r="N91" s="10">
        <v>0</v>
      </c>
      <c r="O91" s="10">
        <v>0</v>
      </c>
      <c r="P91" s="10">
        <v>0</v>
      </c>
      <c r="Q91" s="10">
        <v>0</v>
      </c>
      <c r="R91" s="10">
        <v>0</v>
      </c>
      <c r="S91" s="10">
        <v>0</v>
      </c>
      <c r="T91" s="10">
        <v>0</v>
      </c>
      <c r="U91" s="10">
        <v>0</v>
      </c>
      <c r="V91" s="10">
        <v>0</v>
      </c>
      <c r="W91" s="10">
        <v>0</v>
      </c>
      <c r="X91" s="10">
        <v>0</v>
      </c>
      <c r="Y91" s="10">
        <v>0</v>
      </c>
      <c r="Z91" s="10">
        <v>0</v>
      </c>
      <c r="AA91" s="10">
        <v>0</v>
      </c>
      <c r="AB91" s="10">
        <v>0</v>
      </c>
      <c r="AC91" s="10">
        <v>0</v>
      </c>
      <c r="AD91" s="10">
        <v>3</v>
      </c>
      <c r="AE91" s="10">
        <v>4</v>
      </c>
      <c r="AF91" s="10">
        <v>0</v>
      </c>
      <c r="AG91" s="10">
        <v>0</v>
      </c>
      <c r="AH91" s="10">
        <v>0</v>
      </c>
      <c r="AI91" s="10">
        <v>0</v>
      </c>
      <c r="AJ91" s="10">
        <v>0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Q91" s="10">
        <v>0</v>
      </c>
      <c r="AR91" s="10">
        <v>0</v>
      </c>
      <c r="AS91" s="10">
        <v>0</v>
      </c>
      <c r="AT91" s="10">
        <v>0</v>
      </c>
      <c r="AU91" s="10">
        <v>0</v>
      </c>
      <c r="AV91" s="10">
        <v>0</v>
      </c>
      <c r="AW91" s="10">
        <v>0</v>
      </c>
      <c r="AX91" s="10">
        <v>6</v>
      </c>
      <c r="AY91" s="10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55"/>
  <sheetViews>
    <sheetView topLeftCell="A226" workbookViewId="0">
      <pane xSplit="1" topLeftCell="B1" activePane="topRight" state="frozen"/>
      <selection pane="topRight" activeCell="J16" sqref="J16"/>
    </sheetView>
  </sheetViews>
  <sheetFormatPr baseColWidth="10" defaultRowHeight="16"/>
  <cols>
    <col min="1" max="1" width="7.6640625" bestFit="1" customWidth="1"/>
    <col min="2" max="2" width="18.5" bestFit="1" customWidth="1"/>
    <col min="3" max="3" width="20.33203125" bestFit="1" customWidth="1"/>
    <col min="4" max="5" width="15.83203125" customWidth="1"/>
  </cols>
  <sheetData>
    <row r="1" spans="1:5">
      <c r="A1" s="1" t="s">
        <v>409</v>
      </c>
      <c r="B1" s="1" t="s">
        <v>4</v>
      </c>
      <c r="C1" s="1" t="s">
        <v>413</v>
      </c>
      <c r="D1" s="1" t="s">
        <v>97</v>
      </c>
      <c r="E1" s="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2E-3</v>
      </c>
      <c r="E12">
        <v>0.998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2E-3</v>
      </c>
      <c r="E37">
        <v>0.998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97</v>
      </c>
      <c r="C41" t="s">
        <v>97</v>
      </c>
      <c r="D41">
        <v>1</v>
      </c>
      <c r="E41">
        <v>0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97</v>
      </c>
      <c r="C44" t="s">
        <v>97</v>
      </c>
      <c r="D44">
        <v>0.63400000000000001</v>
      </c>
      <c r="E44">
        <v>0.36599999999999999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2E-3</v>
      </c>
      <c r="E64">
        <v>0.998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4.0000000000000001E-3</v>
      </c>
      <c r="E69">
        <v>0.996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1.2E-2</v>
      </c>
      <c r="E77">
        <v>0.98799999999999999</v>
      </c>
    </row>
    <row r="78" spans="1:5">
      <c r="A78">
        <v>77</v>
      </c>
      <c r="B78" t="s">
        <v>18</v>
      </c>
      <c r="C78" t="s">
        <v>18</v>
      </c>
      <c r="D78">
        <v>8.0000000000000002E-3</v>
      </c>
      <c r="E78">
        <v>0.99199999999999999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97</v>
      </c>
      <c r="C80" t="s">
        <v>97</v>
      </c>
      <c r="D80">
        <v>1</v>
      </c>
      <c r="E80">
        <v>0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2E-3</v>
      </c>
      <c r="E108">
        <v>0.998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2E-3</v>
      </c>
      <c r="E123">
        <v>0.998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2E-3</v>
      </c>
      <c r="E128">
        <v>0.998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0.108</v>
      </c>
      <c r="E136">
        <v>0.89200000000000002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8.0000000000000002E-3</v>
      </c>
      <c r="E142">
        <v>0.99199999999999999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8.0000000000000002E-3</v>
      </c>
      <c r="E154">
        <v>0.99199999999999999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9.4E-2</v>
      </c>
      <c r="E158">
        <v>0.90600000000000003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6.0000000000000001E-3</v>
      </c>
      <c r="E160">
        <v>0.99399999999999999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1.7999999999999999E-2</v>
      </c>
      <c r="E170">
        <v>0.98199999999999998</v>
      </c>
    </row>
    <row r="171" spans="1:5">
      <c r="A171">
        <v>170</v>
      </c>
      <c r="B171" t="s">
        <v>18</v>
      </c>
      <c r="C171" t="s">
        <v>18</v>
      </c>
      <c r="D171">
        <v>6.2E-2</v>
      </c>
      <c r="E171">
        <v>0.93799999999999994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2E-3</v>
      </c>
      <c r="E176">
        <v>0.998</v>
      </c>
    </row>
    <row r="177" spans="1:5">
      <c r="A177">
        <v>176</v>
      </c>
      <c r="B177" t="s">
        <v>18</v>
      </c>
      <c r="C177" t="s">
        <v>18</v>
      </c>
      <c r="D177">
        <v>2.5999999999999999E-2</v>
      </c>
      <c r="E177">
        <v>0.97399999999999998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4.0000000000000001E-3</v>
      </c>
      <c r="E185">
        <v>0.996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4.0000000000000001E-3</v>
      </c>
      <c r="E190">
        <v>0.996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1.2E-2</v>
      </c>
      <c r="E203">
        <v>0.98799999999999999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1.4E-2</v>
      </c>
      <c r="E215">
        <v>0.98599999999999999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8.0000000000000002E-3</v>
      </c>
      <c r="E239">
        <v>0.99199999999999999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6.0000000000000001E-3</v>
      </c>
      <c r="E253">
        <v>0.99399999999999999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6.0000000000000001E-3</v>
      </c>
      <c r="E257">
        <v>0.99399999999999999</v>
      </c>
    </row>
    <row r="258" spans="1:5">
      <c r="A258">
        <v>257</v>
      </c>
      <c r="B258" t="s">
        <v>18</v>
      </c>
      <c r="C258" t="s">
        <v>18</v>
      </c>
      <c r="D258">
        <v>8.0000000000000002E-3</v>
      </c>
      <c r="E258">
        <v>0.99199999999999999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6.6000000000000003E-2</v>
      </c>
      <c r="E262">
        <v>0.93400000000000005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2E-3</v>
      </c>
      <c r="E299">
        <v>0.998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3.4000000000000002E-2</v>
      </c>
      <c r="E324">
        <v>0.96599999999999997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4.0000000000000001E-3</v>
      </c>
      <c r="E333">
        <v>0.996</v>
      </c>
    </row>
    <row r="334" spans="1:5">
      <c r="A334">
        <v>333</v>
      </c>
      <c r="B334" t="s">
        <v>18</v>
      </c>
      <c r="C334" t="s">
        <v>18</v>
      </c>
      <c r="D334">
        <v>4.2000000000000003E-2</v>
      </c>
      <c r="E334">
        <v>0.95799999999999996</v>
      </c>
    </row>
    <row r="335" spans="1:5">
      <c r="A335">
        <v>334</v>
      </c>
      <c r="B335" t="s">
        <v>18</v>
      </c>
      <c r="C335" t="s">
        <v>18</v>
      </c>
      <c r="D335">
        <v>8.0000000000000002E-3</v>
      </c>
      <c r="E335">
        <v>0.99199999999999999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0.126</v>
      </c>
      <c r="E348">
        <v>0.874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2E-3</v>
      </c>
      <c r="E350">
        <v>0.998</v>
      </c>
    </row>
    <row r="351" spans="1:5">
      <c r="A351">
        <v>350</v>
      </c>
      <c r="B351" t="s">
        <v>97</v>
      </c>
      <c r="C351" t="s">
        <v>97</v>
      </c>
      <c r="D351">
        <v>1</v>
      </c>
      <c r="E351">
        <v>0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97</v>
      </c>
      <c r="C353" t="s">
        <v>97</v>
      </c>
      <c r="D353">
        <v>0.92600000000000005</v>
      </c>
      <c r="E353">
        <v>7.3999999999999996E-2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5"/>
  <sheetViews>
    <sheetView workbookViewId="0">
      <pane ySplit="1" topLeftCell="A2" activePane="bottomLeft" state="frozen"/>
      <selection pane="bottomLeft" activeCell="I17" sqref="I17"/>
    </sheetView>
  </sheetViews>
  <sheetFormatPr baseColWidth="10" defaultRowHeight="16"/>
  <cols>
    <col min="1" max="1" width="7.6640625" bestFit="1" customWidth="1"/>
    <col min="2" max="3" width="33.5" bestFit="1" customWidth="1"/>
    <col min="4" max="14" width="15.83203125" customWidth="1"/>
  </cols>
  <sheetData>
    <row r="1" spans="1:14">
      <c r="A1" s="1" t="s">
        <v>409</v>
      </c>
      <c r="B1" s="1" t="s">
        <v>7</v>
      </c>
      <c r="C1" s="1" t="s">
        <v>414</v>
      </c>
      <c r="D1" s="1" t="s">
        <v>43</v>
      </c>
      <c r="E1" s="1" t="s">
        <v>20</v>
      </c>
      <c r="F1" s="1" t="s">
        <v>98</v>
      </c>
      <c r="G1" s="1" t="s">
        <v>65</v>
      </c>
      <c r="H1" s="1" t="s">
        <v>37</v>
      </c>
      <c r="I1" s="1" t="s">
        <v>151</v>
      </c>
      <c r="J1" s="1" t="s">
        <v>31</v>
      </c>
      <c r="K1" s="1" t="s">
        <v>156</v>
      </c>
      <c r="L1" s="1" t="s">
        <v>140</v>
      </c>
      <c r="M1" s="1" t="s">
        <v>55</v>
      </c>
      <c r="N1" s="1" t="s">
        <v>213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20</v>
      </c>
      <c r="C3" t="s">
        <v>20</v>
      </c>
      <c r="D3">
        <v>0.02</v>
      </c>
      <c r="E3">
        <v>0.94</v>
      </c>
      <c r="F3">
        <v>0</v>
      </c>
      <c r="G3">
        <v>0</v>
      </c>
      <c r="H3">
        <v>0.01</v>
      </c>
      <c r="I3">
        <v>0</v>
      </c>
      <c r="J3">
        <v>0</v>
      </c>
      <c r="K3">
        <v>0</v>
      </c>
      <c r="L3">
        <v>0</v>
      </c>
      <c r="M3">
        <v>0.03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31</v>
      </c>
      <c r="C5" t="s">
        <v>31</v>
      </c>
      <c r="D5">
        <v>0.02</v>
      </c>
      <c r="E5">
        <v>0</v>
      </c>
      <c r="F5">
        <v>0</v>
      </c>
      <c r="G5">
        <v>0.01</v>
      </c>
      <c r="H5">
        <v>0</v>
      </c>
      <c r="I5">
        <v>0</v>
      </c>
      <c r="J5">
        <v>0.96</v>
      </c>
      <c r="K5">
        <v>0</v>
      </c>
      <c r="L5">
        <v>0</v>
      </c>
      <c r="M5">
        <v>0</v>
      </c>
      <c r="N5">
        <v>0.01</v>
      </c>
    </row>
    <row r="6" spans="1:14">
      <c r="A6">
        <v>5</v>
      </c>
      <c r="B6" t="s">
        <v>20</v>
      </c>
      <c r="C6" t="s">
        <v>20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37</v>
      </c>
      <c r="C7" t="s">
        <v>37</v>
      </c>
      <c r="D7">
        <v>0</v>
      </c>
      <c r="E7">
        <v>0.05</v>
      </c>
      <c r="F7">
        <v>0</v>
      </c>
      <c r="G7">
        <v>0</v>
      </c>
      <c r="H7">
        <v>0.95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43</v>
      </c>
      <c r="C9" t="s">
        <v>43</v>
      </c>
      <c r="D9">
        <v>0.85</v>
      </c>
      <c r="E9">
        <v>0</v>
      </c>
      <c r="F9">
        <v>0</v>
      </c>
      <c r="G9">
        <v>0</v>
      </c>
      <c r="H9">
        <v>0.01</v>
      </c>
      <c r="I9">
        <v>0</v>
      </c>
      <c r="J9">
        <v>0.11</v>
      </c>
      <c r="K9">
        <v>0</v>
      </c>
      <c r="L9">
        <v>0</v>
      </c>
      <c r="M9">
        <v>0.03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43</v>
      </c>
      <c r="C11" t="s">
        <v>43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37</v>
      </c>
      <c r="C12" t="s">
        <v>37</v>
      </c>
      <c r="D12">
        <v>0</v>
      </c>
      <c r="E12">
        <v>0</v>
      </c>
      <c r="F12">
        <v>0</v>
      </c>
      <c r="G12">
        <v>0.06</v>
      </c>
      <c r="H12">
        <v>0.85</v>
      </c>
      <c r="I12">
        <v>0</v>
      </c>
      <c r="J12">
        <v>0</v>
      </c>
      <c r="K12">
        <v>0</v>
      </c>
      <c r="L12">
        <v>0.09</v>
      </c>
      <c r="M12">
        <v>0</v>
      </c>
      <c r="N12">
        <v>0</v>
      </c>
    </row>
    <row r="13" spans="1:14">
      <c r="A13">
        <v>12</v>
      </c>
      <c r="B13" t="s">
        <v>31</v>
      </c>
      <c r="C13" t="s">
        <v>31</v>
      </c>
      <c r="D13">
        <v>0.01</v>
      </c>
      <c r="E13">
        <v>0.13</v>
      </c>
      <c r="F13">
        <v>0</v>
      </c>
      <c r="G13">
        <v>0</v>
      </c>
      <c r="H13">
        <v>0.02</v>
      </c>
      <c r="I13">
        <v>0</v>
      </c>
      <c r="J13">
        <v>0.84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55</v>
      </c>
      <c r="C15" t="s">
        <v>55</v>
      </c>
      <c r="D15">
        <v>0</v>
      </c>
      <c r="E15">
        <v>0</v>
      </c>
      <c r="F15">
        <v>0</v>
      </c>
      <c r="G15">
        <v>0</v>
      </c>
      <c r="H15">
        <v>0.01</v>
      </c>
      <c r="I15">
        <v>0</v>
      </c>
      <c r="J15">
        <v>0.36</v>
      </c>
      <c r="K15">
        <v>0</v>
      </c>
      <c r="L15">
        <v>0</v>
      </c>
      <c r="M15">
        <v>0.63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43</v>
      </c>
      <c r="C17" t="s">
        <v>43</v>
      </c>
      <c r="D17">
        <v>0.88</v>
      </c>
      <c r="E17">
        <v>0</v>
      </c>
      <c r="F17">
        <v>0</v>
      </c>
      <c r="G17">
        <v>0</v>
      </c>
      <c r="H17">
        <v>0.04</v>
      </c>
      <c r="I17">
        <v>0.03</v>
      </c>
      <c r="J17">
        <v>0.04</v>
      </c>
      <c r="K17">
        <v>0</v>
      </c>
      <c r="L17">
        <v>0</v>
      </c>
      <c r="M17">
        <v>0.01</v>
      </c>
      <c r="N17">
        <v>0</v>
      </c>
    </row>
    <row r="18" spans="1:14">
      <c r="A18">
        <v>17</v>
      </c>
      <c r="B18" t="s">
        <v>37</v>
      </c>
      <c r="C18" t="s">
        <v>37</v>
      </c>
      <c r="D18">
        <v>0.15</v>
      </c>
      <c r="E18">
        <v>0</v>
      </c>
      <c r="F18">
        <v>0</v>
      </c>
      <c r="G18">
        <v>0</v>
      </c>
      <c r="H18">
        <v>0.77</v>
      </c>
      <c r="I18">
        <v>0</v>
      </c>
      <c r="J18">
        <v>0.08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65</v>
      </c>
      <c r="C20" t="s">
        <v>65</v>
      </c>
      <c r="D20">
        <v>0</v>
      </c>
      <c r="E20">
        <v>0</v>
      </c>
      <c r="F20">
        <v>0</v>
      </c>
      <c r="G20">
        <v>0.98</v>
      </c>
      <c r="H20">
        <v>0</v>
      </c>
      <c r="I20">
        <v>0</v>
      </c>
      <c r="J20">
        <v>0.01</v>
      </c>
      <c r="K20">
        <v>0</v>
      </c>
      <c r="L20">
        <v>0</v>
      </c>
      <c r="M20">
        <v>0.01</v>
      </c>
      <c r="N20">
        <v>0</v>
      </c>
    </row>
    <row r="21" spans="1:14">
      <c r="A21">
        <v>20</v>
      </c>
      <c r="B21" t="s">
        <v>37</v>
      </c>
      <c r="C21" t="s">
        <v>37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20</v>
      </c>
      <c r="C22" t="s">
        <v>20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31</v>
      </c>
      <c r="C23" t="s">
        <v>31</v>
      </c>
      <c r="D23">
        <v>0</v>
      </c>
      <c r="E23">
        <v>0.11</v>
      </c>
      <c r="F23">
        <v>0</v>
      </c>
      <c r="G23">
        <v>0</v>
      </c>
      <c r="H23">
        <v>0.09</v>
      </c>
      <c r="I23">
        <v>0</v>
      </c>
      <c r="J23">
        <v>0.8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37</v>
      </c>
      <c r="C24" t="s">
        <v>37</v>
      </c>
      <c r="D24">
        <v>0.04</v>
      </c>
      <c r="E24">
        <v>0</v>
      </c>
      <c r="F24">
        <v>0</v>
      </c>
      <c r="G24">
        <v>0</v>
      </c>
      <c r="H24">
        <v>0.69</v>
      </c>
      <c r="I24">
        <v>0</v>
      </c>
      <c r="J24">
        <v>0.27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37</v>
      </c>
      <c r="C25" t="s">
        <v>37</v>
      </c>
      <c r="D25">
        <v>0.02</v>
      </c>
      <c r="E25">
        <v>0</v>
      </c>
      <c r="F25">
        <v>0</v>
      </c>
      <c r="G25">
        <v>0</v>
      </c>
      <c r="H25">
        <v>0.91</v>
      </c>
      <c r="I25">
        <v>0</v>
      </c>
      <c r="J25">
        <v>0.03</v>
      </c>
      <c r="K25">
        <v>0</v>
      </c>
      <c r="L25">
        <v>0</v>
      </c>
      <c r="M25">
        <v>0.04</v>
      </c>
      <c r="N25">
        <v>0</v>
      </c>
    </row>
    <row r="26" spans="1:14">
      <c r="A26">
        <v>25</v>
      </c>
      <c r="B26" t="s">
        <v>37</v>
      </c>
      <c r="C26" t="s">
        <v>37</v>
      </c>
      <c r="D26">
        <v>0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37</v>
      </c>
      <c r="C28" t="s">
        <v>37</v>
      </c>
      <c r="D28">
        <v>0.01</v>
      </c>
      <c r="E28">
        <v>0</v>
      </c>
      <c r="F28">
        <v>0</v>
      </c>
      <c r="G28">
        <v>0</v>
      </c>
      <c r="H28">
        <v>0.91</v>
      </c>
      <c r="I28">
        <v>0.01</v>
      </c>
      <c r="J28">
        <v>0.04</v>
      </c>
      <c r="K28">
        <v>0</v>
      </c>
      <c r="L28">
        <v>0</v>
      </c>
      <c r="M28">
        <v>0.03</v>
      </c>
      <c r="N28">
        <v>0</v>
      </c>
    </row>
    <row r="29" spans="1:14">
      <c r="A29">
        <v>28</v>
      </c>
      <c r="B29" t="s">
        <v>20</v>
      </c>
      <c r="C29" t="s">
        <v>20</v>
      </c>
      <c r="D29">
        <v>0</v>
      </c>
      <c r="E29">
        <v>0.92</v>
      </c>
      <c r="F29">
        <v>0</v>
      </c>
      <c r="G29">
        <v>0</v>
      </c>
      <c r="H29">
        <v>7.0000000000000007E-2</v>
      </c>
      <c r="I29">
        <v>0</v>
      </c>
      <c r="J29">
        <v>0.01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65</v>
      </c>
      <c r="C30" t="s">
        <v>65</v>
      </c>
      <c r="D30">
        <v>0</v>
      </c>
      <c r="E30">
        <v>0</v>
      </c>
      <c r="F30">
        <v>0</v>
      </c>
      <c r="G30">
        <v>0.99</v>
      </c>
      <c r="H30">
        <v>0</v>
      </c>
      <c r="I30">
        <v>0</v>
      </c>
      <c r="J30">
        <v>0.01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31</v>
      </c>
      <c r="C31" t="s">
        <v>31</v>
      </c>
      <c r="D31">
        <v>0</v>
      </c>
      <c r="E31">
        <v>0.08</v>
      </c>
      <c r="F31">
        <v>0</v>
      </c>
      <c r="G31">
        <v>0</v>
      </c>
      <c r="H31">
        <v>0.14000000000000001</v>
      </c>
      <c r="I31">
        <v>0</v>
      </c>
      <c r="J31">
        <v>0.78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55</v>
      </c>
      <c r="C33" t="s">
        <v>55</v>
      </c>
      <c r="D33">
        <v>0.01</v>
      </c>
      <c r="E33">
        <v>0.02</v>
      </c>
      <c r="F33">
        <v>0</v>
      </c>
      <c r="G33">
        <v>0</v>
      </c>
      <c r="H33">
        <v>0.06</v>
      </c>
      <c r="I33">
        <v>0</v>
      </c>
      <c r="J33">
        <v>0.04</v>
      </c>
      <c r="K33">
        <v>0</v>
      </c>
      <c r="L33">
        <v>0</v>
      </c>
      <c r="M33">
        <v>0.87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0.03</v>
      </c>
      <c r="E35">
        <v>0.75</v>
      </c>
      <c r="F35">
        <v>0</v>
      </c>
      <c r="G35">
        <v>0</v>
      </c>
      <c r="H35">
        <v>0.17</v>
      </c>
      <c r="I35">
        <v>0</v>
      </c>
      <c r="J35">
        <v>0.01</v>
      </c>
      <c r="K35">
        <v>0</v>
      </c>
      <c r="L35">
        <v>0</v>
      </c>
      <c r="M35">
        <v>0.04</v>
      </c>
      <c r="N35">
        <v>0</v>
      </c>
    </row>
    <row r="36" spans="1:14">
      <c r="A36">
        <v>35</v>
      </c>
      <c r="B36" t="s">
        <v>20</v>
      </c>
      <c r="C36" t="s">
        <v>20</v>
      </c>
      <c r="D36">
        <v>0</v>
      </c>
      <c r="E36">
        <v>0.99</v>
      </c>
      <c r="F36">
        <v>0</v>
      </c>
      <c r="G36">
        <v>0</v>
      </c>
      <c r="H36">
        <v>0.01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20</v>
      </c>
      <c r="C37" t="s">
        <v>20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65</v>
      </c>
      <c r="C38" t="s">
        <v>65</v>
      </c>
      <c r="D38">
        <v>0</v>
      </c>
      <c r="E38">
        <v>0</v>
      </c>
      <c r="F38">
        <v>0</v>
      </c>
      <c r="G38">
        <v>0.85</v>
      </c>
      <c r="H38">
        <v>0</v>
      </c>
      <c r="I38">
        <v>0</v>
      </c>
      <c r="J38">
        <v>0.11</v>
      </c>
      <c r="K38">
        <v>0</v>
      </c>
      <c r="L38">
        <v>0</v>
      </c>
      <c r="M38">
        <v>0.04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0.97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0.03</v>
      </c>
      <c r="N39">
        <v>0</v>
      </c>
    </row>
    <row r="40" spans="1:14">
      <c r="A40">
        <v>39</v>
      </c>
      <c r="B40" t="s">
        <v>55</v>
      </c>
      <c r="C40" t="s">
        <v>55</v>
      </c>
      <c r="D40">
        <v>0.03</v>
      </c>
      <c r="E40">
        <v>0</v>
      </c>
      <c r="F40">
        <v>0</v>
      </c>
      <c r="G40">
        <v>0</v>
      </c>
      <c r="H40">
        <v>0.12</v>
      </c>
      <c r="I40">
        <v>0</v>
      </c>
      <c r="J40">
        <v>0.13</v>
      </c>
      <c r="K40">
        <v>0</v>
      </c>
      <c r="L40">
        <v>0</v>
      </c>
      <c r="M40">
        <v>0.72</v>
      </c>
      <c r="N40">
        <v>0</v>
      </c>
    </row>
    <row r="41" spans="1:14">
      <c r="A41">
        <v>40</v>
      </c>
      <c r="B41" t="s">
        <v>98</v>
      </c>
      <c r="C41" t="s">
        <v>98</v>
      </c>
      <c r="D41">
        <v>0.01</v>
      </c>
      <c r="E41">
        <v>0</v>
      </c>
      <c r="F41">
        <v>0.99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0.01</v>
      </c>
      <c r="E42">
        <v>0.69</v>
      </c>
      <c r="F42">
        <v>0</v>
      </c>
      <c r="G42">
        <v>0</v>
      </c>
      <c r="H42">
        <v>0.01</v>
      </c>
      <c r="I42">
        <v>0</v>
      </c>
      <c r="J42">
        <v>0.28999999999999998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55</v>
      </c>
      <c r="C43" t="s">
        <v>55</v>
      </c>
      <c r="D43">
        <v>0.01</v>
      </c>
      <c r="E43">
        <v>0.01</v>
      </c>
      <c r="F43">
        <v>0</v>
      </c>
      <c r="G43">
        <v>0</v>
      </c>
      <c r="H43">
        <v>0.04</v>
      </c>
      <c r="I43">
        <v>0</v>
      </c>
      <c r="J43">
        <v>0.02</v>
      </c>
      <c r="K43">
        <v>0</v>
      </c>
      <c r="L43">
        <v>0</v>
      </c>
      <c r="M43">
        <v>0.92</v>
      </c>
      <c r="N43">
        <v>0</v>
      </c>
    </row>
    <row r="44" spans="1:14">
      <c r="A44">
        <v>43</v>
      </c>
      <c r="B44" t="s">
        <v>98</v>
      </c>
      <c r="C44" t="s">
        <v>98</v>
      </c>
      <c r="D44">
        <v>0.09</v>
      </c>
      <c r="E44">
        <v>0</v>
      </c>
      <c r="F44">
        <v>0.77</v>
      </c>
      <c r="G44">
        <v>0</v>
      </c>
      <c r="H44">
        <v>0.06</v>
      </c>
      <c r="I44">
        <v>0.08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>
      <c r="A45">
        <v>44</v>
      </c>
      <c r="B45" t="s">
        <v>65</v>
      </c>
      <c r="C45" t="s">
        <v>65</v>
      </c>
      <c r="D45">
        <v>0</v>
      </c>
      <c r="E45">
        <v>0</v>
      </c>
      <c r="F45">
        <v>0</v>
      </c>
      <c r="G45">
        <v>0.92</v>
      </c>
      <c r="H45">
        <v>0</v>
      </c>
      <c r="I45">
        <v>0</v>
      </c>
      <c r="J45">
        <v>0.02</v>
      </c>
      <c r="K45">
        <v>0</v>
      </c>
      <c r="L45">
        <v>0</v>
      </c>
      <c r="M45">
        <v>0.06</v>
      </c>
      <c r="N45">
        <v>0</v>
      </c>
    </row>
    <row r="46" spans="1:14">
      <c r="A46">
        <v>45</v>
      </c>
      <c r="B46" t="s">
        <v>37</v>
      </c>
      <c r="C46" t="s">
        <v>37</v>
      </c>
      <c r="D46">
        <v>0</v>
      </c>
      <c r="E46">
        <v>0.09</v>
      </c>
      <c r="F46">
        <v>0</v>
      </c>
      <c r="G46">
        <v>0</v>
      </c>
      <c r="H46">
        <v>0.83</v>
      </c>
      <c r="I46">
        <v>0</v>
      </c>
      <c r="J46">
        <v>0.08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37</v>
      </c>
      <c r="C47" t="s">
        <v>37</v>
      </c>
      <c r="D47">
        <v>0.01</v>
      </c>
      <c r="E47">
        <v>0.13</v>
      </c>
      <c r="F47">
        <v>0</v>
      </c>
      <c r="G47">
        <v>0</v>
      </c>
      <c r="H47">
        <v>0.77</v>
      </c>
      <c r="I47">
        <v>0</v>
      </c>
      <c r="J47">
        <v>0.06</v>
      </c>
      <c r="K47">
        <v>0</v>
      </c>
      <c r="L47">
        <v>0</v>
      </c>
      <c r="M47">
        <v>0.03</v>
      </c>
      <c r="N47">
        <v>0</v>
      </c>
    </row>
    <row r="48" spans="1:14">
      <c r="A48">
        <v>47</v>
      </c>
      <c r="B48" t="s">
        <v>37</v>
      </c>
      <c r="C48" t="s">
        <v>37</v>
      </c>
      <c r="D48">
        <v>0</v>
      </c>
      <c r="E48">
        <v>0.04</v>
      </c>
      <c r="F48">
        <v>0</v>
      </c>
      <c r="G48">
        <v>0</v>
      </c>
      <c r="H48">
        <v>0.85</v>
      </c>
      <c r="I48">
        <v>0</v>
      </c>
      <c r="J48">
        <v>0.11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37</v>
      </c>
      <c r="C49" t="s">
        <v>37</v>
      </c>
      <c r="D49">
        <v>0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37</v>
      </c>
      <c r="C50" t="s">
        <v>37</v>
      </c>
      <c r="D50">
        <v>0.18</v>
      </c>
      <c r="E50">
        <v>0</v>
      </c>
      <c r="F50">
        <v>0.01</v>
      </c>
      <c r="G50">
        <v>0.19</v>
      </c>
      <c r="H50">
        <v>0.62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20</v>
      </c>
      <c r="C51" t="s">
        <v>20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31</v>
      </c>
      <c r="C52" t="s">
        <v>31</v>
      </c>
      <c r="D52">
        <v>0</v>
      </c>
      <c r="E52">
        <v>0.03</v>
      </c>
      <c r="F52">
        <v>0</v>
      </c>
      <c r="G52">
        <v>0.01</v>
      </c>
      <c r="H52">
        <v>0.36</v>
      </c>
      <c r="I52">
        <v>0</v>
      </c>
      <c r="J52">
        <v>0.6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20</v>
      </c>
      <c r="C53" t="s">
        <v>20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37</v>
      </c>
      <c r="C54" t="s">
        <v>37</v>
      </c>
      <c r="D54">
        <v>0.04</v>
      </c>
      <c r="E54">
        <v>0.03</v>
      </c>
      <c r="F54">
        <v>0</v>
      </c>
      <c r="G54">
        <v>0</v>
      </c>
      <c r="H54">
        <v>0.76</v>
      </c>
      <c r="I54">
        <v>0.01</v>
      </c>
      <c r="J54">
        <v>0.11</v>
      </c>
      <c r="K54">
        <v>0</v>
      </c>
      <c r="L54">
        <v>0</v>
      </c>
      <c r="M54">
        <v>0.04</v>
      </c>
      <c r="N54">
        <v>0.01</v>
      </c>
    </row>
    <row r="55" spans="1:14">
      <c r="A55">
        <v>54</v>
      </c>
      <c r="B55" t="s">
        <v>37</v>
      </c>
      <c r="C55" t="s">
        <v>37</v>
      </c>
      <c r="D55">
        <v>0.04</v>
      </c>
      <c r="E55">
        <v>0.02</v>
      </c>
      <c r="F55">
        <v>0</v>
      </c>
      <c r="G55">
        <v>0</v>
      </c>
      <c r="H55">
        <v>0.86</v>
      </c>
      <c r="I55">
        <v>0</v>
      </c>
      <c r="J55">
        <v>0.01</v>
      </c>
      <c r="K55">
        <v>0</v>
      </c>
      <c r="L55">
        <v>0</v>
      </c>
      <c r="M55">
        <v>0.06</v>
      </c>
      <c r="N55">
        <v>0.01</v>
      </c>
    </row>
    <row r="56" spans="1:14">
      <c r="A56">
        <v>55</v>
      </c>
      <c r="B56" t="s">
        <v>20</v>
      </c>
      <c r="C56" t="s">
        <v>20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43</v>
      </c>
      <c r="C57" t="s">
        <v>43</v>
      </c>
      <c r="D57">
        <v>0.99</v>
      </c>
      <c r="E57">
        <v>0</v>
      </c>
      <c r="F57">
        <v>0</v>
      </c>
      <c r="G57">
        <v>0.01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55</v>
      </c>
      <c r="C58" t="s">
        <v>55</v>
      </c>
      <c r="D58">
        <v>0.02</v>
      </c>
      <c r="E58">
        <v>0</v>
      </c>
      <c r="F58">
        <v>0</v>
      </c>
      <c r="G58">
        <v>0</v>
      </c>
      <c r="H58">
        <v>0.26</v>
      </c>
      <c r="I58">
        <v>0</v>
      </c>
      <c r="J58">
        <v>0</v>
      </c>
      <c r="K58">
        <v>0</v>
      </c>
      <c r="L58">
        <v>0</v>
      </c>
      <c r="M58">
        <v>0.72</v>
      </c>
      <c r="N58">
        <v>0</v>
      </c>
    </row>
    <row r="59" spans="1:14">
      <c r="A59">
        <v>58</v>
      </c>
      <c r="B59" t="s">
        <v>31</v>
      </c>
      <c r="C59" t="s">
        <v>31</v>
      </c>
      <c r="D59">
        <v>0.02</v>
      </c>
      <c r="E59">
        <v>0.01</v>
      </c>
      <c r="F59">
        <v>0</v>
      </c>
      <c r="G59">
        <v>0.01</v>
      </c>
      <c r="H59">
        <v>0.02</v>
      </c>
      <c r="I59">
        <v>0</v>
      </c>
      <c r="J59">
        <v>0.92</v>
      </c>
      <c r="K59">
        <v>0</v>
      </c>
      <c r="L59">
        <v>0.02</v>
      </c>
      <c r="M59">
        <v>0</v>
      </c>
      <c r="N59">
        <v>0</v>
      </c>
    </row>
    <row r="60" spans="1:14">
      <c r="A60">
        <v>59</v>
      </c>
      <c r="B60" t="s">
        <v>37</v>
      </c>
      <c r="C60" t="s">
        <v>37</v>
      </c>
      <c r="D60">
        <v>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20</v>
      </c>
      <c r="C61" t="s">
        <v>20</v>
      </c>
      <c r="D61">
        <v>0</v>
      </c>
      <c r="E61">
        <v>0.94</v>
      </c>
      <c r="F61">
        <v>0</v>
      </c>
      <c r="G61">
        <v>0.04</v>
      </c>
      <c r="H61">
        <v>0.02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31</v>
      </c>
      <c r="C62" t="s">
        <v>31</v>
      </c>
      <c r="D62">
        <v>0.02</v>
      </c>
      <c r="E62">
        <v>0</v>
      </c>
      <c r="F62">
        <v>0</v>
      </c>
      <c r="G62">
        <v>0.06</v>
      </c>
      <c r="H62">
        <v>0.03</v>
      </c>
      <c r="I62">
        <v>0</v>
      </c>
      <c r="J62">
        <v>0.89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43</v>
      </c>
      <c r="C63" t="s">
        <v>43</v>
      </c>
      <c r="D63">
        <v>0.95</v>
      </c>
      <c r="E63">
        <v>0</v>
      </c>
      <c r="F63">
        <v>0</v>
      </c>
      <c r="G63">
        <v>0</v>
      </c>
      <c r="H63">
        <v>0</v>
      </c>
      <c r="I63">
        <v>0</v>
      </c>
      <c r="J63">
        <v>0.03</v>
      </c>
      <c r="K63">
        <v>0</v>
      </c>
      <c r="L63">
        <v>0</v>
      </c>
      <c r="M63">
        <v>0.02</v>
      </c>
      <c r="N63">
        <v>0</v>
      </c>
    </row>
    <row r="64" spans="1:14">
      <c r="A64">
        <v>63</v>
      </c>
      <c r="B64" t="s">
        <v>43</v>
      </c>
      <c r="C64" t="s">
        <v>43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37</v>
      </c>
      <c r="C65" t="s">
        <v>37</v>
      </c>
      <c r="D65">
        <v>0.06</v>
      </c>
      <c r="E65">
        <v>0</v>
      </c>
      <c r="F65">
        <v>0</v>
      </c>
      <c r="G65">
        <v>0</v>
      </c>
      <c r="H65">
        <v>0.85</v>
      </c>
      <c r="I65">
        <v>0</v>
      </c>
      <c r="J65">
        <v>0.08</v>
      </c>
      <c r="K65">
        <v>0</v>
      </c>
      <c r="L65">
        <v>0</v>
      </c>
      <c r="M65">
        <v>0.01</v>
      </c>
      <c r="N65">
        <v>0</v>
      </c>
    </row>
    <row r="66" spans="1:14">
      <c r="A66">
        <v>65</v>
      </c>
      <c r="B66" t="s">
        <v>65</v>
      </c>
      <c r="C66" t="s">
        <v>65</v>
      </c>
      <c r="D66">
        <v>7.0000000000000007E-2</v>
      </c>
      <c r="E66">
        <v>0</v>
      </c>
      <c r="F66">
        <v>0</v>
      </c>
      <c r="G66">
        <v>0.9</v>
      </c>
      <c r="H66">
        <v>0.02</v>
      </c>
      <c r="I66">
        <v>0</v>
      </c>
      <c r="J66">
        <v>0</v>
      </c>
      <c r="K66">
        <v>0</v>
      </c>
      <c r="L66">
        <v>0</v>
      </c>
      <c r="M66">
        <v>0.01</v>
      </c>
      <c r="N66">
        <v>0</v>
      </c>
    </row>
    <row r="67" spans="1:14">
      <c r="A67">
        <v>66</v>
      </c>
      <c r="B67" t="s">
        <v>37</v>
      </c>
      <c r="C67" t="s">
        <v>37</v>
      </c>
      <c r="D67">
        <v>0.22</v>
      </c>
      <c r="E67">
        <v>0</v>
      </c>
      <c r="F67">
        <v>0</v>
      </c>
      <c r="G67">
        <v>0</v>
      </c>
      <c r="H67">
        <v>0.71</v>
      </c>
      <c r="I67">
        <v>0</v>
      </c>
      <c r="J67">
        <v>0.02</v>
      </c>
      <c r="K67">
        <v>0</v>
      </c>
      <c r="L67">
        <v>0</v>
      </c>
      <c r="M67">
        <v>0.05</v>
      </c>
      <c r="N67">
        <v>0</v>
      </c>
    </row>
    <row r="68" spans="1:14">
      <c r="A68">
        <v>67</v>
      </c>
      <c r="B68" t="s">
        <v>20</v>
      </c>
      <c r="C68" t="s">
        <v>20</v>
      </c>
      <c r="D68">
        <v>0</v>
      </c>
      <c r="E68">
        <v>1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20</v>
      </c>
      <c r="C69" t="s">
        <v>20</v>
      </c>
      <c r="D69">
        <v>0</v>
      </c>
      <c r="E69">
        <v>0.81</v>
      </c>
      <c r="F69">
        <v>0</v>
      </c>
      <c r="G69">
        <v>0</v>
      </c>
      <c r="H69">
        <v>0.08</v>
      </c>
      <c r="I69">
        <v>0</v>
      </c>
      <c r="J69">
        <v>0.11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31</v>
      </c>
      <c r="C70" t="s">
        <v>31</v>
      </c>
      <c r="D70">
        <v>0.02</v>
      </c>
      <c r="E70">
        <v>0</v>
      </c>
      <c r="F70">
        <v>0</v>
      </c>
      <c r="G70">
        <v>0</v>
      </c>
      <c r="H70">
        <v>0.16</v>
      </c>
      <c r="I70">
        <v>0</v>
      </c>
      <c r="J70">
        <v>0.76</v>
      </c>
      <c r="K70">
        <v>0</v>
      </c>
      <c r="L70">
        <v>0</v>
      </c>
      <c r="M70">
        <v>0.06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37</v>
      </c>
      <c r="C72" t="s">
        <v>37</v>
      </c>
      <c r="D72">
        <v>0.03</v>
      </c>
      <c r="E72">
        <v>0</v>
      </c>
      <c r="F72">
        <v>0</v>
      </c>
      <c r="G72">
        <v>0</v>
      </c>
      <c r="H72">
        <v>0.92</v>
      </c>
      <c r="I72">
        <v>0</v>
      </c>
      <c r="J72">
        <v>0.03</v>
      </c>
      <c r="K72">
        <v>0</v>
      </c>
      <c r="L72">
        <v>0</v>
      </c>
      <c r="M72">
        <v>0.02</v>
      </c>
      <c r="N72">
        <v>0</v>
      </c>
    </row>
    <row r="73" spans="1:14">
      <c r="A73">
        <v>72</v>
      </c>
      <c r="B73" t="s">
        <v>20</v>
      </c>
      <c r="C73" t="s">
        <v>20</v>
      </c>
      <c r="D73">
        <v>0.01</v>
      </c>
      <c r="E73">
        <v>0.81</v>
      </c>
      <c r="F73">
        <v>0</v>
      </c>
      <c r="G73">
        <v>0</v>
      </c>
      <c r="H73">
        <v>7.0000000000000007E-2</v>
      </c>
      <c r="I73">
        <v>0</v>
      </c>
      <c r="J73">
        <v>0.09</v>
      </c>
      <c r="K73">
        <v>0.02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55</v>
      </c>
      <c r="C75" t="s">
        <v>55</v>
      </c>
      <c r="D75">
        <v>0</v>
      </c>
      <c r="E75">
        <v>0.04</v>
      </c>
      <c r="F75">
        <v>0</v>
      </c>
      <c r="G75">
        <v>0</v>
      </c>
      <c r="H75">
        <v>0.21</v>
      </c>
      <c r="I75">
        <v>0</v>
      </c>
      <c r="J75">
        <v>0.05</v>
      </c>
      <c r="K75">
        <v>0</v>
      </c>
      <c r="L75">
        <v>0</v>
      </c>
      <c r="M75">
        <v>0.7</v>
      </c>
      <c r="N75">
        <v>0</v>
      </c>
    </row>
    <row r="76" spans="1:14">
      <c r="A76">
        <v>75</v>
      </c>
      <c r="B76" t="s">
        <v>20</v>
      </c>
      <c r="C76" t="s">
        <v>20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140</v>
      </c>
      <c r="C77" t="s">
        <v>140</v>
      </c>
      <c r="D77">
        <v>0</v>
      </c>
      <c r="E77">
        <v>0</v>
      </c>
      <c r="F77">
        <v>0</v>
      </c>
      <c r="G77">
        <v>0</v>
      </c>
      <c r="H77">
        <v>0.13</v>
      </c>
      <c r="I77">
        <v>0</v>
      </c>
      <c r="J77">
        <v>0.01</v>
      </c>
      <c r="K77">
        <v>0</v>
      </c>
      <c r="L77">
        <v>0.86</v>
      </c>
      <c r="M77">
        <v>0</v>
      </c>
      <c r="N77">
        <v>0</v>
      </c>
    </row>
    <row r="78" spans="1:14">
      <c r="A78">
        <v>77</v>
      </c>
      <c r="B78" t="s">
        <v>43</v>
      </c>
      <c r="C78" t="s">
        <v>43</v>
      </c>
      <c r="D78">
        <v>0.89</v>
      </c>
      <c r="E78">
        <v>0</v>
      </c>
      <c r="F78">
        <v>0</v>
      </c>
      <c r="G78">
        <v>0.03</v>
      </c>
      <c r="H78">
        <v>0.08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31</v>
      </c>
      <c r="C79" t="s">
        <v>31</v>
      </c>
      <c r="D79">
        <v>0</v>
      </c>
      <c r="E79">
        <v>0.01</v>
      </c>
      <c r="F79">
        <v>0</v>
      </c>
      <c r="G79">
        <v>0</v>
      </c>
      <c r="H79">
        <v>0.15</v>
      </c>
      <c r="I79">
        <v>0</v>
      </c>
      <c r="J79">
        <v>0.84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98</v>
      </c>
      <c r="C80" t="s">
        <v>98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37</v>
      </c>
      <c r="C82" t="s">
        <v>37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31</v>
      </c>
      <c r="C83" t="s">
        <v>31</v>
      </c>
      <c r="D83">
        <v>0.02</v>
      </c>
      <c r="E83">
        <v>0</v>
      </c>
      <c r="F83">
        <v>0</v>
      </c>
      <c r="G83">
        <v>0</v>
      </c>
      <c r="H83">
        <v>7.0000000000000007E-2</v>
      </c>
      <c r="I83">
        <v>0</v>
      </c>
      <c r="J83">
        <v>0.83</v>
      </c>
      <c r="K83">
        <v>0</v>
      </c>
      <c r="L83">
        <v>0</v>
      </c>
      <c r="M83">
        <v>0.08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</v>
      </c>
      <c r="E84">
        <v>0.99</v>
      </c>
      <c r="F84">
        <v>0</v>
      </c>
      <c r="G84">
        <v>0</v>
      </c>
      <c r="H84">
        <v>0.01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151</v>
      </c>
      <c r="C85" t="s">
        <v>151</v>
      </c>
      <c r="D85">
        <v>0</v>
      </c>
      <c r="E85">
        <v>0.01</v>
      </c>
      <c r="F85">
        <v>0</v>
      </c>
      <c r="G85">
        <v>0</v>
      </c>
      <c r="H85">
        <v>0.11</v>
      </c>
      <c r="I85">
        <v>0.7</v>
      </c>
      <c r="J85">
        <v>0.1</v>
      </c>
      <c r="K85">
        <v>0</v>
      </c>
      <c r="L85">
        <v>0</v>
      </c>
      <c r="M85">
        <v>0.08</v>
      </c>
      <c r="N85">
        <v>0</v>
      </c>
    </row>
    <row r="86" spans="1:14">
      <c r="A86">
        <v>85</v>
      </c>
      <c r="B86" t="s">
        <v>55</v>
      </c>
      <c r="C86" t="s">
        <v>55</v>
      </c>
      <c r="D86">
        <v>0</v>
      </c>
      <c r="E86">
        <v>0.01</v>
      </c>
      <c r="F86">
        <v>0</v>
      </c>
      <c r="G86">
        <v>0</v>
      </c>
      <c r="H86">
        <v>0.11</v>
      </c>
      <c r="I86">
        <v>0</v>
      </c>
      <c r="J86">
        <v>0.01</v>
      </c>
      <c r="K86">
        <v>0</v>
      </c>
      <c r="L86">
        <v>0</v>
      </c>
      <c r="M86">
        <v>0.87</v>
      </c>
      <c r="N86">
        <v>0</v>
      </c>
    </row>
    <row r="87" spans="1:14">
      <c r="A87">
        <v>86</v>
      </c>
      <c r="B87" t="s">
        <v>156</v>
      </c>
      <c r="C87" t="s">
        <v>156</v>
      </c>
      <c r="D87">
        <v>0.05</v>
      </c>
      <c r="E87">
        <v>0.19</v>
      </c>
      <c r="F87">
        <v>0</v>
      </c>
      <c r="G87">
        <v>0</v>
      </c>
      <c r="H87">
        <v>0.02</v>
      </c>
      <c r="I87">
        <v>0.04</v>
      </c>
      <c r="J87">
        <v>0.01</v>
      </c>
      <c r="K87">
        <v>0.67</v>
      </c>
      <c r="L87">
        <v>0</v>
      </c>
      <c r="M87">
        <v>0.02</v>
      </c>
      <c r="N87">
        <v>0</v>
      </c>
    </row>
    <row r="88" spans="1:14">
      <c r="A88">
        <v>87</v>
      </c>
      <c r="B88" t="s">
        <v>37</v>
      </c>
      <c r="C88" t="s">
        <v>37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20</v>
      </c>
      <c r="C89" t="s">
        <v>20</v>
      </c>
      <c r="D89">
        <v>0</v>
      </c>
      <c r="E89">
        <v>0.99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0.01</v>
      </c>
      <c r="M89">
        <v>0</v>
      </c>
      <c r="N89">
        <v>0</v>
      </c>
    </row>
    <row r="90" spans="1:14">
      <c r="A90">
        <v>89</v>
      </c>
      <c r="B90" t="s">
        <v>65</v>
      </c>
      <c r="C90" t="s">
        <v>65</v>
      </c>
      <c r="D90">
        <v>0</v>
      </c>
      <c r="E90">
        <v>0</v>
      </c>
      <c r="F90">
        <v>0</v>
      </c>
      <c r="G90">
        <v>0.97</v>
      </c>
      <c r="H90">
        <v>0</v>
      </c>
      <c r="I90">
        <v>0</v>
      </c>
      <c r="J90">
        <v>0.03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31</v>
      </c>
      <c r="C91" t="s">
        <v>31</v>
      </c>
      <c r="D91">
        <v>0</v>
      </c>
      <c r="E91">
        <v>0</v>
      </c>
      <c r="F91">
        <v>0</v>
      </c>
      <c r="G91">
        <v>0.25</v>
      </c>
      <c r="H91">
        <v>0</v>
      </c>
      <c r="I91">
        <v>0</v>
      </c>
      <c r="J91">
        <v>0.75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20</v>
      </c>
      <c r="C92" t="s">
        <v>20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37</v>
      </c>
      <c r="C94" t="s">
        <v>37</v>
      </c>
      <c r="D94">
        <v>0.05</v>
      </c>
      <c r="E94">
        <v>0</v>
      </c>
      <c r="F94">
        <v>0</v>
      </c>
      <c r="G94">
        <v>0</v>
      </c>
      <c r="H94">
        <v>0.87</v>
      </c>
      <c r="I94">
        <v>0</v>
      </c>
      <c r="J94">
        <v>0.04</v>
      </c>
      <c r="K94">
        <v>0</v>
      </c>
      <c r="L94">
        <v>0</v>
      </c>
      <c r="M94">
        <v>0.04</v>
      </c>
      <c r="N94">
        <v>0</v>
      </c>
    </row>
    <row r="95" spans="1:14">
      <c r="A95">
        <v>94</v>
      </c>
      <c r="B95" t="s">
        <v>20</v>
      </c>
      <c r="C95" t="s">
        <v>20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37</v>
      </c>
      <c r="C96" t="s">
        <v>37</v>
      </c>
      <c r="D96">
        <v>0</v>
      </c>
      <c r="E96">
        <v>0.03</v>
      </c>
      <c r="F96">
        <v>0</v>
      </c>
      <c r="G96">
        <v>0</v>
      </c>
      <c r="H96">
        <v>0.96</v>
      </c>
      <c r="I96">
        <v>0</v>
      </c>
      <c r="J96">
        <v>0</v>
      </c>
      <c r="K96">
        <v>0.01</v>
      </c>
      <c r="L96">
        <v>0</v>
      </c>
      <c r="M96">
        <v>0</v>
      </c>
      <c r="N96">
        <v>0</v>
      </c>
    </row>
    <row r="97" spans="1:14">
      <c r="A97">
        <v>96</v>
      </c>
      <c r="B97" t="s">
        <v>37</v>
      </c>
      <c r="C97" t="s">
        <v>37</v>
      </c>
      <c r="D97">
        <v>0</v>
      </c>
      <c r="E97">
        <v>0</v>
      </c>
      <c r="F97">
        <v>0</v>
      </c>
      <c r="G97">
        <v>0</v>
      </c>
      <c r="H97">
        <v>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31</v>
      </c>
      <c r="C98" t="s">
        <v>31</v>
      </c>
      <c r="D98">
        <v>0</v>
      </c>
      <c r="E98">
        <v>0.01</v>
      </c>
      <c r="F98">
        <v>0</v>
      </c>
      <c r="G98">
        <v>0.13</v>
      </c>
      <c r="H98">
        <v>0.04</v>
      </c>
      <c r="I98">
        <v>0</v>
      </c>
      <c r="J98">
        <v>0.73</v>
      </c>
      <c r="K98">
        <v>0</v>
      </c>
      <c r="L98">
        <v>0</v>
      </c>
      <c r="M98">
        <v>0.05</v>
      </c>
      <c r="N98">
        <v>0.04</v>
      </c>
    </row>
    <row r="99" spans="1:14">
      <c r="A99">
        <v>98</v>
      </c>
      <c r="B99" t="s">
        <v>37</v>
      </c>
      <c r="C99" t="s">
        <v>37</v>
      </c>
      <c r="D99">
        <v>0.01</v>
      </c>
      <c r="E99">
        <v>0.01</v>
      </c>
      <c r="F99">
        <v>0</v>
      </c>
      <c r="G99">
        <v>0</v>
      </c>
      <c r="H99">
        <v>0.97</v>
      </c>
      <c r="I99">
        <v>0</v>
      </c>
      <c r="J99">
        <v>0.01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37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0.98</v>
      </c>
      <c r="I100">
        <v>0</v>
      </c>
      <c r="J100">
        <v>0</v>
      </c>
      <c r="K100">
        <v>0</v>
      </c>
      <c r="L100">
        <v>0.02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0.78</v>
      </c>
      <c r="F101">
        <v>0</v>
      </c>
      <c r="G101">
        <v>0</v>
      </c>
      <c r="H101">
        <v>0.03</v>
      </c>
      <c r="I101">
        <v>0</v>
      </c>
      <c r="J101">
        <v>0</v>
      </c>
      <c r="K101">
        <v>0</v>
      </c>
      <c r="L101">
        <v>0</v>
      </c>
      <c r="M101">
        <v>0.19</v>
      </c>
      <c r="N101">
        <v>0</v>
      </c>
    </row>
    <row r="102" spans="1:14">
      <c r="A102">
        <v>101</v>
      </c>
      <c r="B102" t="s">
        <v>65</v>
      </c>
      <c r="C102" t="s">
        <v>65</v>
      </c>
      <c r="D102">
        <v>0</v>
      </c>
      <c r="E102">
        <v>0</v>
      </c>
      <c r="F102">
        <v>0</v>
      </c>
      <c r="G102">
        <v>0.73</v>
      </c>
      <c r="H102">
        <v>0.05</v>
      </c>
      <c r="I102">
        <v>0.01</v>
      </c>
      <c r="J102">
        <v>0.18</v>
      </c>
      <c r="K102">
        <v>0.03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37</v>
      </c>
      <c r="C104" t="s">
        <v>37</v>
      </c>
      <c r="D104">
        <v>0.04</v>
      </c>
      <c r="E104">
        <v>0</v>
      </c>
      <c r="F104">
        <v>0</v>
      </c>
      <c r="G104">
        <v>0.02</v>
      </c>
      <c r="H104">
        <v>0.71</v>
      </c>
      <c r="I104">
        <v>0</v>
      </c>
      <c r="J104">
        <v>0.23</v>
      </c>
      <c r="K104">
        <v>0</v>
      </c>
      <c r="L104">
        <v>0</v>
      </c>
      <c r="M104">
        <v>0</v>
      </c>
      <c r="N104">
        <v>0</v>
      </c>
    </row>
    <row r="105" spans="1:14">
      <c r="A105">
        <v>104</v>
      </c>
      <c r="B105" t="s">
        <v>20</v>
      </c>
      <c r="C105" t="s">
        <v>20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0.95</v>
      </c>
      <c r="F106">
        <v>0</v>
      </c>
      <c r="G106">
        <v>0.02</v>
      </c>
      <c r="H106">
        <v>0.03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43</v>
      </c>
      <c r="C107" t="s">
        <v>43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43</v>
      </c>
      <c r="C108" t="s">
        <v>43</v>
      </c>
      <c r="D108">
        <v>1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20</v>
      </c>
      <c r="C109" t="s">
        <v>20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20</v>
      </c>
      <c r="C110" t="s">
        <v>20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65</v>
      </c>
      <c r="C111" t="s">
        <v>65</v>
      </c>
      <c r="D111">
        <v>0</v>
      </c>
      <c r="E111">
        <v>0</v>
      </c>
      <c r="F111">
        <v>0</v>
      </c>
      <c r="G111">
        <v>0.75</v>
      </c>
      <c r="H111">
        <v>0</v>
      </c>
      <c r="I111">
        <v>0</v>
      </c>
      <c r="J111">
        <v>0</v>
      </c>
      <c r="K111">
        <v>0</v>
      </c>
      <c r="L111">
        <v>0.25</v>
      </c>
      <c r="M111">
        <v>0</v>
      </c>
      <c r="N111">
        <v>0</v>
      </c>
    </row>
    <row r="112" spans="1:14">
      <c r="A112">
        <v>111</v>
      </c>
      <c r="B112" t="s">
        <v>20</v>
      </c>
      <c r="C112" t="s">
        <v>20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31</v>
      </c>
      <c r="C113" t="s">
        <v>31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55</v>
      </c>
      <c r="C114" t="s">
        <v>55</v>
      </c>
      <c r="D114">
        <v>0.01</v>
      </c>
      <c r="E114">
        <v>0</v>
      </c>
      <c r="F114">
        <v>0</v>
      </c>
      <c r="G114">
        <v>0</v>
      </c>
      <c r="H114">
        <v>0.01</v>
      </c>
      <c r="I114">
        <v>0.03</v>
      </c>
      <c r="J114">
        <v>0.22</v>
      </c>
      <c r="K114">
        <v>0</v>
      </c>
      <c r="L114">
        <v>0</v>
      </c>
      <c r="M114">
        <v>0.73</v>
      </c>
      <c r="N114">
        <v>0</v>
      </c>
    </row>
    <row r="115" spans="1:14">
      <c r="A115">
        <v>114</v>
      </c>
      <c r="B115" t="s">
        <v>37</v>
      </c>
      <c r="C115" t="s">
        <v>37</v>
      </c>
      <c r="D115">
        <v>0</v>
      </c>
      <c r="E115">
        <v>0</v>
      </c>
      <c r="F115">
        <v>0</v>
      </c>
      <c r="G115">
        <v>0</v>
      </c>
      <c r="H115">
        <v>0.99</v>
      </c>
      <c r="I115">
        <v>0</v>
      </c>
      <c r="J115">
        <v>0</v>
      </c>
      <c r="K115">
        <v>0</v>
      </c>
      <c r="L115">
        <v>0.01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20</v>
      </c>
      <c r="C117" t="s">
        <v>20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37</v>
      </c>
      <c r="C118" t="s">
        <v>37</v>
      </c>
      <c r="D118">
        <v>0.03</v>
      </c>
      <c r="E118">
        <v>0.1</v>
      </c>
      <c r="F118">
        <v>0</v>
      </c>
      <c r="G118">
        <v>0</v>
      </c>
      <c r="H118">
        <v>0.67</v>
      </c>
      <c r="I118">
        <v>0</v>
      </c>
      <c r="J118">
        <v>0.13</v>
      </c>
      <c r="K118">
        <v>0</v>
      </c>
      <c r="L118">
        <v>0</v>
      </c>
      <c r="M118">
        <v>7.0000000000000007E-2</v>
      </c>
      <c r="N118">
        <v>0</v>
      </c>
    </row>
    <row r="119" spans="1:14">
      <c r="A119">
        <v>118</v>
      </c>
      <c r="B119" t="s">
        <v>31</v>
      </c>
      <c r="C119" t="s">
        <v>31</v>
      </c>
      <c r="D119">
        <v>0</v>
      </c>
      <c r="E119">
        <v>0</v>
      </c>
      <c r="F119">
        <v>0</v>
      </c>
      <c r="G119">
        <v>0</v>
      </c>
      <c r="H119">
        <v>0.09</v>
      </c>
      <c r="I119">
        <v>0</v>
      </c>
      <c r="J119">
        <v>0.86</v>
      </c>
      <c r="K119">
        <v>0</v>
      </c>
      <c r="L119">
        <v>0</v>
      </c>
      <c r="M119">
        <v>0.05</v>
      </c>
      <c r="N119">
        <v>0</v>
      </c>
    </row>
    <row r="120" spans="1:14">
      <c r="A120">
        <v>119</v>
      </c>
      <c r="B120" t="s">
        <v>20</v>
      </c>
      <c r="C120" t="s">
        <v>20</v>
      </c>
      <c r="D120">
        <v>0</v>
      </c>
      <c r="E120">
        <v>0.97</v>
      </c>
      <c r="F120">
        <v>0</v>
      </c>
      <c r="G120">
        <v>0</v>
      </c>
      <c r="H120">
        <v>0.03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37</v>
      </c>
      <c r="C121" t="s">
        <v>37</v>
      </c>
      <c r="D121">
        <v>0</v>
      </c>
      <c r="E121">
        <v>0</v>
      </c>
      <c r="F121">
        <v>0</v>
      </c>
      <c r="G121">
        <v>0</v>
      </c>
      <c r="H121">
        <v>0.99</v>
      </c>
      <c r="I121">
        <v>0</v>
      </c>
      <c r="J121">
        <v>0.01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37</v>
      </c>
      <c r="C123" t="s">
        <v>37</v>
      </c>
      <c r="D123">
        <v>0</v>
      </c>
      <c r="E123">
        <v>0</v>
      </c>
      <c r="F123">
        <v>0</v>
      </c>
      <c r="G123">
        <v>0</v>
      </c>
      <c r="H123">
        <v>0.95</v>
      </c>
      <c r="I123">
        <v>0.05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43</v>
      </c>
      <c r="C124" t="s">
        <v>43</v>
      </c>
      <c r="D124">
        <v>0.77</v>
      </c>
      <c r="E124">
        <v>0</v>
      </c>
      <c r="F124">
        <v>0</v>
      </c>
      <c r="G124">
        <v>0</v>
      </c>
      <c r="H124">
        <v>0.11</v>
      </c>
      <c r="I124">
        <v>0</v>
      </c>
      <c r="J124">
        <v>0.12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37</v>
      </c>
      <c r="C125" t="s">
        <v>37</v>
      </c>
      <c r="D125">
        <v>0.03</v>
      </c>
      <c r="E125">
        <v>0</v>
      </c>
      <c r="F125">
        <v>0</v>
      </c>
      <c r="G125">
        <v>0</v>
      </c>
      <c r="H125">
        <v>0.82</v>
      </c>
      <c r="I125">
        <v>0</v>
      </c>
      <c r="J125">
        <v>0.14000000000000001</v>
      </c>
      <c r="K125">
        <v>0.01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20</v>
      </c>
      <c r="C126" t="s">
        <v>20</v>
      </c>
      <c r="D126">
        <v>0.01</v>
      </c>
      <c r="E126">
        <v>0.99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20</v>
      </c>
      <c r="C127" t="s">
        <v>20</v>
      </c>
      <c r="D127">
        <v>0</v>
      </c>
      <c r="E127">
        <v>0.85</v>
      </c>
      <c r="F127">
        <v>0</v>
      </c>
      <c r="G127">
        <v>0</v>
      </c>
      <c r="H127">
        <v>0.13</v>
      </c>
      <c r="I127">
        <v>0</v>
      </c>
      <c r="J127">
        <v>0.02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20</v>
      </c>
      <c r="C128" t="s">
        <v>20</v>
      </c>
      <c r="D128">
        <v>0</v>
      </c>
      <c r="E128">
        <v>0.61</v>
      </c>
      <c r="F128">
        <v>0</v>
      </c>
      <c r="G128">
        <v>0</v>
      </c>
      <c r="H128">
        <v>0.18</v>
      </c>
      <c r="I128">
        <v>0</v>
      </c>
      <c r="J128">
        <v>0.09</v>
      </c>
      <c r="K128">
        <v>0</v>
      </c>
      <c r="L128">
        <v>0</v>
      </c>
      <c r="M128">
        <v>0.12</v>
      </c>
      <c r="N128">
        <v>0</v>
      </c>
    </row>
    <row r="129" spans="1:14">
      <c r="A129">
        <v>128</v>
      </c>
      <c r="B129" t="s">
        <v>140</v>
      </c>
      <c r="C129" t="s">
        <v>140</v>
      </c>
      <c r="D129">
        <v>0</v>
      </c>
      <c r="E129">
        <v>0</v>
      </c>
      <c r="F129">
        <v>0</v>
      </c>
      <c r="G129">
        <v>0</v>
      </c>
      <c r="H129">
        <v>0.02</v>
      </c>
      <c r="I129">
        <v>0</v>
      </c>
      <c r="J129">
        <v>0</v>
      </c>
      <c r="K129">
        <v>0</v>
      </c>
      <c r="L129">
        <v>0.98</v>
      </c>
      <c r="M129">
        <v>0</v>
      </c>
      <c r="N129">
        <v>0</v>
      </c>
    </row>
    <row r="130" spans="1:14">
      <c r="A130">
        <v>129</v>
      </c>
      <c r="B130" t="s">
        <v>20</v>
      </c>
      <c r="C130" t="s">
        <v>20</v>
      </c>
      <c r="D130">
        <v>0.05</v>
      </c>
      <c r="E130">
        <v>0.67</v>
      </c>
      <c r="F130">
        <v>0</v>
      </c>
      <c r="G130">
        <v>0</v>
      </c>
      <c r="H130">
        <v>7.0000000000000007E-2</v>
      </c>
      <c r="I130">
        <v>0</v>
      </c>
      <c r="J130">
        <v>0.18</v>
      </c>
      <c r="K130">
        <v>0.03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20</v>
      </c>
      <c r="C131" t="s">
        <v>20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20</v>
      </c>
      <c r="C132" t="s">
        <v>20</v>
      </c>
      <c r="D132">
        <v>0.03</v>
      </c>
      <c r="E132">
        <v>0.6</v>
      </c>
      <c r="F132">
        <v>0</v>
      </c>
      <c r="G132">
        <v>0</v>
      </c>
      <c r="H132">
        <v>0.26</v>
      </c>
      <c r="I132">
        <v>0.02</v>
      </c>
      <c r="J132">
        <v>0.02</v>
      </c>
      <c r="K132">
        <v>0</v>
      </c>
      <c r="L132">
        <v>0</v>
      </c>
      <c r="M132">
        <v>7.0000000000000007E-2</v>
      </c>
      <c r="N132">
        <v>0</v>
      </c>
    </row>
    <row r="133" spans="1:14">
      <c r="A133">
        <v>132</v>
      </c>
      <c r="B133" t="s">
        <v>151</v>
      </c>
      <c r="C133" t="s">
        <v>151</v>
      </c>
      <c r="D133">
        <v>0</v>
      </c>
      <c r="E133">
        <v>0</v>
      </c>
      <c r="F133">
        <v>0</v>
      </c>
      <c r="G133">
        <v>0</v>
      </c>
      <c r="H133">
        <v>0.01</v>
      </c>
      <c r="I133">
        <v>0.99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37</v>
      </c>
      <c r="C134" t="s">
        <v>37</v>
      </c>
      <c r="D134">
        <v>7.0000000000000007E-2</v>
      </c>
      <c r="E134">
        <v>0.01</v>
      </c>
      <c r="F134">
        <v>0</v>
      </c>
      <c r="G134">
        <v>0</v>
      </c>
      <c r="H134">
        <v>0.66</v>
      </c>
      <c r="I134">
        <v>0</v>
      </c>
      <c r="J134">
        <v>0.16</v>
      </c>
      <c r="K134">
        <v>0</v>
      </c>
      <c r="L134">
        <v>0</v>
      </c>
      <c r="M134">
        <v>0.1</v>
      </c>
      <c r="N134">
        <v>0</v>
      </c>
    </row>
    <row r="135" spans="1:14">
      <c r="A135">
        <v>134</v>
      </c>
      <c r="B135" t="s">
        <v>37</v>
      </c>
      <c r="C135" t="s">
        <v>37</v>
      </c>
      <c r="D135">
        <v>0</v>
      </c>
      <c r="E135">
        <v>0.38</v>
      </c>
      <c r="F135">
        <v>0</v>
      </c>
      <c r="G135">
        <v>0</v>
      </c>
      <c r="H135">
        <v>0.62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140</v>
      </c>
      <c r="C136" t="s">
        <v>140</v>
      </c>
      <c r="D136">
        <v>0</v>
      </c>
      <c r="E136">
        <v>0.03</v>
      </c>
      <c r="F136">
        <v>0.04</v>
      </c>
      <c r="G136">
        <v>0</v>
      </c>
      <c r="H136">
        <v>0</v>
      </c>
      <c r="I136">
        <v>0</v>
      </c>
      <c r="J136">
        <v>0.01</v>
      </c>
      <c r="K136">
        <v>0</v>
      </c>
      <c r="L136">
        <v>0.92</v>
      </c>
      <c r="M136">
        <v>0</v>
      </c>
      <c r="N136">
        <v>0</v>
      </c>
    </row>
    <row r="137" spans="1:14">
      <c r="A137">
        <v>136</v>
      </c>
      <c r="B137" t="s">
        <v>20</v>
      </c>
      <c r="C137" t="s">
        <v>20</v>
      </c>
      <c r="D137">
        <v>0.01</v>
      </c>
      <c r="E137">
        <v>0.87</v>
      </c>
      <c r="F137">
        <v>0</v>
      </c>
      <c r="G137">
        <v>0</v>
      </c>
      <c r="H137">
        <v>0.02</v>
      </c>
      <c r="I137">
        <v>0</v>
      </c>
      <c r="J137">
        <v>0</v>
      </c>
      <c r="K137">
        <v>0.01</v>
      </c>
      <c r="L137">
        <v>0</v>
      </c>
      <c r="M137">
        <v>0.09</v>
      </c>
      <c r="N137">
        <v>0</v>
      </c>
    </row>
    <row r="138" spans="1:14">
      <c r="A138">
        <v>137</v>
      </c>
      <c r="B138" t="s">
        <v>43</v>
      </c>
      <c r="C138" t="s">
        <v>43</v>
      </c>
      <c r="D138">
        <v>0.93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0.05</v>
      </c>
      <c r="K138">
        <v>0</v>
      </c>
      <c r="L138">
        <v>0</v>
      </c>
      <c r="M138">
        <v>0.02</v>
      </c>
      <c r="N138">
        <v>0</v>
      </c>
    </row>
    <row r="139" spans="1:14">
      <c r="A139">
        <v>138</v>
      </c>
      <c r="B139" t="s">
        <v>31</v>
      </c>
      <c r="C139" t="s">
        <v>31</v>
      </c>
      <c r="D139">
        <v>0.03</v>
      </c>
      <c r="E139">
        <v>0</v>
      </c>
      <c r="F139">
        <v>0</v>
      </c>
      <c r="G139">
        <v>0.01</v>
      </c>
      <c r="H139">
        <v>0.1</v>
      </c>
      <c r="I139">
        <v>0</v>
      </c>
      <c r="J139">
        <v>0.84</v>
      </c>
      <c r="K139">
        <v>0</v>
      </c>
      <c r="L139">
        <v>0</v>
      </c>
      <c r="M139">
        <v>0.02</v>
      </c>
      <c r="N139">
        <v>0</v>
      </c>
    </row>
    <row r="140" spans="1:14">
      <c r="A140">
        <v>139</v>
      </c>
      <c r="B140" t="s">
        <v>31</v>
      </c>
      <c r="C140" t="s">
        <v>31</v>
      </c>
      <c r="D140">
        <v>0</v>
      </c>
      <c r="E140">
        <v>0</v>
      </c>
      <c r="F140">
        <v>0</v>
      </c>
      <c r="G140">
        <v>0</v>
      </c>
      <c r="H140">
        <v>0.11</v>
      </c>
      <c r="I140">
        <v>0</v>
      </c>
      <c r="J140">
        <v>0.77</v>
      </c>
      <c r="K140">
        <v>0</v>
      </c>
      <c r="L140">
        <v>0.12</v>
      </c>
      <c r="M140">
        <v>0</v>
      </c>
      <c r="N140">
        <v>0</v>
      </c>
    </row>
    <row r="141" spans="1:14">
      <c r="A141">
        <v>140</v>
      </c>
      <c r="B141" t="s">
        <v>213</v>
      </c>
      <c r="C141" t="s">
        <v>213</v>
      </c>
      <c r="D141">
        <v>0.1</v>
      </c>
      <c r="E141">
        <v>0.01</v>
      </c>
      <c r="F141">
        <v>0</v>
      </c>
      <c r="G141">
        <v>0</v>
      </c>
      <c r="H141">
        <v>0.24</v>
      </c>
      <c r="I141">
        <v>0</v>
      </c>
      <c r="J141">
        <v>0</v>
      </c>
      <c r="K141">
        <v>0</v>
      </c>
      <c r="L141">
        <v>0</v>
      </c>
      <c r="M141">
        <v>0.03</v>
      </c>
      <c r="N141">
        <v>0.62</v>
      </c>
    </row>
    <row r="142" spans="1:14">
      <c r="A142">
        <v>141</v>
      </c>
      <c r="B142" t="s">
        <v>140</v>
      </c>
      <c r="C142" t="s">
        <v>140</v>
      </c>
      <c r="D142">
        <v>0</v>
      </c>
      <c r="E142">
        <v>0</v>
      </c>
      <c r="F142">
        <v>0</v>
      </c>
      <c r="G142">
        <v>0</v>
      </c>
      <c r="H142">
        <v>0.04</v>
      </c>
      <c r="I142">
        <v>0</v>
      </c>
      <c r="J142">
        <v>0</v>
      </c>
      <c r="K142">
        <v>0</v>
      </c>
      <c r="L142">
        <v>0.96</v>
      </c>
      <c r="M142">
        <v>0</v>
      </c>
      <c r="N142">
        <v>0</v>
      </c>
    </row>
    <row r="143" spans="1:14">
      <c r="A143">
        <v>142</v>
      </c>
      <c r="B143" t="s">
        <v>55</v>
      </c>
      <c r="C143" t="s">
        <v>55</v>
      </c>
      <c r="D143">
        <v>0.05</v>
      </c>
      <c r="E143">
        <v>0.01</v>
      </c>
      <c r="F143">
        <v>0</v>
      </c>
      <c r="G143">
        <v>0</v>
      </c>
      <c r="H143">
        <v>0.08</v>
      </c>
      <c r="I143">
        <v>0</v>
      </c>
      <c r="J143">
        <v>0.04</v>
      </c>
      <c r="K143">
        <v>0</v>
      </c>
      <c r="L143">
        <v>0</v>
      </c>
      <c r="M143">
        <v>0.82</v>
      </c>
      <c r="N143">
        <v>0</v>
      </c>
    </row>
    <row r="144" spans="1:14">
      <c r="A144">
        <v>143</v>
      </c>
      <c r="B144" t="s">
        <v>20</v>
      </c>
      <c r="C144" t="s">
        <v>20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151</v>
      </c>
      <c r="C145" t="s">
        <v>151</v>
      </c>
      <c r="D145">
        <v>0</v>
      </c>
      <c r="E145">
        <v>0</v>
      </c>
      <c r="F145">
        <v>0</v>
      </c>
      <c r="G145">
        <v>0.01</v>
      </c>
      <c r="H145">
        <v>0.06</v>
      </c>
      <c r="I145">
        <v>0.92</v>
      </c>
      <c r="J145">
        <v>0.01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0.94</v>
      </c>
      <c r="F146">
        <v>0</v>
      </c>
      <c r="G146">
        <v>0</v>
      </c>
      <c r="H146">
        <v>0.04</v>
      </c>
      <c r="I146">
        <v>0</v>
      </c>
      <c r="J146">
        <v>0.02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20</v>
      </c>
      <c r="C147" t="s">
        <v>20</v>
      </c>
      <c r="D147">
        <v>0</v>
      </c>
      <c r="E147">
        <v>0.98</v>
      </c>
      <c r="F147">
        <v>0</v>
      </c>
      <c r="G147">
        <v>0</v>
      </c>
      <c r="H147">
        <v>0.02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37</v>
      </c>
      <c r="C148" t="s">
        <v>37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43</v>
      </c>
      <c r="C149" t="s">
        <v>43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55</v>
      </c>
      <c r="C150" t="s">
        <v>55</v>
      </c>
      <c r="D150">
        <v>0.03</v>
      </c>
      <c r="E150">
        <v>0</v>
      </c>
      <c r="F150">
        <v>0</v>
      </c>
      <c r="G150">
        <v>0</v>
      </c>
      <c r="H150">
        <v>0.06</v>
      </c>
      <c r="I150">
        <v>0</v>
      </c>
      <c r="J150">
        <v>0.01</v>
      </c>
      <c r="K150">
        <v>0</v>
      </c>
      <c r="L150">
        <v>0</v>
      </c>
      <c r="M150">
        <v>0.9</v>
      </c>
      <c r="N150">
        <v>0</v>
      </c>
    </row>
    <row r="151" spans="1:14">
      <c r="A151">
        <v>150</v>
      </c>
      <c r="B151" t="s">
        <v>37</v>
      </c>
      <c r="C151" t="s">
        <v>37</v>
      </c>
      <c r="D151">
        <v>0</v>
      </c>
      <c r="E151">
        <v>0.01</v>
      </c>
      <c r="F151">
        <v>0</v>
      </c>
      <c r="G151">
        <v>0</v>
      </c>
      <c r="H151">
        <v>0.76</v>
      </c>
      <c r="I151">
        <v>0</v>
      </c>
      <c r="J151">
        <v>0.23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37</v>
      </c>
      <c r="C152" t="s">
        <v>37</v>
      </c>
      <c r="D152">
        <v>0.05</v>
      </c>
      <c r="E152">
        <v>0.15</v>
      </c>
      <c r="F152">
        <v>0</v>
      </c>
      <c r="G152">
        <v>0</v>
      </c>
      <c r="H152">
        <v>0.72</v>
      </c>
      <c r="I152">
        <v>0</v>
      </c>
      <c r="J152">
        <v>0.02</v>
      </c>
      <c r="K152">
        <v>0</v>
      </c>
      <c r="L152">
        <v>0</v>
      </c>
      <c r="M152">
        <v>0.06</v>
      </c>
      <c r="N152">
        <v>0</v>
      </c>
    </row>
    <row r="153" spans="1:14">
      <c r="A153">
        <v>152</v>
      </c>
      <c r="B153" t="s">
        <v>20</v>
      </c>
      <c r="C153" t="s">
        <v>20</v>
      </c>
      <c r="D153">
        <v>0</v>
      </c>
      <c r="E153">
        <v>0.87</v>
      </c>
      <c r="F153">
        <v>0</v>
      </c>
      <c r="G153">
        <v>0</v>
      </c>
      <c r="H153">
        <v>0.13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140</v>
      </c>
      <c r="C154" t="s">
        <v>140</v>
      </c>
      <c r="D154">
        <v>0</v>
      </c>
      <c r="E154">
        <v>0.01</v>
      </c>
      <c r="F154">
        <v>0.01</v>
      </c>
      <c r="G154">
        <v>0</v>
      </c>
      <c r="H154">
        <v>0.04</v>
      </c>
      <c r="I154">
        <v>0</v>
      </c>
      <c r="J154">
        <v>0</v>
      </c>
      <c r="K154">
        <v>0</v>
      </c>
      <c r="L154">
        <v>0.94</v>
      </c>
      <c r="M154">
        <v>0</v>
      </c>
      <c r="N154">
        <v>0</v>
      </c>
    </row>
    <row r="155" spans="1:14">
      <c r="A155">
        <v>154</v>
      </c>
      <c r="B155" t="s">
        <v>43</v>
      </c>
      <c r="C155" t="s">
        <v>43</v>
      </c>
      <c r="D155">
        <v>0.64</v>
      </c>
      <c r="E155">
        <v>0</v>
      </c>
      <c r="F155">
        <v>0</v>
      </c>
      <c r="G155">
        <v>0</v>
      </c>
      <c r="H155">
        <v>0.33</v>
      </c>
      <c r="I155">
        <v>0</v>
      </c>
      <c r="J155">
        <v>0</v>
      </c>
      <c r="K155">
        <v>0</v>
      </c>
      <c r="L155">
        <v>0</v>
      </c>
      <c r="M155">
        <v>0.03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31</v>
      </c>
      <c r="C157" t="s">
        <v>31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43</v>
      </c>
      <c r="C158" t="s">
        <v>43</v>
      </c>
      <c r="D158">
        <v>0.61</v>
      </c>
      <c r="E158">
        <v>0.15</v>
      </c>
      <c r="F158">
        <v>0.08</v>
      </c>
      <c r="G158">
        <v>0</v>
      </c>
      <c r="H158">
        <v>0.05</v>
      </c>
      <c r="I158">
        <v>0</v>
      </c>
      <c r="J158">
        <v>0.11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31</v>
      </c>
      <c r="C159" t="s">
        <v>31</v>
      </c>
      <c r="D159">
        <v>0.04</v>
      </c>
      <c r="E159">
        <v>0.01</v>
      </c>
      <c r="F159">
        <v>0</v>
      </c>
      <c r="G159">
        <v>0</v>
      </c>
      <c r="H159">
        <v>0.24</v>
      </c>
      <c r="I159">
        <v>0</v>
      </c>
      <c r="J159">
        <v>0.7</v>
      </c>
      <c r="K159">
        <v>0</v>
      </c>
      <c r="L159">
        <v>0</v>
      </c>
      <c r="M159">
        <v>0.01</v>
      </c>
      <c r="N159">
        <v>0</v>
      </c>
    </row>
    <row r="160" spans="1:14">
      <c r="A160">
        <v>159</v>
      </c>
      <c r="B160" t="s">
        <v>140</v>
      </c>
      <c r="C160" t="s">
        <v>140</v>
      </c>
      <c r="D160">
        <v>0.18</v>
      </c>
      <c r="E160">
        <v>0</v>
      </c>
      <c r="F160">
        <v>0</v>
      </c>
      <c r="G160">
        <v>0.06</v>
      </c>
      <c r="H160">
        <v>0.01</v>
      </c>
      <c r="I160">
        <v>0.02</v>
      </c>
      <c r="J160">
        <v>0.1</v>
      </c>
      <c r="K160">
        <v>0</v>
      </c>
      <c r="L160">
        <v>0.63</v>
      </c>
      <c r="M160">
        <v>0</v>
      </c>
      <c r="N160">
        <v>0</v>
      </c>
    </row>
    <row r="161" spans="1:14">
      <c r="A161">
        <v>160</v>
      </c>
      <c r="B161" t="s">
        <v>37</v>
      </c>
      <c r="C161" t="s">
        <v>37</v>
      </c>
      <c r="D161">
        <v>0.03</v>
      </c>
      <c r="E161">
        <v>0</v>
      </c>
      <c r="F161">
        <v>0</v>
      </c>
      <c r="G161">
        <v>0</v>
      </c>
      <c r="H161">
        <v>0.71</v>
      </c>
      <c r="I161">
        <v>0</v>
      </c>
      <c r="J161">
        <v>0</v>
      </c>
      <c r="K161">
        <v>0</v>
      </c>
      <c r="L161">
        <v>0</v>
      </c>
      <c r="M161">
        <v>0.26</v>
      </c>
      <c r="N161">
        <v>0</v>
      </c>
    </row>
    <row r="162" spans="1:14">
      <c r="A162">
        <v>161</v>
      </c>
      <c r="B162" t="s">
        <v>37</v>
      </c>
      <c r="C162" t="s">
        <v>37</v>
      </c>
      <c r="D162">
        <v>0</v>
      </c>
      <c r="E162">
        <v>0.09</v>
      </c>
      <c r="F162">
        <v>0</v>
      </c>
      <c r="G162">
        <v>0</v>
      </c>
      <c r="H162">
        <v>0.6</v>
      </c>
      <c r="I162">
        <v>0.04</v>
      </c>
      <c r="J162">
        <v>0</v>
      </c>
      <c r="K162">
        <v>0</v>
      </c>
      <c r="L162">
        <v>0</v>
      </c>
      <c r="M162">
        <v>0.27</v>
      </c>
      <c r="N162">
        <v>0</v>
      </c>
    </row>
    <row r="163" spans="1:14">
      <c r="A163">
        <v>162</v>
      </c>
      <c r="B163" t="s">
        <v>55</v>
      </c>
      <c r="C163" t="s">
        <v>55</v>
      </c>
      <c r="D163">
        <v>0.01</v>
      </c>
      <c r="E163">
        <v>0.01</v>
      </c>
      <c r="F163">
        <v>0</v>
      </c>
      <c r="G163">
        <v>0</v>
      </c>
      <c r="H163">
        <v>0.09</v>
      </c>
      <c r="I163">
        <v>0</v>
      </c>
      <c r="J163">
        <v>0</v>
      </c>
      <c r="K163">
        <v>0</v>
      </c>
      <c r="L163">
        <v>0</v>
      </c>
      <c r="M163">
        <v>0.89</v>
      </c>
      <c r="N163">
        <v>0</v>
      </c>
    </row>
    <row r="164" spans="1:14">
      <c r="A164">
        <v>163</v>
      </c>
      <c r="B164" t="s">
        <v>37</v>
      </c>
      <c r="C164" t="s">
        <v>37</v>
      </c>
      <c r="D164">
        <v>0</v>
      </c>
      <c r="E164">
        <v>0.17</v>
      </c>
      <c r="F164">
        <v>0</v>
      </c>
      <c r="G164">
        <v>0</v>
      </c>
      <c r="H164">
        <v>0.77</v>
      </c>
      <c r="I164">
        <v>0</v>
      </c>
      <c r="J164">
        <v>0.01</v>
      </c>
      <c r="K164">
        <v>0</v>
      </c>
      <c r="L164">
        <v>0</v>
      </c>
      <c r="M164">
        <v>0.05</v>
      </c>
      <c r="N164">
        <v>0</v>
      </c>
    </row>
    <row r="165" spans="1:14">
      <c r="A165">
        <v>164</v>
      </c>
      <c r="B165" t="s">
        <v>55</v>
      </c>
      <c r="C165" t="s">
        <v>55</v>
      </c>
      <c r="D165">
        <v>0</v>
      </c>
      <c r="E165">
        <v>0.03</v>
      </c>
      <c r="F165">
        <v>0</v>
      </c>
      <c r="G165">
        <v>0</v>
      </c>
      <c r="H165">
        <v>0.1</v>
      </c>
      <c r="I165">
        <v>0</v>
      </c>
      <c r="J165">
        <v>0.01</v>
      </c>
      <c r="K165">
        <v>0</v>
      </c>
      <c r="L165">
        <v>0</v>
      </c>
      <c r="M165">
        <v>0.86</v>
      </c>
      <c r="N165">
        <v>0</v>
      </c>
    </row>
    <row r="166" spans="1:14">
      <c r="A166">
        <v>165</v>
      </c>
      <c r="B166" t="s">
        <v>37</v>
      </c>
      <c r="C166" t="s">
        <v>37</v>
      </c>
      <c r="D166">
        <v>0.09</v>
      </c>
      <c r="E166">
        <v>0.04</v>
      </c>
      <c r="F166">
        <v>0</v>
      </c>
      <c r="G166">
        <v>0</v>
      </c>
      <c r="H166">
        <v>0.7</v>
      </c>
      <c r="I166">
        <v>0</v>
      </c>
      <c r="J166">
        <v>0.17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0.94</v>
      </c>
      <c r="F167">
        <v>0</v>
      </c>
      <c r="G167">
        <v>0.03</v>
      </c>
      <c r="H167">
        <v>0.03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0.69</v>
      </c>
      <c r="F168">
        <v>0</v>
      </c>
      <c r="G168">
        <v>0</v>
      </c>
      <c r="H168">
        <v>0.01</v>
      </c>
      <c r="I168">
        <v>0</v>
      </c>
      <c r="J168">
        <v>0.28999999999999998</v>
      </c>
      <c r="K168">
        <v>0</v>
      </c>
      <c r="L168">
        <v>0.01</v>
      </c>
      <c r="M168">
        <v>0</v>
      </c>
      <c r="N168">
        <v>0</v>
      </c>
    </row>
    <row r="169" spans="1:14">
      <c r="A169">
        <v>168</v>
      </c>
      <c r="B169" t="s">
        <v>20</v>
      </c>
      <c r="C169" t="s">
        <v>20</v>
      </c>
      <c r="D169">
        <v>0.01</v>
      </c>
      <c r="E169">
        <v>0.99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140</v>
      </c>
      <c r="C170" t="s">
        <v>140</v>
      </c>
      <c r="D170">
        <v>0.03</v>
      </c>
      <c r="E170">
        <v>0</v>
      </c>
      <c r="F170">
        <v>0.02</v>
      </c>
      <c r="G170">
        <v>0</v>
      </c>
      <c r="H170">
        <v>0</v>
      </c>
      <c r="I170">
        <v>0.01</v>
      </c>
      <c r="J170">
        <v>0</v>
      </c>
      <c r="K170">
        <v>0</v>
      </c>
      <c r="L170">
        <v>0.94</v>
      </c>
      <c r="M170">
        <v>0</v>
      </c>
      <c r="N170">
        <v>0</v>
      </c>
    </row>
    <row r="171" spans="1:14">
      <c r="A171">
        <v>170</v>
      </c>
      <c r="B171" t="s">
        <v>43</v>
      </c>
      <c r="C171" t="s">
        <v>43</v>
      </c>
      <c r="D171">
        <v>0.66</v>
      </c>
      <c r="E171">
        <v>0</v>
      </c>
      <c r="F171">
        <v>0</v>
      </c>
      <c r="G171">
        <v>0.22</v>
      </c>
      <c r="H171">
        <v>0</v>
      </c>
      <c r="I171">
        <v>0</v>
      </c>
      <c r="J171">
        <v>0.06</v>
      </c>
      <c r="K171">
        <v>0</v>
      </c>
      <c r="L171">
        <v>0</v>
      </c>
      <c r="M171">
        <v>0.04</v>
      </c>
      <c r="N171">
        <v>0.02</v>
      </c>
    </row>
    <row r="172" spans="1:14">
      <c r="A172">
        <v>171</v>
      </c>
      <c r="B172" t="s">
        <v>20</v>
      </c>
      <c r="C172" t="s">
        <v>20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37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31</v>
      </c>
      <c r="C174" t="s">
        <v>31</v>
      </c>
      <c r="D174">
        <v>0</v>
      </c>
      <c r="E174">
        <v>0</v>
      </c>
      <c r="F174">
        <v>0</v>
      </c>
      <c r="G174">
        <v>0</v>
      </c>
      <c r="H174">
        <v>0.01</v>
      </c>
      <c r="I174">
        <v>0</v>
      </c>
      <c r="J174">
        <v>0.99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43</v>
      </c>
      <c r="C176" t="s">
        <v>43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140</v>
      </c>
      <c r="C177" t="s">
        <v>140</v>
      </c>
      <c r="D177">
        <v>0</v>
      </c>
      <c r="E177">
        <v>0.01</v>
      </c>
      <c r="F177">
        <v>0.02</v>
      </c>
      <c r="G177">
        <v>0</v>
      </c>
      <c r="H177">
        <v>0.01</v>
      </c>
      <c r="I177">
        <v>0</v>
      </c>
      <c r="J177">
        <v>0</v>
      </c>
      <c r="K177">
        <v>0</v>
      </c>
      <c r="L177">
        <v>0.96</v>
      </c>
      <c r="M177">
        <v>0</v>
      </c>
      <c r="N177">
        <v>0</v>
      </c>
    </row>
    <row r="178" spans="1:14">
      <c r="A178">
        <v>177</v>
      </c>
      <c r="B178" t="s">
        <v>20</v>
      </c>
      <c r="C178" t="s">
        <v>20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43</v>
      </c>
      <c r="C179" t="s">
        <v>43</v>
      </c>
      <c r="D179">
        <v>0.93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0.06</v>
      </c>
      <c r="K179">
        <v>0</v>
      </c>
      <c r="L179">
        <v>0</v>
      </c>
      <c r="M179">
        <v>0.01</v>
      </c>
      <c r="N179">
        <v>0</v>
      </c>
    </row>
    <row r="180" spans="1:14">
      <c r="A180">
        <v>179</v>
      </c>
      <c r="B180" t="s">
        <v>55</v>
      </c>
      <c r="C180" t="s">
        <v>55</v>
      </c>
      <c r="D180">
        <v>7.0000000000000007E-2</v>
      </c>
      <c r="E180">
        <v>0</v>
      </c>
      <c r="F180">
        <v>0.01</v>
      </c>
      <c r="G180">
        <v>0</v>
      </c>
      <c r="H180">
        <v>0.06</v>
      </c>
      <c r="I180">
        <v>0</v>
      </c>
      <c r="J180">
        <v>0.23</v>
      </c>
      <c r="K180">
        <v>0</v>
      </c>
      <c r="L180">
        <v>0</v>
      </c>
      <c r="M180">
        <v>0.63</v>
      </c>
      <c r="N180">
        <v>0</v>
      </c>
    </row>
    <row r="181" spans="1:14">
      <c r="A181">
        <v>180</v>
      </c>
      <c r="B181" t="s">
        <v>37</v>
      </c>
      <c r="C181" t="s">
        <v>37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37</v>
      </c>
      <c r="C182" t="s">
        <v>37</v>
      </c>
      <c r="D182">
        <v>0.01</v>
      </c>
      <c r="E182">
        <v>0</v>
      </c>
      <c r="F182">
        <v>0</v>
      </c>
      <c r="G182">
        <v>0</v>
      </c>
      <c r="H182">
        <v>0.92</v>
      </c>
      <c r="I182">
        <v>0</v>
      </c>
      <c r="J182">
        <v>0</v>
      </c>
      <c r="K182">
        <v>0</v>
      </c>
      <c r="L182">
        <v>0</v>
      </c>
      <c r="M182">
        <v>7.0000000000000007E-2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0.92</v>
      </c>
      <c r="F183">
        <v>0</v>
      </c>
      <c r="G183">
        <v>0</v>
      </c>
      <c r="H183">
        <v>0.08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151</v>
      </c>
      <c r="C184" t="s">
        <v>151</v>
      </c>
      <c r="D184">
        <v>0</v>
      </c>
      <c r="E184">
        <v>0</v>
      </c>
      <c r="F184">
        <v>0</v>
      </c>
      <c r="G184">
        <v>0</v>
      </c>
      <c r="H184">
        <v>0.01</v>
      </c>
      <c r="I184">
        <v>0.98</v>
      </c>
      <c r="J184">
        <v>0</v>
      </c>
      <c r="K184">
        <v>0</v>
      </c>
      <c r="L184">
        <v>0.01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37</v>
      </c>
      <c r="C186" t="s">
        <v>37</v>
      </c>
      <c r="D186">
        <v>0</v>
      </c>
      <c r="E186">
        <v>0.09</v>
      </c>
      <c r="F186">
        <v>0</v>
      </c>
      <c r="G186">
        <v>0</v>
      </c>
      <c r="H186">
        <v>0.66</v>
      </c>
      <c r="I186">
        <v>0</v>
      </c>
      <c r="J186">
        <v>0</v>
      </c>
      <c r="K186">
        <v>0</v>
      </c>
      <c r="L186">
        <v>0</v>
      </c>
      <c r="M186">
        <v>0.25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37</v>
      </c>
      <c r="C188" t="s">
        <v>37</v>
      </c>
      <c r="D188">
        <v>0.06</v>
      </c>
      <c r="E188">
        <v>0</v>
      </c>
      <c r="F188">
        <v>0</v>
      </c>
      <c r="G188">
        <v>0</v>
      </c>
      <c r="H188">
        <v>0.89</v>
      </c>
      <c r="I188">
        <v>0</v>
      </c>
      <c r="J188">
        <v>0.05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65</v>
      </c>
      <c r="C189" t="s">
        <v>65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43</v>
      </c>
      <c r="C190" t="s">
        <v>43</v>
      </c>
      <c r="D190">
        <v>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31</v>
      </c>
      <c r="C191" t="s">
        <v>31</v>
      </c>
      <c r="D191">
        <v>0.04</v>
      </c>
      <c r="E191">
        <v>0</v>
      </c>
      <c r="F191">
        <v>0</v>
      </c>
      <c r="G191">
        <v>0</v>
      </c>
      <c r="H191">
        <v>0.32</v>
      </c>
      <c r="I191">
        <v>0</v>
      </c>
      <c r="J191">
        <v>0.61</v>
      </c>
      <c r="K191">
        <v>0</v>
      </c>
      <c r="L191">
        <v>0</v>
      </c>
      <c r="M191">
        <v>0.03</v>
      </c>
      <c r="N191">
        <v>0</v>
      </c>
    </row>
    <row r="192" spans="1:14">
      <c r="A192">
        <v>191</v>
      </c>
      <c r="B192" t="s">
        <v>37</v>
      </c>
      <c r="C192" t="s">
        <v>37</v>
      </c>
      <c r="D192">
        <v>0.01</v>
      </c>
      <c r="E192">
        <v>0.03</v>
      </c>
      <c r="F192">
        <v>0</v>
      </c>
      <c r="G192">
        <v>0</v>
      </c>
      <c r="H192">
        <v>0.69</v>
      </c>
      <c r="I192">
        <v>0</v>
      </c>
      <c r="J192">
        <v>0.17</v>
      </c>
      <c r="K192">
        <v>0</v>
      </c>
      <c r="L192">
        <v>0</v>
      </c>
      <c r="M192">
        <v>0.08</v>
      </c>
      <c r="N192">
        <v>0.02</v>
      </c>
    </row>
    <row r="193" spans="1:14">
      <c r="A193">
        <v>192</v>
      </c>
      <c r="B193" t="s">
        <v>43</v>
      </c>
      <c r="C193" t="s">
        <v>43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140</v>
      </c>
      <c r="C194" t="s">
        <v>140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</row>
    <row r="195" spans="1:14">
      <c r="A195">
        <v>194</v>
      </c>
      <c r="B195" t="s">
        <v>20</v>
      </c>
      <c r="C195" t="s">
        <v>20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140</v>
      </c>
      <c r="C196" t="s">
        <v>140</v>
      </c>
      <c r="D196">
        <v>0</v>
      </c>
      <c r="E196">
        <v>0</v>
      </c>
      <c r="F196">
        <v>0</v>
      </c>
      <c r="G196">
        <v>0</v>
      </c>
      <c r="H196">
        <v>0.01</v>
      </c>
      <c r="I196">
        <v>0</v>
      </c>
      <c r="J196">
        <v>0</v>
      </c>
      <c r="K196">
        <v>0</v>
      </c>
      <c r="L196">
        <v>0.99</v>
      </c>
      <c r="M196">
        <v>0</v>
      </c>
      <c r="N196">
        <v>0</v>
      </c>
    </row>
    <row r="197" spans="1:14">
      <c r="A197">
        <v>196</v>
      </c>
      <c r="B197" t="s">
        <v>37</v>
      </c>
      <c r="C197" t="s">
        <v>37</v>
      </c>
      <c r="D197">
        <v>0.01</v>
      </c>
      <c r="E197">
        <v>0.17</v>
      </c>
      <c r="F197">
        <v>0</v>
      </c>
      <c r="G197">
        <v>0</v>
      </c>
      <c r="H197">
        <v>0.72</v>
      </c>
      <c r="I197">
        <v>0</v>
      </c>
      <c r="J197">
        <v>0.08</v>
      </c>
      <c r="K197">
        <v>0</v>
      </c>
      <c r="L197">
        <v>0</v>
      </c>
      <c r="M197">
        <v>0.02</v>
      </c>
      <c r="N197">
        <v>0</v>
      </c>
    </row>
    <row r="198" spans="1:14">
      <c r="A198">
        <v>197</v>
      </c>
      <c r="B198" t="s">
        <v>37</v>
      </c>
      <c r="C198" t="s">
        <v>37</v>
      </c>
      <c r="D198">
        <v>0</v>
      </c>
      <c r="E198">
        <v>0</v>
      </c>
      <c r="F198">
        <v>0</v>
      </c>
      <c r="G198">
        <v>0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20</v>
      </c>
      <c r="C199" t="s">
        <v>20</v>
      </c>
      <c r="D199">
        <v>0.01</v>
      </c>
      <c r="E199">
        <v>0.99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37</v>
      </c>
      <c r="C200" t="s">
        <v>37</v>
      </c>
      <c r="D200">
        <v>0.01</v>
      </c>
      <c r="E200">
        <v>0.01</v>
      </c>
      <c r="F200">
        <v>0</v>
      </c>
      <c r="G200">
        <v>0</v>
      </c>
      <c r="H200">
        <v>0.92</v>
      </c>
      <c r="I200">
        <v>0</v>
      </c>
      <c r="J200">
        <v>0</v>
      </c>
      <c r="K200">
        <v>0</v>
      </c>
      <c r="L200">
        <v>0</v>
      </c>
      <c r="M200">
        <v>0.06</v>
      </c>
      <c r="N200">
        <v>0</v>
      </c>
    </row>
    <row r="201" spans="1:14">
      <c r="A201">
        <v>200</v>
      </c>
      <c r="B201" t="s">
        <v>55</v>
      </c>
      <c r="C201" t="s">
        <v>55</v>
      </c>
      <c r="D201">
        <v>0.04</v>
      </c>
      <c r="E201">
        <v>0.04</v>
      </c>
      <c r="F201">
        <v>0</v>
      </c>
      <c r="G201">
        <v>0</v>
      </c>
      <c r="H201">
        <v>7.0000000000000007E-2</v>
      </c>
      <c r="I201">
        <v>0</v>
      </c>
      <c r="J201">
        <v>0.2</v>
      </c>
      <c r="K201">
        <v>0</v>
      </c>
      <c r="L201">
        <v>0</v>
      </c>
      <c r="M201">
        <v>0.65</v>
      </c>
      <c r="N201">
        <v>0</v>
      </c>
    </row>
    <row r="202" spans="1:14">
      <c r="A202">
        <v>201</v>
      </c>
      <c r="B202" t="s">
        <v>37</v>
      </c>
      <c r="C202" t="s">
        <v>37</v>
      </c>
      <c r="D202">
        <v>0</v>
      </c>
      <c r="E202">
        <v>0.02</v>
      </c>
      <c r="F202">
        <v>0</v>
      </c>
      <c r="G202">
        <v>0</v>
      </c>
      <c r="H202">
        <v>0.86</v>
      </c>
      <c r="I202">
        <v>0</v>
      </c>
      <c r="J202">
        <v>0.06</v>
      </c>
      <c r="K202">
        <v>0</v>
      </c>
      <c r="L202">
        <v>0</v>
      </c>
      <c r="M202">
        <v>0.06</v>
      </c>
      <c r="N202">
        <v>0</v>
      </c>
    </row>
    <row r="203" spans="1:14">
      <c r="A203">
        <v>202</v>
      </c>
      <c r="B203" t="s">
        <v>37</v>
      </c>
      <c r="C203" t="s">
        <v>37</v>
      </c>
      <c r="D203">
        <v>0</v>
      </c>
      <c r="E203">
        <v>0</v>
      </c>
      <c r="F203">
        <v>0</v>
      </c>
      <c r="G203">
        <v>0</v>
      </c>
      <c r="H203">
        <v>0.99</v>
      </c>
      <c r="I203">
        <v>0</v>
      </c>
      <c r="J203">
        <v>0.01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43</v>
      </c>
      <c r="C204" t="s">
        <v>43</v>
      </c>
      <c r="D204">
        <v>0.88</v>
      </c>
      <c r="E204">
        <v>0</v>
      </c>
      <c r="F204">
        <v>0</v>
      </c>
      <c r="G204">
        <v>0</v>
      </c>
      <c r="H204">
        <v>0.03</v>
      </c>
      <c r="I204">
        <v>0</v>
      </c>
      <c r="J204">
        <v>0.02</v>
      </c>
      <c r="K204">
        <v>0</v>
      </c>
      <c r="L204">
        <v>0</v>
      </c>
      <c r="M204">
        <v>7.0000000000000007E-2</v>
      </c>
      <c r="N204">
        <v>0</v>
      </c>
    </row>
    <row r="205" spans="1:14">
      <c r="A205">
        <v>204</v>
      </c>
      <c r="B205" t="s">
        <v>37</v>
      </c>
      <c r="C205" t="s">
        <v>37</v>
      </c>
      <c r="D205">
        <v>0.02</v>
      </c>
      <c r="E205">
        <v>0.01</v>
      </c>
      <c r="F205">
        <v>0</v>
      </c>
      <c r="G205">
        <v>0</v>
      </c>
      <c r="H205">
        <v>0.86</v>
      </c>
      <c r="I205">
        <v>0</v>
      </c>
      <c r="J205">
        <v>7.0000000000000007E-2</v>
      </c>
      <c r="K205">
        <v>0</v>
      </c>
      <c r="L205">
        <v>0</v>
      </c>
      <c r="M205">
        <v>0.04</v>
      </c>
      <c r="N205">
        <v>0</v>
      </c>
    </row>
    <row r="206" spans="1:14">
      <c r="A206">
        <v>205</v>
      </c>
      <c r="B206" t="s">
        <v>20</v>
      </c>
      <c r="C206" t="s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20</v>
      </c>
      <c r="C207" t="s">
        <v>20</v>
      </c>
      <c r="D207">
        <v>7.0000000000000007E-2</v>
      </c>
      <c r="E207">
        <v>0.9</v>
      </c>
      <c r="F207">
        <v>0</v>
      </c>
      <c r="G207">
        <v>0</v>
      </c>
      <c r="H207">
        <v>0.03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37</v>
      </c>
      <c r="C208" t="s">
        <v>37</v>
      </c>
      <c r="D208">
        <v>0.01</v>
      </c>
      <c r="E208">
        <v>0.02</v>
      </c>
      <c r="F208">
        <v>0</v>
      </c>
      <c r="G208">
        <v>0</v>
      </c>
      <c r="H208">
        <v>0.74</v>
      </c>
      <c r="I208">
        <v>0</v>
      </c>
      <c r="J208">
        <v>0</v>
      </c>
      <c r="K208">
        <v>0</v>
      </c>
      <c r="L208">
        <v>0</v>
      </c>
      <c r="M208">
        <v>0.2</v>
      </c>
      <c r="N208">
        <v>0.03</v>
      </c>
    </row>
    <row r="209" spans="1:14">
      <c r="A209">
        <v>208</v>
      </c>
      <c r="B209" t="s">
        <v>20</v>
      </c>
      <c r="C209" t="s">
        <v>20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65</v>
      </c>
      <c r="C210" t="s">
        <v>65</v>
      </c>
      <c r="D210">
        <v>0</v>
      </c>
      <c r="E210">
        <v>0</v>
      </c>
      <c r="F210">
        <v>0</v>
      </c>
      <c r="G210">
        <v>0.8</v>
      </c>
      <c r="H210">
        <v>0</v>
      </c>
      <c r="I210">
        <v>0</v>
      </c>
      <c r="J210">
        <v>0.18</v>
      </c>
      <c r="K210">
        <v>0</v>
      </c>
      <c r="L210">
        <v>0</v>
      </c>
      <c r="M210">
        <v>0.02</v>
      </c>
      <c r="N210">
        <v>0</v>
      </c>
    </row>
    <row r="211" spans="1:14">
      <c r="A211">
        <v>210</v>
      </c>
      <c r="B211" t="s">
        <v>65</v>
      </c>
      <c r="C211" t="s">
        <v>65</v>
      </c>
      <c r="D211">
        <v>0</v>
      </c>
      <c r="E211">
        <v>0</v>
      </c>
      <c r="F211">
        <v>0</v>
      </c>
      <c r="G211">
        <v>0.84</v>
      </c>
      <c r="H211">
        <v>0.04</v>
      </c>
      <c r="I211">
        <v>0</v>
      </c>
      <c r="J211">
        <v>0.01</v>
      </c>
      <c r="K211">
        <v>0</v>
      </c>
      <c r="L211">
        <v>0.11</v>
      </c>
      <c r="M211">
        <v>0</v>
      </c>
      <c r="N211">
        <v>0</v>
      </c>
    </row>
    <row r="212" spans="1:14">
      <c r="A212">
        <v>211</v>
      </c>
      <c r="B212" t="s">
        <v>65</v>
      </c>
      <c r="C212" t="s">
        <v>65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20</v>
      </c>
      <c r="C213" t="s">
        <v>20</v>
      </c>
      <c r="D213">
        <v>0.01</v>
      </c>
      <c r="E213">
        <v>0.89</v>
      </c>
      <c r="F213">
        <v>0</v>
      </c>
      <c r="G213">
        <v>0</v>
      </c>
      <c r="H213">
        <v>0.04</v>
      </c>
      <c r="I213">
        <v>0.03</v>
      </c>
      <c r="J213">
        <v>0</v>
      </c>
      <c r="K213">
        <v>0.01</v>
      </c>
      <c r="L213">
        <v>0</v>
      </c>
      <c r="M213">
        <v>0.02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0.64</v>
      </c>
      <c r="F214">
        <v>0</v>
      </c>
      <c r="G214">
        <v>0</v>
      </c>
      <c r="H214">
        <v>0.14000000000000001</v>
      </c>
      <c r="I214">
        <v>0</v>
      </c>
      <c r="J214">
        <v>0.05</v>
      </c>
      <c r="K214">
        <v>0</v>
      </c>
      <c r="L214">
        <v>0</v>
      </c>
      <c r="M214">
        <v>0.17</v>
      </c>
      <c r="N214">
        <v>0</v>
      </c>
    </row>
    <row r="215" spans="1:14">
      <c r="A215">
        <v>214</v>
      </c>
      <c r="B215" t="s">
        <v>37</v>
      </c>
      <c r="C215" t="s">
        <v>37</v>
      </c>
      <c r="D215">
        <v>0</v>
      </c>
      <c r="E215">
        <v>0</v>
      </c>
      <c r="F215">
        <v>0</v>
      </c>
      <c r="G215">
        <v>0</v>
      </c>
      <c r="H215">
        <v>0.79</v>
      </c>
      <c r="I215">
        <v>0.2</v>
      </c>
      <c r="J215">
        <v>0.01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20</v>
      </c>
      <c r="C216" t="s">
        <v>20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43</v>
      </c>
      <c r="C218" t="s">
        <v>43</v>
      </c>
      <c r="D218">
        <v>0.74</v>
      </c>
      <c r="E218">
        <v>0.03</v>
      </c>
      <c r="F218">
        <v>0</v>
      </c>
      <c r="G218">
        <v>0</v>
      </c>
      <c r="H218">
        <v>0.22</v>
      </c>
      <c r="I218">
        <v>0</v>
      </c>
      <c r="J218">
        <v>0</v>
      </c>
      <c r="K218">
        <v>0</v>
      </c>
      <c r="L218">
        <v>0</v>
      </c>
      <c r="M218">
        <v>0.01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</v>
      </c>
      <c r="E219">
        <v>0.88</v>
      </c>
      <c r="F219">
        <v>0</v>
      </c>
      <c r="G219">
        <v>0</v>
      </c>
      <c r="H219">
        <v>0.11</v>
      </c>
      <c r="I219">
        <v>0</v>
      </c>
      <c r="J219">
        <v>0.01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65</v>
      </c>
      <c r="C220" t="s">
        <v>65</v>
      </c>
      <c r="D220">
        <v>0</v>
      </c>
      <c r="E220">
        <v>0</v>
      </c>
      <c r="F220">
        <v>0</v>
      </c>
      <c r="G220">
        <v>0.94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0.06</v>
      </c>
      <c r="N220">
        <v>0</v>
      </c>
    </row>
    <row r="221" spans="1:14">
      <c r="A221">
        <v>220</v>
      </c>
      <c r="B221" t="s">
        <v>37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0.99</v>
      </c>
      <c r="I221">
        <v>0</v>
      </c>
      <c r="J221">
        <v>0</v>
      </c>
      <c r="K221">
        <v>0</v>
      </c>
      <c r="L221">
        <v>0.01</v>
      </c>
      <c r="M221">
        <v>0</v>
      </c>
      <c r="N221">
        <v>0</v>
      </c>
    </row>
    <row r="222" spans="1:14">
      <c r="A222">
        <v>221</v>
      </c>
      <c r="B222" t="s">
        <v>20</v>
      </c>
      <c r="C222" t="s">
        <v>20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20</v>
      </c>
      <c r="C223" t="s">
        <v>20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31</v>
      </c>
      <c r="C225" t="s">
        <v>31</v>
      </c>
      <c r="D225">
        <v>0.02</v>
      </c>
      <c r="E225">
        <v>0</v>
      </c>
      <c r="F225">
        <v>0</v>
      </c>
      <c r="G225">
        <v>0</v>
      </c>
      <c r="H225">
        <v>0.08</v>
      </c>
      <c r="I225">
        <v>0</v>
      </c>
      <c r="J225">
        <v>0.9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37</v>
      </c>
      <c r="C226" t="s">
        <v>37</v>
      </c>
      <c r="D226">
        <v>0</v>
      </c>
      <c r="E226">
        <v>0</v>
      </c>
      <c r="F226">
        <v>0</v>
      </c>
      <c r="G226">
        <v>0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37</v>
      </c>
      <c r="C227" t="s">
        <v>37</v>
      </c>
      <c r="D227">
        <v>0.02</v>
      </c>
      <c r="E227">
        <v>0</v>
      </c>
      <c r="F227">
        <v>0</v>
      </c>
      <c r="G227">
        <v>0</v>
      </c>
      <c r="H227">
        <v>0.92</v>
      </c>
      <c r="I227">
        <v>0</v>
      </c>
      <c r="J227">
        <v>0.04</v>
      </c>
      <c r="K227">
        <v>0</v>
      </c>
      <c r="L227">
        <v>0</v>
      </c>
      <c r="M227">
        <v>0.02</v>
      </c>
      <c r="N227">
        <v>0</v>
      </c>
    </row>
    <row r="228" spans="1:14">
      <c r="A228">
        <v>227</v>
      </c>
      <c r="B228" t="s">
        <v>20</v>
      </c>
      <c r="C228" t="s">
        <v>20</v>
      </c>
      <c r="D228">
        <v>0</v>
      </c>
      <c r="E228">
        <v>0.94</v>
      </c>
      <c r="F228">
        <v>0</v>
      </c>
      <c r="G228">
        <v>0</v>
      </c>
      <c r="H228">
        <v>0.06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37</v>
      </c>
      <c r="C229" t="s">
        <v>37</v>
      </c>
      <c r="D229">
        <v>0</v>
      </c>
      <c r="E229">
        <v>0.13</v>
      </c>
      <c r="F229">
        <v>0</v>
      </c>
      <c r="G229">
        <v>0</v>
      </c>
      <c r="H229">
        <v>0.86</v>
      </c>
      <c r="I229">
        <v>0</v>
      </c>
      <c r="J229">
        <v>0</v>
      </c>
      <c r="K229">
        <v>0.01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20</v>
      </c>
      <c r="C230" t="s">
        <v>20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43</v>
      </c>
      <c r="C231" t="s">
        <v>43</v>
      </c>
      <c r="D231">
        <v>0.74</v>
      </c>
      <c r="E231">
        <v>0</v>
      </c>
      <c r="F231">
        <v>0</v>
      </c>
      <c r="G231">
        <v>0</v>
      </c>
      <c r="H231">
        <v>0.01</v>
      </c>
      <c r="I231">
        <v>0</v>
      </c>
      <c r="J231">
        <v>0.25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20</v>
      </c>
      <c r="C232" t="s">
        <v>20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65</v>
      </c>
      <c r="C233" t="s">
        <v>65</v>
      </c>
      <c r="D233">
        <v>0</v>
      </c>
      <c r="E233">
        <v>0</v>
      </c>
      <c r="F233">
        <v>0</v>
      </c>
      <c r="G233">
        <v>0.95</v>
      </c>
      <c r="H233">
        <v>0</v>
      </c>
      <c r="I233">
        <v>0</v>
      </c>
      <c r="J233">
        <v>0.03</v>
      </c>
      <c r="K233">
        <v>0</v>
      </c>
      <c r="L233">
        <v>0</v>
      </c>
      <c r="M233">
        <v>0.02</v>
      </c>
      <c r="N233">
        <v>0</v>
      </c>
    </row>
    <row r="234" spans="1:14">
      <c r="A234">
        <v>233</v>
      </c>
      <c r="B234" t="s">
        <v>151</v>
      </c>
      <c r="C234" t="s">
        <v>151</v>
      </c>
      <c r="D234">
        <v>0</v>
      </c>
      <c r="E234">
        <v>0.28000000000000003</v>
      </c>
      <c r="F234">
        <v>0</v>
      </c>
      <c r="G234">
        <v>0</v>
      </c>
      <c r="H234">
        <v>0.11</v>
      </c>
      <c r="I234">
        <v>0.6</v>
      </c>
      <c r="J234">
        <v>0</v>
      </c>
      <c r="K234">
        <v>0</v>
      </c>
      <c r="L234">
        <v>0</v>
      </c>
      <c r="M234">
        <v>0.01</v>
      </c>
      <c r="N234">
        <v>0</v>
      </c>
    </row>
    <row r="235" spans="1:14">
      <c r="A235">
        <v>234</v>
      </c>
      <c r="B235" t="s">
        <v>65</v>
      </c>
      <c r="C235" t="s">
        <v>65</v>
      </c>
      <c r="D235">
        <v>0</v>
      </c>
      <c r="E235">
        <v>0</v>
      </c>
      <c r="F235">
        <v>0</v>
      </c>
      <c r="G235">
        <v>0.98</v>
      </c>
      <c r="H235">
        <v>0.01</v>
      </c>
      <c r="I235">
        <v>0</v>
      </c>
      <c r="J235">
        <v>0</v>
      </c>
      <c r="K235">
        <v>0</v>
      </c>
      <c r="L235">
        <v>0</v>
      </c>
      <c r="M235">
        <v>0.01</v>
      </c>
      <c r="N235">
        <v>0</v>
      </c>
    </row>
    <row r="236" spans="1:14">
      <c r="A236">
        <v>235</v>
      </c>
      <c r="B236" t="s">
        <v>31</v>
      </c>
      <c r="C236" t="s">
        <v>31</v>
      </c>
      <c r="D236">
        <v>0.01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0.95</v>
      </c>
      <c r="K236">
        <v>0</v>
      </c>
      <c r="L236">
        <v>0</v>
      </c>
      <c r="M236">
        <v>0.04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20</v>
      </c>
      <c r="C238" t="s">
        <v>20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31</v>
      </c>
      <c r="C239" t="s">
        <v>31</v>
      </c>
      <c r="D239">
        <v>0</v>
      </c>
      <c r="E239">
        <v>0.02</v>
      </c>
      <c r="F239">
        <v>0</v>
      </c>
      <c r="G239">
        <v>0.04</v>
      </c>
      <c r="H239">
        <v>0.16</v>
      </c>
      <c r="I239">
        <v>0</v>
      </c>
      <c r="J239">
        <v>0.77</v>
      </c>
      <c r="K239">
        <v>0</v>
      </c>
      <c r="L239">
        <v>0</v>
      </c>
      <c r="M239">
        <v>0.01</v>
      </c>
      <c r="N239">
        <v>0</v>
      </c>
    </row>
    <row r="240" spans="1:14">
      <c r="A240">
        <v>239</v>
      </c>
      <c r="B240" t="s">
        <v>20</v>
      </c>
      <c r="C240" t="s">
        <v>20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0.98</v>
      </c>
      <c r="F241">
        <v>0</v>
      </c>
      <c r="G241">
        <v>0</v>
      </c>
      <c r="H241">
        <v>0.02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140</v>
      </c>
      <c r="C243" t="s">
        <v>140</v>
      </c>
      <c r="D243">
        <v>0</v>
      </c>
      <c r="E243">
        <v>0</v>
      </c>
      <c r="F243">
        <v>0</v>
      </c>
      <c r="G243">
        <v>0</v>
      </c>
      <c r="H243">
        <v>0.03</v>
      </c>
      <c r="I243">
        <v>0</v>
      </c>
      <c r="J243">
        <v>0</v>
      </c>
      <c r="K243">
        <v>0</v>
      </c>
      <c r="L243">
        <v>0.97</v>
      </c>
      <c r="M243">
        <v>0</v>
      </c>
      <c r="N243">
        <v>0</v>
      </c>
    </row>
    <row r="244" spans="1:14">
      <c r="A244">
        <v>243</v>
      </c>
      <c r="B244" t="s">
        <v>65</v>
      </c>
      <c r="C244" t="s">
        <v>65</v>
      </c>
      <c r="D244">
        <v>0.02</v>
      </c>
      <c r="E244">
        <v>0</v>
      </c>
      <c r="F244">
        <v>0</v>
      </c>
      <c r="G244">
        <v>0.97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0.01</v>
      </c>
      <c r="N244">
        <v>0</v>
      </c>
    </row>
    <row r="245" spans="1:14">
      <c r="A245">
        <v>244</v>
      </c>
      <c r="B245" t="s">
        <v>55</v>
      </c>
      <c r="C245" t="s">
        <v>55</v>
      </c>
      <c r="D245">
        <v>0.06</v>
      </c>
      <c r="E245">
        <v>0</v>
      </c>
      <c r="F245">
        <v>0</v>
      </c>
      <c r="G245">
        <v>0</v>
      </c>
      <c r="H245">
        <v>0.33</v>
      </c>
      <c r="I245">
        <v>0</v>
      </c>
      <c r="J245">
        <v>0</v>
      </c>
      <c r="K245">
        <v>0</v>
      </c>
      <c r="L245">
        <v>0</v>
      </c>
      <c r="M245">
        <v>0.61</v>
      </c>
      <c r="N245">
        <v>0</v>
      </c>
    </row>
    <row r="246" spans="1:14">
      <c r="A246">
        <v>245</v>
      </c>
      <c r="B246" t="s">
        <v>20</v>
      </c>
      <c r="C246" t="s">
        <v>20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55</v>
      </c>
      <c r="C247" t="s">
        <v>55</v>
      </c>
      <c r="D247">
        <v>0.1</v>
      </c>
      <c r="E247">
        <v>0</v>
      </c>
      <c r="F247">
        <v>0</v>
      </c>
      <c r="G247">
        <v>0</v>
      </c>
      <c r="H247">
        <v>0.16</v>
      </c>
      <c r="I247">
        <v>0</v>
      </c>
      <c r="J247">
        <v>0.15</v>
      </c>
      <c r="K247">
        <v>0</v>
      </c>
      <c r="L247">
        <v>0</v>
      </c>
      <c r="M247">
        <v>0.57999999999999996</v>
      </c>
      <c r="N247">
        <v>0.01</v>
      </c>
    </row>
    <row r="248" spans="1:14">
      <c r="A248">
        <v>247</v>
      </c>
      <c r="B248" t="s">
        <v>55</v>
      </c>
      <c r="C248" t="s">
        <v>55</v>
      </c>
      <c r="D248">
        <v>0</v>
      </c>
      <c r="E248">
        <v>0.06</v>
      </c>
      <c r="F248">
        <v>0</v>
      </c>
      <c r="G248">
        <v>0</v>
      </c>
      <c r="H248">
        <v>0.17</v>
      </c>
      <c r="I248">
        <v>0</v>
      </c>
      <c r="J248">
        <v>0.02</v>
      </c>
      <c r="K248">
        <v>0</v>
      </c>
      <c r="L248">
        <v>0</v>
      </c>
      <c r="M248">
        <v>0.75</v>
      </c>
      <c r="N248">
        <v>0</v>
      </c>
    </row>
    <row r="249" spans="1:14">
      <c r="A249">
        <v>248</v>
      </c>
      <c r="B249" t="s">
        <v>65</v>
      </c>
      <c r="C249" t="s">
        <v>65</v>
      </c>
      <c r="D249">
        <v>0.02</v>
      </c>
      <c r="E249">
        <v>0</v>
      </c>
      <c r="F249">
        <v>0</v>
      </c>
      <c r="G249">
        <v>0.92</v>
      </c>
      <c r="H249">
        <v>0.01</v>
      </c>
      <c r="I249">
        <v>0</v>
      </c>
      <c r="J249">
        <v>0.03</v>
      </c>
      <c r="K249">
        <v>0</v>
      </c>
      <c r="L249">
        <v>0</v>
      </c>
      <c r="M249">
        <v>0.02</v>
      </c>
      <c r="N249">
        <v>0</v>
      </c>
    </row>
    <row r="250" spans="1:14">
      <c r="A250">
        <v>249</v>
      </c>
      <c r="B250" t="s">
        <v>43</v>
      </c>
      <c r="C250" t="s">
        <v>43</v>
      </c>
      <c r="D250">
        <v>0.99</v>
      </c>
      <c r="E250">
        <v>0</v>
      </c>
      <c r="F250">
        <v>0</v>
      </c>
      <c r="G250">
        <v>0</v>
      </c>
      <c r="H250">
        <v>0.01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31</v>
      </c>
      <c r="C251" t="s">
        <v>31</v>
      </c>
      <c r="D251">
        <v>0.02</v>
      </c>
      <c r="E251">
        <v>0.04</v>
      </c>
      <c r="F251">
        <v>0</v>
      </c>
      <c r="G251">
        <v>0</v>
      </c>
      <c r="H251">
        <v>0.08</v>
      </c>
      <c r="I251">
        <v>0</v>
      </c>
      <c r="J251">
        <v>0.7</v>
      </c>
      <c r="K251">
        <v>0</v>
      </c>
      <c r="L251">
        <v>0</v>
      </c>
      <c r="M251">
        <v>0.14000000000000001</v>
      </c>
      <c r="N251">
        <v>0.02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65</v>
      </c>
      <c r="C253" t="s">
        <v>65</v>
      </c>
      <c r="D253">
        <v>0.06</v>
      </c>
      <c r="E253">
        <v>0</v>
      </c>
      <c r="F253">
        <v>0</v>
      </c>
      <c r="G253">
        <v>0.92</v>
      </c>
      <c r="H253">
        <v>0.01</v>
      </c>
      <c r="I253">
        <v>0</v>
      </c>
      <c r="J253">
        <v>0.01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37</v>
      </c>
      <c r="C254" t="s">
        <v>37</v>
      </c>
      <c r="D254">
        <v>0.06</v>
      </c>
      <c r="E254">
        <v>0</v>
      </c>
      <c r="F254">
        <v>0</v>
      </c>
      <c r="G254">
        <v>0.02</v>
      </c>
      <c r="H254">
        <v>0.74</v>
      </c>
      <c r="I254">
        <v>0</v>
      </c>
      <c r="J254">
        <v>0.16</v>
      </c>
      <c r="K254">
        <v>0</v>
      </c>
      <c r="L254">
        <v>0</v>
      </c>
      <c r="M254">
        <v>0.02</v>
      </c>
      <c r="N254">
        <v>0</v>
      </c>
    </row>
    <row r="255" spans="1:14">
      <c r="A255">
        <v>254</v>
      </c>
      <c r="B255" t="s">
        <v>156</v>
      </c>
      <c r="C255" t="s">
        <v>156</v>
      </c>
      <c r="D255">
        <v>0</v>
      </c>
      <c r="E255">
        <v>0.18</v>
      </c>
      <c r="F255">
        <v>0</v>
      </c>
      <c r="G255">
        <v>0</v>
      </c>
      <c r="H255">
        <v>0.12</v>
      </c>
      <c r="I255">
        <v>0</v>
      </c>
      <c r="J255">
        <v>0</v>
      </c>
      <c r="K255">
        <v>0.69</v>
      </c>
      <c r="L255">
        <v>0</v>
      </c>
      <c r="M255">
        <v>0.01</v>
      </c>
      <c r="N255">
        <v>0</v>
      </c>
    </row>
    <row r="256" spans="1:14">
      <c r="A256">
        <v>255</v>
      </c>
      <c r="B256" t="s">
        <v>37</v>
      </c>
      <c r="C256" t="s">
        <v>37</v>
      </c>
      <c r="D256">
        <v>0.18</v>
      </c>
      <c r="E256">
        <v>0</v>
      </c>
      <c r="F256">
        <v>0</v>
      </c>
      <c r="G256">
        <v>0</v>
      </c>
      <c r="H256">
        <v>0.68</v>
      </c>
      <c r="I256">
        <v>0.01</v>
      </c>
      <c r="J256">
        <v>0.01</v>
      </c>
      <c r="K256">
        <v>0.01</v>
      </c>
      <c r="L256">
        <v>0</v>
      </c>
      <c r="M256">
        <v>0.01</v>
      </c>
      <c r="N256">
        <v>0.1</v>
      </c>
    </row>
    <row r="257" spans="1:14">
      <c r="A257">
        <v>256</v>
      </c>
      <c r="B257" t="s">
        <v>65</v>
      </c>
      <c r="C257" t="s">
        <v>65</v>
      </c>
      <c r="D257">
        <v>0.02</v>
      </c>
      <c r="E257">
        <v>0</v>
      </c>
      <c r="F257">
        <v>0</v>
      </c>
      <c r="G257">
        <v>0.97</v>
      </c>
      <c r="H257">
        <v>0</v>
      </c>
      <c r="I257">
        <v>0</v>
      </c>
      <c r="J257">
        <v>0</v>
      </c>
      <c r="K257">
        <v>0</v>
      </c>
      <c r="L257">
        <v>0.01</v>
      </c>
      <c r="M257">
        <v>0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37</v>
      </c>
      <c r="C260" t="s">
        <v>37</v>
      </c>
      <c r="D260">
        <v>0</v>
      </c>
      <c r="E260">
        <v>0.06</v>
      </c>
      <c r="F260">
        <v>0</v>
      </c>
      <c r="G260">
        <v>0</v>
      </c>
      <c r="H260">
        <v>0.9</v>
      </c>
      <c r="I260">
        <v>0</v>
      </c>
      <c r="J260">
        <v>0.03</v>
      </c>
      <c r="K260">
        <v>0</v>
      </c>
      <c r="L260">
        <v>0</v>
      </c>
      <c r="M260">
        <v>0.01</v>
      </c>
      <c r="N260">
        <v>0</v>
      </c>
    </row>
    <row r="261" spans="1:14">
      <c r="A261">
        <v>260</v>
      </c>
      <c r="B261" t="s">
        <v>55</v>
      </c>
      <c r="C261" t="s">
        <v>55</v>
      </c>
      <c r="D261">
        <v>0.13</v>
      </c>
      <c r="E261">
        <v>0.04</v>
      </c>
      <c r="F261">
        <v>0</v>
      </c>
      <c r="G261">
        <v>0</v>
      </c>
      <c r="H261">
        <v>0.18</v>
      </c>
      <c r="I261">
        <v>0</v>
      </c>
      <c r="J261">
        <v>0</v>
      </c>
      <c r="K261">
        <v>0</v>
      </c>
      <c r="L261">
        <v>0</v>
      </c>
      <c r="M261">
        <v>0.65</v>
      </c>
      <c r="N261">
        <v>0</v>
      </c>
    </row>
    <row r="262" spans="1:14">
      <c r="A262">
        <v>261</v>
      </c>
      <c r="B262" t="s">
        <v>140</v>
      </c>
      <c r="C262" t="s">
        <v>140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0.03</v>
      </c>
      <c r="K262">
        <v>0</v>
      </c>
      <c r="L262">
        <v>0.97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20</v>
      </c>
      <c r="C265" t="s">
        <v>20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20</v>
      </c>
      <c r="C266" t="s">
        <v>20</v>
      </c>
      <c r="D266">
        <v>0</v>
      </c>
      <c r="E266">
        <v>0.99</v>
      </c>
      <c r="F266">
        <v>0</v>
      </c>
      <c r="G266">
        <v>0</v>
      </c>
      <c r="H266">
        <v>0.01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31</v>
      </c>
      <c r="C267" t="s">
        <v>31</v>
      </c>
      <c r="D267">
        <v>0</v>
      </c>
      <c r="E267">
        <v>0</v>
      </c>
      <c r="F267">
        <v>0</v>
      </c>
      <c r="G267">
        <v>0</v>
      </c>
      <c r="H267">
        <v>0.05</v>
      </c>
      <c r="I267">
        <v>0</v>
      </c>
      <c r="J267">
        <v>0.95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31</v>
      </c>
      <c r="C268" t="s">
        <v>31</v>
      </c>
      <c r="D268">
        <v>0.04</v>
      </c>
      <c r="E268">
        <v>0.04</v>
      </c>
      <c r="F268">
        <v>0</v>
      </c>
      <c r="G268">
        <v>0</v>
      </c>
      <c r="H268">
        <v>0.12</v>
      </c>
      <c r="I268">
        <v>0</v>
      </c>
      <c r="J268">
        <v>0.65</v>
      </c>
      <c r="K268">
        <v>0</v>
      </c>
      <c r="L268">
        <v>0</v>
      </c>
      <c r="M268">
        <v>0.15</v>
      </c>
      <c r="N268">
        <v>0</v>
      </c>
    </row>
    <row r="269" spans="1:14">
      <c r="A269">
        <v>268</v>
      </c>
      <c r="B269" t="s">
        <v>31</v>
      </c>
      <c r="C269" t="s">
        <v>31</v>
      </c>
      <c r="D269">
        <v>0</v>
      </c>
      <c r="E269">
        <v>0.09</v>
      </c>
      <c r="F269">
        <v>0</v>
      </c>
      <c r="G269">
        <v>0</v>
      </c>
      <c r="H269">
        <v>0.01</v>
      </c>
      <c r="I269">
        <v>0</v>
      </c>
      <c r="J269">
        <v>0.82</v>
      </c>
      <c r="K269">
        <v>0</v>
      </c>
      <c r="L269">
        <v>0</v>
      </c>
      <c r="M269">
        <v>0.08</v>
      </c>
      <c r="N269">
        <v>0</v>
      </c>
    </row>
    <row r="270" spans="1:14">
      <c r="A270">
        <v>269</v>
      </c>
      <c r="B270" t="s">
        <v>20</v>
      </c>
      <c r="C270" t="s">
        <v>20</v>
      </c>
      <c r="D270">
        <v>0.02</v>
      </c>
      <c r="E270">
        <v>0.98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55</v>
      </c>
      <c r="C271" t="s">
        <v>55</v>
      </c>
      <c r="D271">
        <v>0.02</v>
      </c>
      <c r="E271">
        <v>0</v>
      </c>
      <c r="F271">
        <v>0</v>
      </c>
      <c r="G271">
        <v>0</v>
      </c>
      <c r="H271">
        <v>0.12</v>
      </c>
      <c r="I271">
        <v>0</v>
      </c>
      <c r="J271">
        <v>0.02</v>
      </c>
      <c r="K271">
        <v>0</v>
      </c>
      <c r="L271">
        <v>0</v>
      </c>
      <c r="M271">
        <v>0.84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31</v>
      </c>
      <c r="C273" t="s">
        <v>31</v>
      </c>
      <c r="D273">
        <v>0.02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0.6</v>
      </c>
      <c r="K273">
        <v>0</v>
      </c>
      <c r="L273">
        <v>0</v>
      </c>
      <c r="M273">
        <v>0.38</v>
      </c>
      <c r="N273">
        <v>0</v>
      </c>
    </row>
    <row r="274" spans="1:14">
      <c r="A274">
        <v>273</v>
      </c>
      <c r="B274" t="s">
        <v>20</v>
      </c>
      <c r="C274" t="s">
        <v>20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31</v>
      </c>
      <c r="C275" t="s">
        <v>31</v>
      </c>
      <c r="D275">
        <v>0.01</v>
      </c>
      <c r="E275">
        <v>0.14000000000000001</v>
      </c>
      <c r="F275">
        <v>0</v>
      </c>
      <c r="G275">
        <v>0</v>
      </c>
      <c r="H275">
        <v>0.1</v>
      </c>
      <c r="I275">
        <v>0</v>
      </c>
      <c r="J275">
        <v>0.75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20</v>
      </c>
      <c r="C276" t="s">
        <v>20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65</v>
      </c>
      <c r="C277" t="s">
        <v>65</v>
      </c>
      <c r="D277">
        <v>0</v>
      </c>
      <c r="E277">
        <v>0</v>
      </c>
      <c r="F277">
        <v>0</v>
      </c>
      <c r="G277">
        <v>0.9</v>
      </c>
      <c r="H277">
        <v>0</v>
      </c>
      <c r="I277">
        <v>0</v>
      </c>
      <c r="J277">
        <v>7.0000000000000007E-2</v>
      </c>
      <c r="K277">
        <v>0</v>
      </c>
      <c r="L277">
        <v>0</v>
      </c>
      <c r="M277">
        <v>0.03</v>
      </c>
      <c r="N277">
        <v>0</v>
      </c>
    </row>
    <row r="278" spans="1:14">
      <c r="A278">
        <v>277</v>
      </c>
      <c r="B278" t="s">
        <v>65</v>
      </c>
      <c r="C278" t="s">
        <v>65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20</v>
      </c>
      <c r="C279" t="s">
        <v>20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37</v>
      </c>
      <c r="C280" t="s">
        <v>37</v>
      </c>
      <c r="D280">
        <v>0</v>
      </c>
      <c r="E280">
        <v>0.02</v>
      </c>
      <c r="F280">
        <v>0</v>
      </c>
      <c r="G280">
        <v>0</v>
      </c>
      <c r="H280">
        <v>0.7</v>
      </c>
      <c r="I280">
        <v>0</v>
      </c>
      <c r="J280">
        <v>0.1</v>
      </c>
      <c r="K280">
        <v>0.18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37</v>
      </c>
      <c r="C281" t="s">
        <v>37</v>
      </c>
      <c r="D281">
        <v>0</v>
      </c>
      <c r="E281">
        <v>0</v>
      </c>
      <c r="F281">
        <v>0</v>
      </c>
      <c r="G281">
        <v>0</v>
      </c>
      <c r="H281">
        <v>0.95</v>
      </c>
      <c r="I281">
        <v>0</v>
      </c>
      <c r="J281">
        <v>0.05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37</v>
      </c>
      <c r="C282" t="s">
        <v>37</v>
      </c>
      <c r="D282">
        <v>0.09</v>
      </c>
      <c r="E282">
        <v>0</v>
      </c>
      <c r="F282">
        <v>0</v>
      </c>
      <c r="G282">
        <v>0</v>
      </c>
      <c r="H282">
        <v>0.87</v>
      </c>
      <c r="I282">
        <v>0</v>
      </c>
      <c r="J282">
        <v>0.04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43</v>
      </c>
      <c r="C283" t="s">
        <v>43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151</v>
      </c>
      <c r="C284" t="s">
        <v>151</v>
      </c>
      <c r="D284">
        <v>0.04</v>
      </c>
      <c r="E284">
        <v>0</v>
      </c>
      <c r="F284">
        <v>0</v>
      </c>
      <c r="G284">
        <v>0</v>
      </c>
      <c r="H284">
        <v>0.01</v>
      </c>
      <c r="I284">
        <v>0.95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55</v>
      </c>
      <c r="C285" t="s">
        <v>55</v>
      </c>
      <c r="D285">
        <v>0</v>
      </c>
      <c r="E285">
        <v>0.02</v>
      </c>
      <c r="F285">
        <v>0</v>
      </c>
      <c r="G285">
        <v>0</v>
      </c>
      <c r="H285">
        <v>0.02</v>
      </c>
      <c r="I285">
        <v>0.01</v>
      </c>
      <c r="J285">
        <v>0.09</v>
      </c>
      <c r="K285">
        <v>0</v>
      </c>
      <c r="L285">
        <v>0</v>
      </c>
      <c r="M285">
        <v>0.86</v>
      </c>
      <c r="N285">
        <v>0</v>
      </c>
    </row>
    <row r="286" spans="1:14">
      <c r="A286">
        <v>285</v>
      </c>
      <c r="B286" t="s">
        <v>31</v>
      </c>
      <c r="C286" t="s">
        <v>31</v>
      </c>
      <c r="D286">
        <v>0.01</v>
      </c>
      <c r="E286">
        <v>0.01</v>
      </c>
      <c r="F286">
        <v>0</v>
      </c>
      <c r="G286">
        <v>0</v>
      </c>
      <c r="H286">
        <v>0.09</v>
      </c>
      <c r="I286">
        <v>0</v>
      </c>
      <c r="J286">
        <v>0.87</v>
      </c>
      <c r="K286">
        <v>0</v>
      </c>
      <c r="L286">
        <v>0</v>
      </c>
      <c r="M286">
        <v>0.02</v>
      </c>
      <c r="N286">
        <v>0</v>
      </c>
    </row>
    <row r="287" spans="1:14">
      <c r="A287">
        <v>286</v>
      </c>
      <c r="B287" t="s">
        <v>43</v>
      </c>
      <c r="C287" t="s">
        <v>43</v>
      </c>
      <c r="D287">
        <v>0.65</v>
      </c>
      <c r="E287">
        <v>0</v>
      </c>
      <c r="F287">
        <v>0</v>
      </c>
      <c r="G287">
        <v>0</v>
      </c>
      <c r="H287">
        <v>0.08</v>
      </c>
      <c r="I287">
        <v>0.01</v>
      </c>
      <c r="J287">
        <v>0.13</v>
      </c>
      <c r="K287">
        <v>0</v>
      </c>
      <c r="L287">
        <v>0</v>
      </c>
      <c r="M287">
        <v>0.13</v>
      </c>
      <c r="N287">
        <v>0</v>
      </c>
    </row>
    <row r="288" spans="1:14">
      <c r="A288">
        <v>287</v>
      </c>
      <c r="B288" t="s">
        <v>20</v>
      </c>
      <c r="C288" t="s">
        <v>20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37</v>
      </c>
      <c r="C289" t="s">
        <v>37</v>
      </c>
      <c r="D289">
        <v>0.06</v>
      </c>
      <c r="E289">
        <v>0</v>
      </c>
      <c r="F289">
        <v>0</v>
      </c>
      <c r="G289">
        <v>0</v>
      </c>
      <c r="H289">
        <v>0.65</v>
      </c>
      <c r="I289">
        <v>0</v>
      </c>
      <c r="J289">
        <v>0.28000000000000003</v>
      </c>
      <c r="K289">
        <v>0</v>
      </c>
      <c r="L289">
        <v>0</v>
      </c>
      <c r="M289">
        <v>0.01</v>
      </c>
      <c r="N289">
        <v>0</v>
      </c>
    </row>
    <row r="290" spans="1:14">
      <c r="A290">
        <v>289</v>
      </c>
      <c r="B290" t="s">
        <v>37</v>
      </c>
      <c r="C290" t="s">
        <v>37</v>
      </c>
      <c r="D290">
        <v>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</v>
      </c>
      <c r="E291">
        <v>0.99</v>
      </c>
      <c r="F291">
        <v>0</v>
      </c>
      <c r="G291">
        <v>0</v>
      </c>
      <c r="H291">
        <v>0</v>
      </c>
      <c r="I291">
        <v>0</v>
      </c>
      <c r="J291">
        <v>0.01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55</v>
      </c>
      <c r="C292" t="s">
        <v>55</v>
      </c>
      <c r="D292">
        <v>0.09</v>
      </c>
      <c r="E292">
        <v>0.02</v>
      </c>
      <c r="F292">
        <v>0</v>
      </c>
      <c r="G292">
        <v>0</v>
      </c>
      <c r="H292">
        <v>0.17</v>
      </c>
      <c r="I292">
        <v>0</v>
      </c>
      <c r="J292">
        <v>0.03</v>
      </c>
      <c r="K292">
        <v>0</v>
      </c>
      <c r="L292">
        <v>0</v>
      </c>
      <c r="M292">
        <v>0.63</v>
      </c>
      <c r="N292">
        <v>0.06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20</v>
      </c>
      <c r="C294" t="s">
        <v>20</v>
      </c>
      <c r="D294">
        <v>0.03</v>
      </c>
      <c r="E294">
        <v>0.96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0.01</v>
      </c>
      <c r="N294">
        <v>0</v>
      </c>
    </row>
    <row r="295" spans="1:14">
      <c r="A295">
        <v>294</v>
      </c>
      <c r="B295" t="s">
        <v>37</v>
      </c>
      <c r="C295" t="s">
        <v>37</v>
      </c>
      <c r="D295">
        <v>0</v>
      </c>
      <c r="E295">
        <v>0</v>
      </c>
      <c r="F295">
        <v>0</v>
      </c>
      <c r="G295">
        <v>0</v>
      </c>
      <c r="H295">
        <v>0.99</v>
      </c>
      <c r="I295">
        <v>0</v>
      </c>
      <c r="J295">
        <v>0</v>
      </c>
      <c r="K295">
        <v>0</v>
      </c>
      <c r="L295">
        <v>0</v>
      </c>
      <c r="M295">
        <v>0.01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</v>
      </c>
      <c r="E297">
        <v>0.99</v>
      </c>
      <c r="F297">
        <v>0</v>
      </c>
      <c r="G297">
        <v>0</v>
      </c>
      <c r="H297">
        <v>0.01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43</v>
      </c>
      <c r="C298" t="s">
        <v>43</v>
      </c>
      <c r="D298">
        <v>0.82</v>
      </c>
      <c r="E298">
        <v>0</v>
      </c>
      <c r="F298">
        <v>0</v>
      </c>
      <c r="G298">
        <v>0</v>
      </c>
      <c r="H298">
        <v>0.05</v>
      </c>
      <c r="I298">
        <v>0</v>
      </c>
      <c r="J298">
        <v>0.13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43</v>
      </c>
      <c r="C299" t="s">
        <v>43</v>
      </c>
      <c r="D299">
        <v>0.88</v>
      </c>
      <c r="E299">
        <v>0</v>
      </c>
      <c r="F299">
        <v>0</v>
      </c>
      <c r="G299">
        <v>0.01</v>
      </c>
      <c r="H299">
        <v>0</v>
      </c>
      <c r="I299">
        <v>0</v>
      </c>
      <c r="J299">
        <v>0.05</v>
      </c>
      <c r="K299">
        <v>0</v>
      </c>
      <c r="L299">
        <v>0.06</v>
      </c>
      <c r="M299">
        <v>0</v>
      </c>
      <c r="N299">
        <v>0</v>
      </c>
    </row>
    <row r="300" spans="1:14">
      <c r="A300">
        <v>299</v>
      </c>
      <c r="B300" t="s">
        <v>20</v>
      </c>
      <c r="C300" t="s">
        <v>20</v>
      </c>
      <c r="D300">
        <v>0.02</v>
      </c>
      <c r="E300">
        <v>0.88</v>
      </c>
      <c r="F300">
        <v>0</v>
      </c>
      <c r="G300">
        <v>0</v>
      </c>
      <c r="H300">
        <v>7.0000000000000007E-2</v>
      </c>
      <c r="I300">
        <v>0</v>
      </c>
      <c r="J300">
        <v>0.01</v>
      </c>
      <c r="K300">
        <v>0</v>
      </c>
      <c r="L300">
        <v>0.02</v>
      </c>
      <c r="M300">
        <v>0</v>
      </c>
      <c r="N300">
        <v>0</v>
      </c>
    </row>
    <row r="301" spans="1:14">
      <c r="A301">
        <v>300</v>
      </c>
      <c r="B301" t="s">
        <v>31</v>
      </c>
      <c r="C301" t="s">
        <v>31</v>
      </c>
      <c r="D301">
        <v>0</v>
      </c>
      <c r="E301">
        <v>0</v>
      </c>
      <c r="F301">
        <v>0</v>
      </c>
      <c r="G301">
        <v>0</v>
      </c>
      <c r="H301">
        <v>0.01</v>
      </c>
      <c r="I301">
        <v>0</v>
      </c>
      <c r="J301">
        <v>0.99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31</v>
      </c>
      <c r="C302" t="s">
        <v>31</v>
      </c>
      <c r="D302">
        <v>0.01</v>
      </c>
      <c r="E302">
        <v>0</v>
      </c>
      <c r="F302">
        <v>0</v>
      </c>
      <c r="G302">
        <v>0.04</v>
      </c>
      <c r="H302">
        <v>0</v>
      </c>
      <c r="I302">
        <v>0</v>
      </c>
      <c r="J302">
        <v>0.89</v>
      </c>
      <c r="K302">
        <v>0</v>
      </c>
      <c r="L302">
        <v>0</v>
      </c>
      <c r="M302">
        <v>0.06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55</v>
      </c>
      <c r="C305" t="s">
        <v>55</v>
      </c>
      <c r="D305">
        <v>0.06</v>
      </c>
      <c r="E305">
        <v>0.3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0.64</v>
      </c>
      <c r="N305">
        <v>0</v>
      </c>
    </row>
    <row r="306" spans="1:14">
      <c r="A306">
        <v>305</v>
      </c>
      <c r="B306" t="s">
        <v>55</v>
      </c>
      <c r="C306" t="s">
        <v>55</v>
      </c>
      <c r="D306">
        <v>0.04</v>
      </c>
      <c r="E306">
        <v>0.01</v>
      </c>
      <c r="F306">
        <v>0</v>
      </c>
      <c r="G306">
        <v>0</v>
      </c>
      <c r="H306">
        <v>0.1</v>
      </c>
      <c r="I306">
        <v>0</v>
      </c>
      <c r="J306">
        <v>0.09</v>
      </c>
      <c r="K306">
        <v>0</v>
      </c>
      <c r="L306">
        <v>0</v>
      </c>
      <c r="M306">
        <v>0.76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43</v>
      </c>
      <c r="C308" t="s">
        <v>43</v>
      </c>
      <c r="D308">
        <v>0.69</v>
      </c>
      <c r="E308">
        <v>0.01</v>
      </c>
      <c r="F308">
        <v>0.02</v>
      </c>
      <c r="G308">
        <v>0</v>
      </c>
      <c r="H308">
        <v>0.18</v>
      </c>
      <c r="I308">
        <v>0</v>
      </c>
      <c r="J308">
        <v>0.02</v>
      </c>
      <c r="K308">
        <v>0</v>
      </c>
      <c r="L308">
        <v>0</v>
      </c>
      <c r="M308">
        <v>7.0000000000000007E-2</v>
      </c>
      <c r="N308">
        <v>0.01</v>
      </c>
    </row>
    <row r="309" spans="1:14">
      <c r="A309">
        <v>308</v>
      </c>
      <c r="B309" t="s">
        <v>31</v>
      </c>
      <c r="C309" t="s">
        <v>31</v>
      </c>
      <c r="D309">
        <v>0.04</v>
      </c>
      <c r="E309">
        <v>0</v>
      </c>
      <c r="F309">
        <v>0</v>
      </c>
      <c r="G309">
        <v>0</v>
      </c>
      <c r="H309">
        <v>0.08</v>
      </c>
      <c r="I309">
        <v>0</v>
      </c>
      <c r="J309">
        <v>0.83</v>
      </c>
      <c r="K309">
        <v>0</v>
      </c>
      <c r="L309">
        <v>0</v>
      </c>
      <c r="M309">
        <v>0.05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</v>
      </c>
      <c r="E311">
        <v>0.98</v>
      </c>
      <c r="F311">
        <v>0</v>
      </c>
      <c r="G311">
        <v>0</v>
      </c>
      <c r="H311">
        <v>0</v>
      </c>
      <c r="I311">
        <v>0.02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37</v>
      </c>
      <c r="C312" t="s">
        <v>37</v>
      </c>
      <c r="D312">
        <v>0</v>
      </c>
      <c r="E312">
        <v>0.28000000000000003</v>
      </c>
      <c r="F312">
        <v>0</v>
      </c>
      <c r="G312">
        <v>0</v>
      </c>
      <c r="H312">
        <v>0.72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20</v>
      </c>
      <c r="C315" t="s">
        <v>20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37</v>
      </c>
      <c r="C316" t="s">
        <v>37</v>
      </c>
      <c r="D316">
        <v>0</v>
      </c>
      <c r="E316">
        <v>0</v>
      </c>
      <c r="F316">
        <v>0</v>
      </c>
      <c r="G316">
        <v>0</v>
      </c>
      <c r="H316">
        <v>0.95</v>
      </c>
      <c r="I316">
        <v>0</v>
      </c>
      <c r="J316">
        <v>0.02</v>
      </c>
      <c r="K316">
        <v>0</v>
      </c>
      <c r="L316">
        <v>0</v>
      </c>
      <c r="M316">
        <v>0.03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0.97</v>
      </c>
      <c r="F317">
        <v>0</v>
      </c>
      <c r="G317">
        <v>0</v>
      </c>
      <c r="H317">
        <v>0.03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0.02</v>
      </c>
      <c r="E318">
        <v>0.98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31</v>
      </c>
      <c r="C319" t="s">
        <v>31</v>
      </c>
      <c r="D319">
        <v>0.04</v>
      </c>
      <c r="E319">
        <v>0.01</v>
      </c>
      <c r="F319">
        <v>0</v>
      </c>
      <c r="G319">
        <v>0</v>
      </c>
      <c r="H319">
        <v>7.0000000000000007E-2</v>
      </c>
      <c r="I319">
        <v>0</v>
      </c>
      <c r="J319">
        <v>0.88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20</v>
      </c>
      <c r="C320" t="s">
        <v>20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20</v>
      </c>
      <c r="C321" t="s">
        <v>20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37</v>
      </c>
      <c r="C322" t="s">
        <v>37</v>
      </c>
      <c r="D322">
        <v>0</v>
      </c>
      <c r="E322">
        <v>0.04</v>
      </c>
      <c r="F322">
        <v>0</v>
      </c>
      <c r="G322">
        <v>0</v>
      </c>
      <c r="H322">
        <v>0.78</v>
      </c>
      <c r="I322">
        <v>0</v>
      </c>
      <c r="J322">
        <v>0.13</v>
      </c>
      <c r="K322">
        <v>0</v>
      </c>
      <c r="L322">
        <v>0</v>
      </c>
      <c r="M322">
        <v>0.05</v>
      </c>
      <c r="N322">
        <v>0</v>
      </c>
    </row>
    <row r="323" spans="1:14">
      <c r="A323">
        <v>322</v>
      </c>
      <c r="B323" t="s">
        <v>55</v>
      </c>
      <c r="C323" t="s">
        <v>55</v>
      </c>
      <c r="D323">
        <v>0</v>
      </c>
      <c r="E323">
        <v>0.02</v>
      </c>
      <c r="F323">
        <v>0</v>
      </c>
      <c r="G323">
        <v>0</v>
      </c>
      <c r="H323">
        <v>0.03</v>
      </c>
      <c r="I323">
        <v>0.01</v>
      </c>
      <c r="J323">
        <v>0.06</v>
      </c>
      <c r="K323">
        <v>0</v>
      </c>
      <c r="L323">
        <v>0</v>
      </c>
      <c r="M323">
        <v>0.88</v>
      </c>
      <c r="N323">
        <v>0</v>
      </c>
    </row>
    <row r="324" spans="1:14">
      <c r="A324">
        <v>323</v>
      </c>
      <c r="B324" t="s">
        <v>140</v>
      </c>
      <c r="C324" t="s">
        <v>140</v>
      </c>
      <c r="D324">
        <v>0</v>
      </c>
      <c r="E324">
        <v>0</v>
      </c>
      <c r="F324">
        <v>0.05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0.95</v>
      </c>
      <c r="M324">
        <v>0</v>
      </c>
      <c r="N324">
        <v>0</v>
      </c>
    </row>
    <row r="325" spans="1:14">
      <c r="A325">
        <v>324</v>
      </c>
      <c r="B325" t="s">
        <v>55</v>
      </c>
      <c r="C325" t="s">
        <v>55</v>
      </c>
      <c r="D325">
        <v>0.01</v>
      </c>
      <c r="E325">
        <v>0.01</v>
      </c>
      <c r="F325">
        <v>0</v>
      </c>
      <c r="G325">
        <v>0</v>
      </c>
      <c r="H325">
        <v>0.14000000000000001</v>
      </c>
      <c r="I325">
        <v>0.06</v>
      </c>
      <c r="J325">
        <v>0</v>
      </c>
      <c r="K325">
        <v>0</v>
      </c>
      <c r="L325">
        <v>0</v>
      </c>
      <c r="M325">
        <v>0.78</v>
      </c>
      <c r="N325">
        <v>0</v>
      </c>
    </row>
    <row r="326" spans="1:14">
      <c r="A326">
        <v>325</v>
      </c>
      <c r="B326" t="s">
        <v>43</v>
      </c>
      <c r="C326" t="s">
        <v>43</v>
      </c>
      <c r="D326">
        <v>0.75</v>
      </c>
      <c r="E326">
        <v>0.03</v>
      </c>
      <c r="F326">
        <v>0</v>
      </c>
      <c r="G326">
        <v>0</v>
      </c>
      <c r="H326">
        <v>0.1</v>
      </c>
      <c r="I326">
        <v>0</v>
      </c>
      <c r="J326">
        <v>0.12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20</v>
      </c>
      <c r="C327" t="s">
        <v>20</v>
      </c>
      <c r="D327">
        <v>0</v>
      </c>
      <c r="E327">
        <v>0.92</v>
      </c>
      <c r="F327">
        <v>0</v>
      </c>
      <c r="G327">
        <v>0.05</v>
      </c>
      <c r="H327">
        <v>0.02</v>
      </c>
      <c r="I327">
        <v>0</v>
      </c>
      <c r="J327">
        <v>0</v>
      </c>
      <c r="K327">
        <v>0</v>
      </c>
      <c r="L327">
        <v>0</v>
      </c>
      <c r="M327">
        <v>0.01</v>
      </c>
      <c r="N327">
        <v>0</v>
      </c>
    </row>
    <row r="328" spans="1:14">
      <c r="A328">
        <v>327</v>
      </c>
      <c r="B328" t="s">
        <v>37</v>
      </c>
      <c r="C328" t="s">
        <v>37</v>
      </c>
      <c r="D328">
        <v>0</v>
      </c>
      <c r="E328">
        <v>0.16</v>
      </c>
      <c r="F328">
        <v>0</v>
      </c>
      <c r="G328">
        <v>0</v>
      </c>
      <c r="H328">
        <v>0.67</v>
      </c>
      <c r="I328">
        <v>0.15</v>
      </c>
      <c r="J328">
        <v>0</v>
      </c>
      <c r="K328">
        <v>0</v>
      </c>
      <c r="L328">
        <v>0</v>
      </c>
      <c r="M328">
        <v>0.02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43</v>
      </c>
      <c r="C330" t="s">
        <v>43</v>
      </c>
      <c r="D330">
        <v>0.96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0.02</v>
      </c>
      <c r="K330">
        <v>0</v>
      </c>
      <c r="L330">
        <v>0</v>
      </c>
      <c r="M330">
        <v>0.02</v>
      </c>
      <c r="N330">
        <v>0</v>
      </c>
    </row>
    <row r="331" spans="1:14">
      <c r="A331">
        <v>330</v>
      </c>
      <c r="B331" t="s">
        <v>20</v>
      </c>
      <c r="C331" t="s">
        <v>20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43</v>
      </c>
      <c r="C332" t="s">
        <v>43</v>
      </c>
      <c r="D332">
        <v>0.98</v>
      </c>
      <c r="E332">
        <v>0</v>
      </c>
      <c r="F332">
        <v>0</v>
      </c>
      <c r="G332">
        <v>0.02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37</v>
      </c>
      <c r="C333" t="s">
        <v>37</v>
      </c>
      <c r="D333">
        <v>0</v>
      </c>
      <c r="E333">
        <v>0</v>
      </c>
      <c r="F333">
        <v>0</v>
      </c>
      <c r="G333">
        <v>0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20</v>
      </c>
      <c r="C334" t="s">
        <v>20</v>
      </c>
      <c r="D334">
        <v>0</v>
      </c>
      <c r="E334">
        <v>0.98</v>
      </c>
      <c r="F334">
        <v>0</v>
      </c>
      <c r="G334">
        <v>0</v>
      </c>
      <c r="H334">
        <v>0.01</v>
      </c>
      <c r="I334">
        <v>0</v>
      </c>
      <c r="J334">
        <v>0.01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151</v>
      </c>
      <c r="C335" t="s">
        <v>151</v>
      </c>
      <c r="D335">
        <v>0</v>
      </c>
      <c r="E335">
        <v>0</v>
      </c>
      <c r="F335">
        <v>0</v>
      </c>
      <c r="G335">
        <v>0</v>
      </c>
      <c r="H335">
        <v>0.01</v>
      </c>
      <c r="I335">
        <v>0.99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37</v>
      </c>
      <c r="C336" t="s">
        <v>37</v>
      </c>
      <c r="D336">
        <v>0</v>
      </c>
      <c r="E336">
        <v>0.01</v>
      </c>
      <c r="F336">
        <v>0</v>
      </c>
      <c r="G336">
        <v>0</v>
      </c>
      <c r="H336">
        <v>0.92</v>
      </c>
      <c r="I336">
        <v>0</v>
      </c>
      <c r="J336">
        <v>7.0000000000000007E-2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20</v>
      </c>
      <c r="C337" t="s">
        <v>20</v>
      </c>
      <c r="D337">
        <v>0</v>
      </c>
      <c r="E337">
        <v>0.95</v>
      </c>
      <c r="F337">
        <v>0</v>
      </c>
      <c r="G337">
        <v>0</v>
      </c>
      <c r="H337">
        <v>0.05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20</v>
      </c>
      <c r="C338" t="s">
        <v>20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20</v>
      </c>
      <c r="C339" t="s">
        <v>20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43</v>
      </c>
      <c r="C340" t="s">
        <v>43</v>
      </c>
      <c r="D340">
        <v>0.8</v>
      </c>
      <c r="E340">
        <v>0.01</v>
      </c>
      <c r="F340">
        <v>0.03</v>
      </c>
      <c r="G340">
        <v>0</v>
      </c>
      <c r="H340">
        <v>0.06</v>
      </c>
      <c r="I340">
        <v>0</v>
      </c>
      <c r="J340">
        <v>0.02</v>
      </c>
      <c r="K340">
        <v>0</v>
      </c>
      <c r="L340">
        <v>0</v>
      </c>
      <c r="M340">
        <v>0.08</v>
      </c>
      <c r="N340">
        <v>0</v>
      </c>
    </row>
    <row r="341" spans="1:14">
      <c r="A341">
        <v>340</v>
      </c>
      <c r="B341" t="s">
        <v>43</v>
      </c>
      <c r="C341" t="s">
        <v>43</v>
      </c>
      <c r="D341">
        <v>0.85</v>
      </c>
      <c r="E341">
        <v>0</v>
      </c>
      <c r="F341">
        <v>0</v>
      </c>
      <c r="G341">
        <v>7.0000000000000007E-2</v>
      </c>
      <c r="H341">
        <v>0</v>
      </c>
      <c r="I341">
        <v>0</v>
      </c>
      <c r="J341">
        <v>0.04</v>
      </c>
      <c r="K341">
        <v>0</v>
      </c>
      <c r="L341">
        <v>0.02</v>
      </c>
      <c r="M341">
        <v>0.02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</v>
      </c>
      <c r="E342">
        <v>0.94</v>
      </c>
      <c r="F342">
        <v>0</v>
      </c>
      <c r="G342">
        <v>0</v>
      </c>
      <c r="H342">
        <v>0.05</v>
      </c>
      <c r="I342">
        <v>0</v>
      </c>
      <c r="J342">
        <v>0.01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0.89</v>
      </c>
      <c r="F343">
        <v>0</v>
      </c>
      <c r="G343">
        <v>0</v>
      </c>
      <c r="H343">
        <v>0.11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37</v>
      </c>
      <c r="C345" t="s">
        <v>37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20</v>
      </c>
      <c r="C346" t="s">
        <v>20</v>
      </c>
      <c r="D346">
        <v>0</v>
      </c>
      <c r="E346">
        <v>0.94</v>
      </c>
      <c r="F346">
        <v>0</v>
      </c>
      <c r="G346">
        <v>0</v>
      </c>
      <c r="H346">
        <v>0.02</v>
      </c>
      <c r="I346">
        <v>0</v>
      </c>
      <c r="J346">
        <v>0.04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37</v>
      </c>
      <c r="C347" t="s">
        <v>37</v>
      </c>
      <c r="D347">
        <v>0</v>
      </c>
      <c r="E347">
        <v>0</v>
      </c>
      <c r="F347">
        <v>0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55</v>
      </c>
      <c r="C348" t="s">
        <v>55</v>
      </c>
      <c r="D348">
        <v>0.11</v>
      </c>
      <c r="E348">
        <v>0</v>
      </c>
      <c r="F348">
        <v>0.03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0.86</v>
      </c>
      <c r="N348">
        <v>0</v>
      </c>
    </row>
    <row r="349" spans="1:14">
      <c r="A349">
        <v>348</v>
      </c>
      <c r="B349" t="s">
        <v>37</v>
      </c>
      <c r="C349" t="s">
        <v>37</v>
      </c>
      <c r="D349">
        <v>0</v>
      </c>
      <c r="E349">
        <v>0</v>
      </c>
      <c r="F349">
        <v>0</v>
      </c>
      <c r="G349">
        <v>0</v>
      </c>
      <c r="H349">
        <v>0.99</v>
      </c>
      <c r="I349">
        <v>0</v>
      </c>
      <c r="J349">
        <v>0</v>
      </c>
      <c r="K349">
        <v>0</v>
      </c>
      <c r="L349">
        <v>0.01</v>
      </c>
      <c r="M349">
        <v>0</v>
      </c>
      <c r="N349">
        <v>0</v>
      </c>
    </row>
    <row r="350" spans="1:14">
      <c r="A350">
        <v>349</v>
      </c>
      <c r="B350" t="s">
        <v>140</v>
      </c>
      <c r="C350" t="s">
        <v>140</v>
      </c>
      <c r="D350">
        <v>0</v>
      </c>
      <c r="E350">
        <v>0</v>
      </c>
      <c r="F350">
        <v>0</v>
      </c>
      <c r="G350">
        <v>0</v>
      </c>
      <c r="H350">
        <v>0.1</v>
      </c>
      <c r="I350">
        <v>0</v>
      </c>
      <c r="J350">
        <v>0</v>
      </c>
      <c r="K350">
        <v>0</v>
      </c>
      <c r="L350">
        <v>0.9</v>
      </c>
      <c r="M350">
        <v>0</v>
      </c>
      <c r="N350">
        <v>0</v>
      </c>
    </row>
    <row r="351" spans="1:14">
      <c r="A351">
        <v>350</v>
      </c>
      <c r="B351" t="s">
        <v>98</v>
      </c>
      <c r="C351" t="s">
        <v>98</v>
      </c>
      <c r="D351">
        <v>0</v>
      </c>
      <c r="E351">
        <v>0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20</v>
      </c>
      <c r="C352" t="s">
        <v>20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98</v>
      </c>
      <c r="C353" t="s">
        <v>98</v>
      </c>
      <c r="D353">
        <v>0</v>
      </c>
      <c r="E353">
        <v>0</v>
      </c>
      <c r="F353">
        <v>0.63</v>
      </c>
      <c r="G353">
        <v>0.32</v>
      </c>
      <c r="H353">
        <v>0</v>
      </c>
      <c r="I353">
        <v>0</v>
      </c>
      <c r="J353">
        <v>0.04</v>
      </c>
      <c r="K353">
        <v>0</v>
      </c>
      <c r="L353">
        <v>0</v>
      </c>
      <c r="M353">
        <v>0.01</v>
      </c>
      <c r="N353">
        <v>0</v>
      </c>
    </row>
    <row r="354" spans="1:14">
      <c r="A354">
        <v>353</v>
      </c>
      <c r="B354" t="s">
        <v>55</v>
      </c>
      <c r="C354" t="s">
        <v>55</v>
      </c>
      <c r="D354">
        <v>0.09</v>
      </c>
      <c r="E354">
        <v>0</v>
      </c>
      <c r="F354">
        <v>0</v>
      </c>
      <c r="G354">
        <v>0</v>
      </c>
      <c r="H354">
        <v>0.15</v>
      </c>
      <c r="I354">
        <v>0</v>
      </c>
      <c r="J354">
        <v>0.08</v>
      </c>
      <c r="K354">
        <v>0</v>
      </c>
      <c r="L354">
        <v>0</v>
      </c>
      <c r="M354">
        <v>0.68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autoFilter ref="A1:N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55"/>
  <sheetViews>
    <sheetView workbookViewId="0">
      <pane ySplit="1" topLeftCell="A2" activePane="bottomLeft" state="frozen"/>
      <selection pane="bottomLeft" activeCell="J19" sqref="J19"/>
    </sheetView>
  </sheetViews>
  <sheetFormatPr baseColWidth="10" defaultRowHeight="16"/>
  <cols>
    <col min="1" max="1" width="7.5" bestFit="1" customWidth="1"/>
    <col min="2" max="3" width="29.6640625" bestFit="1" customWidth="1"/>
    <col min="4" max="25" width="15.83203125" customWidth="1"/>
  </cols>
  <sheetData>
    <row r="1" spans="1:25">
      <c r="A1" s="1" t="s">
        <v>409</v>
      </c>
      <c r="B1" s="1" t="s">
        <v>10</v>
      </c>
      <c r="C1" s="1" t="s">
        <v>415</v>
      </c>
      <c r="D1" s="1" t="s">
        <v>99</v>
      </c>
      <c r="E1" s="1" t="s">
        <v>353</v>
      </c>
      <c r="F1" s="1" t="s">
        <v>44</v>
      </c>
      <c r="G1" s="1" t="s">
        <v>38</v>
      </c>
      <c r="H1" s="1" t="s">
        <v>332</v>
      </c>
      <c r="I1" s="1" t="s">
        <v>86</v>
      </c>
      <c r="J1" s="1" t="s">
        <v>214</v>
      </c>
      <c r="K1" s="1" t="s">
        <v>28</v>
      </c>
      <c r="L1" s="1" t="s">
        <v>56</v>
      </c>
      <c r="M1" s="1" t="s">
        <v>218</v>
      </c>
      <c r="N1" s="1" t="s">
        <v>141</v>
      </c>
      <c r="O1" s="1" t="s">
        <v>152</v>
      </c>
      <c r="P1" s="1" t="s">
        <v>32</v>
      </c>
      <c r="Q1" s="1" t="s">
        <v>167</v>
      </c>
      <c r="R1" s="1" t="s">
        <v>233</v>
      </c>
      <c r="S1" s="1" t="s">
        <v>66</v>
      </c>
      <c r="T1" s="1" t="s">
        <v>367</v>
      </c>
      <c r="U1" s="1" t="s">
        <v>402</v>
      </c>
      <c r="V1" s="1" t="s">
        <v>78</v>
      </c>
      <c r="W1" s="1" t="s">
        <v>83</v>
      </c>
      <c r="X1" s="1" t="s">
        <v>21</v>
      </c>
      <c r="Y1" s="1" t="s">
        <v>25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1</v>
      </c>
      <c r="Y2">
        <v>0</v>
      </c>
    </row>
    <row r="3" spans="1:25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0</v>
      </c>
      <c r="I3">
        <v>0.39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0.61</v>
      </c>
    </row>
    <row r="4" spans="1:25">
      <c r="A4">
        <v>3</v>
      </c>
      <c r="B4" t="s">
        <v>28</v>
      </c>
      <c r="C4" t="s">
        <v>28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0.86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0.14000000000000001</v>
      </c>
      <c r="Y4">
        <v>0</v>
      </c>
    </row>
    <row r="5" spans="1:25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21</v>
      </c>
      <c r="C6" t="s">
        <v>21</v>
      </c>
      <c r="D6">
        <v>0</v>
      </c>
      <c r="E6">
        <v>0</v>
      </c>
      <c r="F6">
        <v>0.02</v>
      </c>
      <c r="G6">
        <v>0</v>
      </c>
      <c r="H6">
        <v>0</v>
      </c>
      <c r="I6">
        <v>0</v>
      </c>
      <c r="J6">
        <v>0</v>
      </c>
      <c r="K6">
        <v>0.26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0.72</v>
      </c>
      <c r="Y6">
        <v>0</v>
      </c>
    </row>
    <row r="7" spans="1:25">
      <c r="A7">
        <v>6</v>
      </c>
      <c r="B7" t="s">
        <v>38</v>
      </c>
      <c r="C7" t="s">
        <v>38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28</v>
      </c>
      <c r="C8" t="s">
        <v>28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44</v>
      </c>
      <c r="C9" t="s">
        <v>44</v>
      </c>
      <c r="D9">
        <v>0</v>
      </c>
      <c r="E9">
        <v>0</v>
      </c>
      <c r="F9">
        <v>0.98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0.02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25</v>
      </c>
      <c r="C10" t="s">
        <v>25</v>
      </c>
      <c r="D10">
        <v>0</v>
      </c>
      <c r="E10">
        <v>0</v>
      </c>
      <c r="F10">
        <v>0</v>
      </c>
      <c r="G10">
        <v>0</v>
      </c>
      <c r="H10">
        <v>0</v>
      </c>
      <c r="I10">
        <v>0.21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0.79</v>
      </c>
    </row>
    <row r="11" spans="1:25">
      <c r="A11">
        <v>10</v>
      </c>
      <c r="B11" t="s">
        <v>44</v>
      </c>
      <c r="C11" t="s">
        <v>44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38</v>
      </c>
      <c r="C12" t="s">
        <v>38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32</v>
      </c>
      <c r="C13" t="s">
        <v>32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28</v>
      </c>
      <c r="C14" t="s">
        <v>28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56</v>
      </c>
      <c r="C15" t="s">
        <v>56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0.78</v>
      </c>
      <c r="M15">
        <v>0.02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0.13</v>
      </c>
      <c r="V15">
        <v>0</v>
      </c>
      <c r="W15">
        <v>7.0000000000000007E-2</v>
      </c>
      <c r="X15">
        <v>0</v>
      </c>
      <c r="Y15">
        <v>0</v>
      </c>
    </row>
    <row r="16" spans="1:25">
      <c r="A16">
        <v>15</v>
      </c>
      <c r="B16" t="s">
        <v>28</v>
      </c>
      <c r="C16" t="s">
        <v>28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44</v>
      </c>
      <c r="C17" t="s">
        <v>44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38</v>
      </c>
      <c r="C18" t="s">
        <v>38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  <c r="Y19">
        <v>0</v>
      </c>
    </row>
    <row r="20" spans="1:25">
      <c r="A20">
        <v>19</v>
      </c>
      <c r="B20" t="s">
        <v>66</v>
      </c>
      <c r="C20" t="s">
        <v>66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0.67</v>
      </c>
      <c r="T20">
        <v>0</v>
      </c>
      <c r="U20">
        <v>0</v>
      </c>
      <c r="V20">
        <v>0.33</v>
      </c>
      <c r="W20">
        <v>0</v>
      </c>
      <c r="X20">
        <v>0</v>
      </c>
      <c r="Y20">
        <v>0</v>
      </c>
    </row>
    <row r="21" spans="1:25">
      <c r="A21">
        <v>20</v>
      </c>
      <c r="B21" t="s">
        <v>38</v>
      </c>
      <c r="C21" t="s">
        <v>38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28</v>
      </c>
      <c r="C22" t="s">
        <v>28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32</v>
      </c>
      <c r="C23" t="s">
        <v>32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38</v>
      </c>
      <c r="C24" t="s">
        <v>38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38</v>
      </c>
      <c r="C25" t="s">
        <v>38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38</v>
      </c>
      <c r="C26" t="s">
        <v>38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28</v>
      </c>
      <c r="C27" t="s">
        <v>28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38</v>
      </c>
      <c r="C28" t="s">
        <v>38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28</v>
      </c>
      <c r="C29" t="s">
        <v>28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78</v>
      </c>
      <c r="C30" t="s">
        <v>78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0.37</v>
      </c>
      <c r="T30">
        <v>0</v>
      </c>
      <c r="U30">
        <v>0</v>
      </c>
      <c r="V30">
        <v>0.63</v>
      </c>
      <c r="W30">
        <v>0</v>
      </c>
      <c r="X30">
        <v>0</v>
      </c>
      <c r="Y30">
        <v>0</v>
      </c>
    </row>
    <row r="31" spans="1:25">
      <c r="A31">
        <v>30</v>
      </c>
      <c r="B31" t="s">
        <v>32</v>
      </c>
      <c r="C31" t="s">
        <v>32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21</v>
      </c>
      <c r="C32" t="s">
        <v>21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0.06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0.94</v>
      </c>
      <c r="Y32">
        <v>0</v>
      </c>
    </row>
    <row r="33" spans="1:25">
      <c r="A33">
        <v>32</v>
      </c>
      <c r="B33" t="s">
        <v>83</v>
      </c>
      <c r="C33" t="s">
        <v>83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0.04</v>
      </c>
      <c r="M33">
        <v>0.26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0.12</v>
      </c>
      <c r="V33">
        <v>0</v>
      </c>
      <c r="W33">
        <v>0.57999999999999996</v>
      </c>
      <c r="X33">
        <v>0</v>
      </c>
      <c r="Y33">
        <v>0</v>
      </c>
    </row>
    <row r="34" spans="1:25">
      <c r="A34">
        <v>33</v>
      </c>
      <c r="B34" t="s">
        <v>86</v>
      </c>
      <c r="C34" t="s">
        <v>86</v>
      </c>
      <c r="D34">
        <v>0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86</v>
      </c>
      <c r="C35" t="s">
        <v>86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28</v>
      </c>
      <c r="C36" t="s">
        <v>28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86</v>
      </c>
      <c r="C37" t="s">
        <v>86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78</v>
      </c>
      <c r="C38" t="s">
        <v>78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</row>
    <row r="39" spans="1:25">
      <c r="A39">
        <v>38</v>
      </c>
      <c r="B39" t="s">
        <v>86</v>
      </c>
      <c r="C39" t="s">
        <v>86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83</v>
      </c>
      <c r="C40" t="s">
        <v>83</v>
      </c>
      <c r="D40">
        <v>0.01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0.06</v>
      </c>
      <c r="M40">
        <v>0.19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0.12</v>
      </c>
      <c r="V40">
        <v>0</v>
      </c>
      <c r="W40">
        <v>0.62</v>
      </c>
      <c r="X40">
        <v>0</v>
      </c>
      <c r="Y40">
        <v>0</v>
      </c>
    </row>
    <row r="41" spans="1:25">
      <c r="A41">
        <v>40</v>
      </c>
      <c r="B41" t="s">
        <v>99</v>
      </c>
      <c r="C41" t="s">
        <v>99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28</v>
      </c>
      <c r="C42" t="s">
        <v>28</v>
      </c>
      <c r="D42">
        <v>0</v>
      </c>
      <c r="E42">
        <v>0</v>
      </c>
      <c r="F42">
        <v>0</v>
      </c>
      <c r="G42">
        <v>0</v>
      </c>
      <c r="H42">
        <v>0</v>
      </c>
      <c r="I42">
        <v>0.13</v>
      </c>
      <c r="J42">
        <v>0</v>
      </c>
      <c r="K42">
        <v>0.87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56</v>
      </c>
      <c r="C43" t="s">
        <v>56</v>
      </c>
      <c r="D43">
        <v>0</v>
      </c>
      <c r="E43">
        <v>0.02</v>
      </c>
      <c r="F43">
        <v>0</v>
      </c>
      <c r="G43">
        <v>0</v>
      </c>
      <c r="H43">
        <v>0.06</v>
      </c>
      <c r="I43">
        <v>0</v>
      </c>
      <c r="J43">
        <v>0</v>
      </c>
      <c r="K43">
        <v>0</v>
      </c>
      <c r="L43">
        <v>0.74</v>
      </c>
      <c r="M43">
        <v>0.01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0.16</v>
      </c>
      <c r="V43">
        <v>0</v>
      </c>
      <c r="W43">
        <v>0.01</v>
      </c>
      <c r="X43">
        <v>0</v>
      </c>
      <c r="Y43">
        <v>0</v>
      </c>
    </row>
    <row r="44" spans="1:25">
      <c r="A44">
        <v>43</v>
      </c>
      <c r="B44" t="s">
        <v>99</v>
      </c>
      <c r="C44" t="s">
        <v>99</v>
      </c>
      <c r="D44">
        <v>0.94</v>
      </c>
      <c r="E44">
        <v>0</v>
      </c>
      <c r="F44">
        <v>0</v>
      </c>
      <c r="G44">
        <v>0</v>
      </c>
      <c r="H44">
        <v>0</v>
      </c>
      <c r="I44">
        <v>0</v>
      </c>
      <c r="J44">
        <v>0.02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0.03</v>
      </c>
      <c r="V44">
        <v>0</v>
      </c>
      <c r="W44">
        <v>0.01</v>
      </c>
      <c r="X44">
        <v>0</v>
      </c>
      <c r="Y44">
        <v>0</v>
      </c>
    </row>
    <row r="45" spans="1:25">
      <c r="A45">
        <v>44</v>
      </c>
      <c r="B45" t="s">
        <v>66</v>
      </c>
      <c r="C45" t="s">
        <v>66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0.99</v>
      </c>
      <c r="T45">
        <v>0</v>
      </c>
      <c r="U45">
        <v>0</v>
      </c>
      <c r="V45">
        <v>0.01</v>
      </c>
      <c r="W45">
        <v>0</v>
      </c>
      <c r="X45">
        <v>0</v>
      </c>
      <c r="Y45">
        <v>0</v>
      </c>
    </row>
    <row r="46" spans="1:25">
      <c r="A46">
        <v>45</v>
      </c>
      <c r="B46" t="s">
        <v>38</v>
      </c>
      <c r="C46" t="s">
        <v>38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38</v>
      </c>
      <c r="C47" t="s">
        <v>38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38</v>
      </c>
      <c r="C48" t="s">
        <v>38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38</v>
      </c>
      <c r="C49" t="s">
        <v>38</v>
      </c>
      <c r="D49">
        <v>0</v>
      </c>
      <c r="E49">
        <v>0</v>
      </c>
      <c r="F49">
        <v>0</v>
      </c>
      <c r="G49">
        <v>0.67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0.33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38</v>
      </c>
      <c r="C50" t="s">
        <v>38</v>
      </c>
      <c r="D50">
        <v>0</v>
      </c>
      <c r="E50">
        <v>0</v>
      </c>
      <c r="F50">
        <v>0</v>
      </c>
      <c r="G50">
        <v>0.99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0.01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21</v>
      </c>
      <c r="C51" t="s">
        <v>21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0.03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0.97</v>
      </c>
      <c r="Y51">
        <v>0</v>
      </c>
    </row>
    <row r="52" spans="1:25">
      <c r="A52">
        <v>51</v>
      </c>
      <c r="B52" t="s">
        <v>32</v>
      </c>
      <c r="C52" t="s">
        <v>32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28</v>
      </c>
      <c r="C53" t="s">
        <v>28</v>
      </c>
      <c r="D53">
        <v>0</v>
      </c>
      <c r="E53">
        <v>0</v>
      </c>
      <c r="F53">
        <v>0</v>
      </c>
      <c r="G53">
        <v>0</v>
      </c>
      <c r="H53">
        <v>0</v>
      </c>
      <c r="I53">
        <v>0.01</v>
      </c>
      <c r="J53">
        <v>0</v>
      </c>
      <c r="K53">
        <v>0.94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0.05</v>
      </c>
      <c r="Y53">
        <v>0</v>
      </c>
    </row>
    <row r="54" spans="1:25">
      <c r="A54">
        <v>53</v>
      </c>
      <c r="B54" t="s">
        <v>38</v>
      </c>
      <c r="C54" t="s">
        <v>38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38</v>
      </c>
      <c r="C55" t="s">
        <v>38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28</v>
      </c>
      <c r="C56" t="s">
        <v>28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44</v>
      </c>
      <c r="C57" t="s">
        <v>44</v>
      </c>
      <c r="D57">
        <v>0</v>
      </c>
      <c r="E57">
        <v>0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56</v>
      </c>
      <c r="C58" t="s">
        <v>56</v>
      </c>
      <c r="D58">
        <v>0</v>
      </c>
      <c r="E58">
        <v>0.19</v>
      </c>
      <c r="F58">
        <v>0</v>
      </c>
      <c r="G58">
        <v>0</v>
      </c>
      <c r="H58">
        <v>0.05</v>
      </c>
      <c r="I58">
        <v>0</v>
      </c>
      <c r="J58">
        <v>0</v>
      </c>
      <c r="K58">
        <v>0</v>
      </c>
      <c r="L58">
        <v>0.64</v>
      </c>
      <c r="M58">
        <v>0.01</v>
      </c>
      <c r="N58">
        <v>0</v>
      </c>
      <c r="O58">
        <v>0.01</v>
      </c>
      <c r="P58">
        <v>0</v>
      </c>
      <c r="Q58">
        <v>0</v>
      </c>
      <c r="R58">
        <v>0</v>
      </c>
      <c r="S58">
        <v>0</v>
      </c>
      <c r="T58">
        <v>0</v>
      </c>
      <c r="U58">
        <v>0.1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32</v>
      </c>
      <c r="C59" t="s">
        <v>32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38</v>
      </c>
      <c r="C60" t="s">
        <v>38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28</v>
      </c>
      <c r="C61" t="s">
        <v>28</v>
      </c>
      <c r="D61">
        <v>0</v>
      </c>
      <c r="E61">
        <v>0</v>
      </c>
      <c r="F61">
        <v>0</v>
      </c>
      <c r="G61">
        <v>0</v>
      </c>
      <c r="H61">
        <v>0</v>
      </c>
      <c r="I61">
        <v>0.01</v>
      </c>
      <c r="J61">
        <v>0</v>
      </c>
      <c r="K61">
        <v>0.95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0.01</v>
      </c>
      <c r="Y61">
        <v>0.03</v>
      </c>
    </row>
    <row r="62" spans="1:25">
      <c r="A62">
        <v>61</v>
      </c>
      <c r="B62" t="s">
        <v>32</v>
      </c>
      <c r="C62" t="s">
        <v>32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44</v>
      </c>
      <c r="C63" t="s">
        <v>44</v>
      </c>
      <c r="D63">
        <v>0</v>
      </c>
      <c r="E63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44</v>
      </c>
      <c r="C64" t="s">
        <v>44</v>
      </c>
      <c r="D64">
        <v>0</v>
      </c>
      <c r="E64">
        <v>0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38</v>
      </c>
      <c r="C65" t="s">
        <v>38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78</v>
      </c>
      <c r="C66" t="s">
        <v>78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0.06</v>
      </c>
      <c r="T66">
        <v>0</v>
      </c>
      <c r="U66">
        <v>0</v>
      </c>
      <c r="V66">
        <v>0.94</v>
      </c>
      <c r="W66">
        <v>0</v>
      </c>
      <c r="X66">
        <v>0</v>
      </c>
      <c r="Y66">
        <v>0</v>
      </c>
    </row>
    <row r="67" spans="1:25">
      <c r="A67">
        <v>66</v>
      </c>
      <c r="B67" t="s">
        <v>38</v>
      </c>
      <c r="C67" t="s">
        <v>38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28</v>
      </c>
      <c r="C68" t="s">
        <v>28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28</v>
      </c>
      <c r="C69" t="s">
        <v>28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69</v>
      </c>
      <c r="B70" t="s">
        <v>32</v>
      </c>
      <c r="C70" t="s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28</v>
      </c>
      <c r="C71" t="s">
        <v>28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38</v>
      </c>
      <c r="C72" t="s">
        <v>38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86</v>
      </c>
      <c r="C73" t="s">
        <v>86</v>
      </c>
      <c r="D73">
        <v>0</v>
      </c>
      <c r="E73">
        <v>0</v>
      </c>
      <c r="F73">
        <v>0</v>
      </c>
      <c r="G73">
        <v>0</v>
      </c>
      <c r="H73">
        <v>0</v>
      </c>
      <c r="I73">
        <v>0.62</v>
      </c>
      <c r="J73">
        <v>0</v>
      </c>
      <c r="K73">
        <v>0.25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0.01</v>
      </c>
      <c r="Y73">
        <v>0.12</v>
      </c>
    </row>
    <row r="74" spans="1:25">
      <c r="A74">
        <v>73</v>
      </c>
      <c r="B74" t="s">
        <v>86</v>
      </c>
      <c r="C74" t="s">
        <v>86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56</v>
      </c>
      <c r="C75" t="s">
        <v>56</v>
      </c>
      <c r="D75">
        <v>0</v>
      </c>
      <c r="E75">
        <v>0.01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0.64</v>
      </c>
      <c r="M75">
        <v>0.02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0.03</v>
      </c>
      <c r="V75">
        <v>0</v>
      </c>
      <c r="W75">
        <v>0.3</v>
      </c>
      <c r="X75">
        <v>0</v>
      </c>
      <c r="Y75">
        <v>0</v>
      </c>
    </row>
    <row r="76" spans="1:25">
      <c r="A76">
        <v>75</v>
      </c>
      <c r="B76" t="s">
        <v>21</v>
      </c>
      <c r="C76" t="s">
        <v>21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0.06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0.94</v>
      </c>
      <c r="Y76">
        <v>0</v>
      </c>
    </row>
    <row r="77" spans="1:25">
      <c r="A77">
        <v>76</v>
      </c>
      <c r="B77" t="s">
        <v>141</v>
      </c>
      <c r="C77" t="s">
        <v>141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44</v>
      </c>
      <c r="C78" t="s">
        <v>44</v>
      </c>
      <c r="D78">
        <v>0</v>
      </c>
      <c r="E78">
        <v>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32</v>
      </c>
      <c r="C79" t="s">
        <v>32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99</v>
      </c>
      <c r="C80" t="s">
        <v>99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21</v>
      </c>
      <c r="C81" t="s">
        <v>21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</row>
    <row r="82" spans="1:25">
      <c r="A82">
        <v>81</v>
      </c>
      <c r="B82" t="s">
        <v>38</v>
      </c>
      <c r="C82" t="s">
        <v>38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32</v>
      </c>
      <c r="C83" t="s">
        <v>32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86</v>
      </c>
      <c r="C84" t="s">
        <v>86</v>
      </c>
      <c r="D84">
        <v>0</v>
      </c>
      <c r="E84">
        <v>0</v>
      </c>
      <c r="F84">
        <v>0</v>
      </c>
      <c r="G84">
        <v>0</v>
      </c>
      <c r="H84">
        <v>0</v>
      </c>
      <c r="I84">
        <v>0.89</v>
      </c>
      <c r="J84">
        <v>0</v>
      </c>
      <c r="K84">
        <v>0.01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0.1</v>
      </c>
    </row>
    <row r="85" spans="1:25">
      <c r="A85">
        <v>84</v>
      </c>
      <c r="B85" t="s">
        <v>152</v>
      </c>
      <c r="C85" t="s">
        <v>152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0.97</v>
      </c>
      <c r="P85">
        <v>0</v>
      </c>
      <c r="Q85">
        <v>0</v>
      </c>
      <c r="R85">
        <v>0</v>
      </c>
      <c r="S85">
        <v>0</v>
      </c>
      <c r="T85">
        <v>0</v>
      </c>
      <c r="U85">
        <v>0.02</v>
      </c>
      <c r="V85">
        <v>0</v>
      </c>
      <c r="W85">
        <v>0.01</v>
      </c>
      <c r="X85">
        <v>0</v>
      </c>
      <c r="Y85">
        <v>0</v>
      </c>
    </row>
    <row r="86" spans="1:25">
      <c r="A86">
        <v>85</v>
      </c>
      <c r="B86" t="s">
        <v>56</v>
      </c>
      <c r="C86" t="s">
        <v>56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0.52</v>
      </c>
      <c r="M86">
        <v>0.44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0.01</v>
      </c>
      <c r="V86">
        <v>0</v>
      </c>
      <c r="W86">
        <v>0.03</v>
      </c>
      <c r="X86">
        <v>0</v>
      </c>
      <c r="Y86">
        <v>0</v>
      </c>
    </row>
    <row r="87" spans="1:25">
      <c r="A87">
        <v>86</v>
      </c>
      <c r="B87" t="s">
        <v>38</v>
      </c>
      <c r="C87" t="s">
        <v>38</v>
      </c>
      <c r="D87">
        <v>0</v>
      </c>
      <c r="E87">
        <v>0.02</v>
      </c>
      <c r="F87">
        <v>0.01</v>
      </c>
      <c r="G87">
        <v>0.95</v>
      </c>
      <c r="H87">
        <v>0.01</v>
      </c>
      <c r="I87">
        <v>0</v>
      </c>
      <c r="J87">
        <v>0</v>
      </c>
      <c r="K87">
        <v>0</v>
      </c>
      <c r="L87">
        <v>0</v>
      </c>
      <c r="M87">
        <v>0.01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87</v>
      </c>
      <c r="B88" t="s">
        <v>38</v>
      </c>
      <c r="C88" t="s">
        <v>38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21</v>
      </c>
      <c r="C89" t="s">
        <v>21</v>
      </c>
      <c r="D89">
        <v>0</v>
      </c>
      <c r="E89">
        <v>0</v>
      </c>
      <c r="F89">
        <v>0</v>
      </c>
      <c r="G89">
        <v>0</v>
      </c>
      <c r="H89">
        <v>0</v>
      </c>
      <c r="I89">
        <v>0.01</v>
      </c>
      <c r="J89">
        <v>0</v>
      </c>
      <c r="K89">
        <v>0</v>
      </c>
      <c r="L89">
        <v>0</v>
      </c>
      <c r="M89">
        <v>0</v>
      </c>
      <c r="N89">
        <v>0.01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0.98</v>
      </c>
      <c r="Y89">
        <v>0</v>
      </c>
    </row>
    <row r="90" spans="1:25">
      <c r="A90">
        <v>89</v>
      </c>
      <c r="B90" t="s">
        <v>78</v>
      </c>
      <c r="C90" t="s">
        <v>78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0.39</v>
      </c>
      <c r="T90">
        <v>0</v>
      </c>
      <c r="U90">
        <v>0</v>
      </c>
      <c r="V90">
        <v>0.61</v>
      </c>
      <c r="W90">
        <v>0</v>
      </c>
      <c r="X90">
        <v>0</v>
      </c>
      <c r="Y90">
        <v>0</v>
      </c>
    </row>
    <row r="91" spans="1:25">
      <c r="A91">
        <v>90</v>
      </c>
      <c r="B91" t="s">
        <v>32</v>
      </c>
      <c r="C91" t="s">
        <v>32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21</v>
      </c>
      <c r="C92" t="s">
        <v>21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0.18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0.82</v>
      </c>
      <c r="Y92">
        <v>0</v>
      </c>
    </row>
    <row r="93" spans="1:25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0.05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0.95</v>
      </c>
      <c r="Y93">
        <v>0</v>
      </c>
    </row>
    <row r="94" spans="1:25">
      <c r="A94">
        <v>93</v>
      </c>
      <c r="B94" t="s">
        <v>38</v>
      </c>
      <c r="C94" t="s">
        <v>38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28</v>
      </c>
      <c r="C95" t="s">
        <v>28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167</v>
      </c>
      <c r="C96" t="s">
        <v>167</v>
      </c>
      <c r="D96">
        <v>0</v>
      </c>
      <c r="E96">
        <v>0</v>
      </c>
      <c r="F96">
        <v>0</v>
      </c>
      <c r="G96">
        <v>0.43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0.56999999999999995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38</v>
      </c>
      <c r="C97" t="s">
        <v>38</v>
      </c>
      <c r="D97">
        <v>0</v>
      </c>
      <c r="E97">
        <v>0</v>
      </c>
      <c r="F97">
        <v>0</v>
      </c>
      <c r="G97">
        <v>0.53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0.47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32</v>
      </c>
      <c r="C98" t="s">
        <v>32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38</v>
      </c>
      <c r="C99" t="s">
        <v>38</v>
      </c>
      <c r="D99">
        <v>0</v>
      </c>
      <c r="E99">
        <v>0</v>
      </c>
      <c r="F99">
        <v>0</v>
      </c>
      <c r="G99">
        <v>0.82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0.18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38</v>
      </c>
      <c r="C100" t="s">
        <v>38</v>
      </c>
      <c r="D100">
        <v>0</v>
      </c>
      <c r="E100">
        <v>0</v>
      </c>
      <c r="F100">
        <v>0</v>
      </c>
      <c r="G100">
        <v>0.89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0.11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86</v>
      </c>
      <c r="C101" t="s">
        <v>86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66</v>
      </c>
      <c r="C102" t="s">
        <v>66</v>
      </c>
      <c r="D102">
        <v>0.01</v>
      </c>
      <c r="E102">
        <v>0</v>
      </c>
      <c r="F102">
        <v>0.02</v>
      </c>
      <c r="G102">
        <v>0</v>
      </c>
      <c r="H102">
        <v>0</v>
      </c>
      <c r="I102">
        <v>0</v>
      </c>
      <c r="J102">
        <v>0</v>
      </c>
      <c r="K102">
        <v>0.01</v>
      </c>
      <c r="L102">
        <v>0</v>
      </c>
      <c r="M102">
        <v>0</v>
      </c>
      <c r="N102">
        <v>0</v>
      </c>
      <c r="O102">
        <v>0.03</v>
      </c>
      <c r="P102">
        <v>0</v>
      </c>
      <c r="Q102">
        <v>0</v>
      </c>
      <c r="R102">
        <v>0</v>
      </c>
      <c r="S102">
        <v>0.93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</row>
    <row r="104" spans="1:25">
      <c r="A104">
        <v>103</v>
      </c>
      <c r="B104" t="s">
        <v>38</v>
      </c>
      <c r="C104" t="s">
        <v>38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86</v>
      </c>
      <c r="C105" t="s">
        <v>86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0.98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0.02</v>
      </c>
    </row>
    <row r="106" spans="1:25">
      <c r="A106">
        <v>105</v>
      </c>
      <c r="B106" t="s">
        <v>28</v>
      </c>
      <c r="C106" t="s">
        <v>28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0.1</v>
      </c>
      <c r="J106">
        <v>0</v>
      </c>
      <c r="K106">
        <v>0.66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0.03</v>
      </c>
      <c r="Y106">
        <v>0.21</v>
      </c>
    </row>
    <row r="107" spans="1:25">
      <c r="A107">
        <v>106</v>
      </c>
      <c r="B107" t="s">
        <v>44</v>
      </c>
      <c r="C107" t="s">
        <v>44</v>
      </c>
      <c r="D107">
        <v>0</v>
      </c>
      <c r="E107">
        <v>0</v>
      </c>
      <c r="F107">
        <v>0.99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0.01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44</v>
      </c>
      <c r="C108" t="s">
        <v>44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28</v>
      </c>
      <c r="C109" t="s">
        <v>28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28</v>
      </c>
      <c r="C110" t="s">
        <v>28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78</v>
      </c>
      <c r="C111" t="s">
        <v>78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0.43</v>
      </c>
      <c r="T111">
        <v>0</v>
      </c>
      <c r="U111">
        <v>0</v>
      </c>
      <c r="V111">
        <v>0.56999999999999995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28</v>
      </c>
      <c r="C112" t="s">
        <v>28</v>
      </c>
      <c r="D112">
        <v>0</v>
      </c>
      <c r="E112">
        <v>0</v>
      </c>
      <c r="F112">
        <v>0.01</v>
      </c>
      <c r="G112">
        <v>0</v>
      </c>
      <c r="H112">
        <v>0</v>
      </c>
      <c r="I112">
        <v>0</v>
      </c>
      <c r="J112">
        <v>0</v>
      </c>
      <c r="K112">
        <v>0.82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0.17</v>
      </c>
      <c r="Y112">
        <v>0</v>
      </c>
    </row>
    <row r="113" spans="1:25">
      <c r="A113">
        <v>112</v>
      </c>
      <c r="B113" t="s">
        <v>32</v>
      </c>
      <c r="C113" t="s">
        <v>32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56</v>
      </c>
      <c r="C114" t="s">
        <v>56</v>
      </c>
      <c r="D114">
        <v>0</v>
      </c>
      <c r="E114">
        <v>0.01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0.77</v>
      </c>
      <c r="M114">
        <v>0.18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0.04</v>
      </c>
      <c r="V114">
        <v>0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38</v>
      </c>
      <c r="C115" t="s">
        <v>38</v>
      </c>
      <c r="D115">
        <v>0</v>
      </c>
      <c r="E115">
        <v>0</v>
      </c>
      <c r="F115">
        <v>0</v>
      </c>
      <c r="G115">
        <v>0.93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7.0000000000000007E-2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28</v>
      </c>
      <c r="C116" t="s">
        <v>28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28</v>
      </c>
      <c r="C117" t="s">
        <v>28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38</v>
      </c>
      <c r="C118" t="s">
        <v>38</v>
      </c>
      <c r="D118">
        <v>0</v>
      </c>
      <c r="E118">
        <v>0</v>
      </c>
      <c r="F118">
        <v>0</v>
      </c>
      <c r="G118">
        <v>0.76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0.24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32</v>
      </c>
      <c r="C119" t="s">
        <v>32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28</v>
      </c>
      <c r="C120" t="s">
        <v>28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38</v>
      </c>
      <c r="C121" t="s">
        <v>38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21</v>
      </c>
      <c r="C122" t="s">
        <v>21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0.01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0.99</v>
      </c>
      <c r="Y122">
        <v>0</v>
      </c>
    </row>
    <row r="123" spans="1:25">
      <c r="A123">
        <v>122</v>
      </c>
      <c r="B123" t="s">
        <v>38</v>
      </c>
      <c r="C123" t="s">
        <v>38</v>
      </c>
      <c r="D123">
        <v>0</v>
      </c>
      <c r="E123">
        <v>0</v>
      </c>
      <c r="F123">
        <v>0</v>
      </c>
      <c r="G123">
        <v>0.95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0.05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44</v>
      </c>
      <c r="C124" t="s">
        <v>44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38</v>
      </c>
      <c r="C125" t="s">
        <v>38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28</v>
      </c>
      <c r="C126" t="s">
        <v>28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86</v>
      </c>
      <c r="C127" t="s">
        <v>86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0.96</v>
      </c>
      <c r="J127">
        <v>0</v>
      </c>
      <c r="K127">
        <v>0.04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86</v>
      </c>
      <c r="C128" t="s">
        <v>86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0.99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0.01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128</v>
      </c>
      <c r="B129" t="s">
        <v>141</v>
      </c>
      <c r="C129" t="s">
        <v>141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25</v>
      </c>
      <c r="C130" t="s">
        <v>25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0.1</v>
      </c>
      <c r="J130">
        <v>0</v>
      </c>
      <c r="K130">
        <v>0.06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0.84</v>
      </c>
    </row>
    <row r="131" spans="1:25">
      <c r="A131">
        <v>130</v>
      </c>
      <c r="B131" t="s">
        <v>21</v>
      </c>
      <c r="C131" t="s">
        <v>21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</v>
      </c>
      <c r="Y131">
        <v>0</v>
      </c>
    </row>
    <row r="132" spans="1:25">
      <c r="A132">
        <v>131</v>
      </c>
      <c r="B132" t="s">
        <v>86</v>
      </c>
      <c r="C132" t="s">
        <v>86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152</v>
      </c>
      <c r="C133" t="s">
        <v>152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38</v>
      </c>
      <c r="C134" t="s">
        <v>38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38</v>
      </c>
      <c r="C135" t="s">
        <v>38</v>
      </c>
      <c r="D135">
        <v>0.01</v>
      </c>
      <c r="E135">
        <v>0</v>
      </c>
      <c r="F135">
        <v>0</v>
      </c>
      <c r="G135">
        <v>0.99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141</v>
      </c>
      <c r="C136" t="s">
        <v>141</v>
      </c>
      <c r="D136">
        <v>0.01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0.99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25</v>
      </c>
      <c r="C137" t="s">
        <v>25</v>
      </c>
      <c r="D137">
        <v>0</v>
      </c>
      <c r="E137">
        <v>0</v>
      </c>
      <c r="F137">
        <v>0</v>
      </c>
      <c r="G137">
        <v>0.01</v>
      </c>
      <c r="H137">
        <v>0</v>
      </c>
      <c r="I137">
        <v>0.04</v>
      </c>
      <c r="J137">
        <v>0</v>
      </c>
      <c r="K137">
        <v>0.04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0.91</v>
      </c>
    </row>
    <row r="138" spans="1:25">
      <c r="A138">
        <v>137</v>
      </c>
      <c r="B138" t="s">
        <v>44</v>
      </c>
      <c r="C138" t="s">
        <v>44</v>
      </c>
      <c r="D138">
        <v>0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32</v>
      </c>
      <c r="C139" t="s">
        <v>32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32</v>
      </c>
      <c r="C140" t="s">
        <v>32</v>
      </c>
      <c r="D140">
        <v>0.01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0.99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214</v>
      </c>
      <c r="C141" t="s">
        <v>214</v>
      </c>
      <c r="D141">
        <v>0</v>
      </c>
      <c r="E141">
        <v>0</v>
      </c>
      <c r="F141">
        <v>0</v>
      </c>
      <c r="G141">
        <v>0.01</v>
      </c>
      <c r="H141">
        <v>0.03</v>
      </c>
      <c r="I141">
        <v>0</v>
      </c>
      <c r="J141">
        <v>0.91</v>
      </c>
      <c r="K141">
        <v>0</v>
      </c>
      <c r="L141">
        <v>0</v>
      </c>
      <c r="M141">
        <v>0.03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0.01</v>
      </c>
      <c r="U141">
        <v>0</v>
      </c>
      <c r="V141">
        <v>0</v>
      </c>
      <c r="W141">
        <v>0.01</v>
      </c>
      <c r="X141">
        <v>0</v>
      </c>
      <c r="Y141">
        <v>0</v>
      </c>
    </row>
    <row r="142" spans="1:25">
      <c r="A142">
        <v>141</v>
      </c>
      <c r="B142" t="s">
        <v>141</v>
      </c>
      <c r="C142" t="s">
        <v>141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218</v>
      </c>
      <c r="C143" t="s">
        <v>218</v>
      </c>
      <c r="D143">
        <v>0</v>
      </c>
      <c r="E143">
        <v>0.01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7.0000000000000007E-2</v>
      </c>
      <c r="M143">
        <v>0.66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0.05</v>
      </c>
      <c r="V143">
        <v>0</v>
      </c>
      <c r="W143">
        <v>0.21</v>
      </c>
      <c r="X143">
        <v>0</v>
      </c>
      <c r="Y143">
        <v>0</v>
      </c>
    </row>
    <row r="144" spans="1:25">
      <c r="A144">
        <v>143</v>
      </c>
      <c r="B144" t="s">
        <v>21</v>
      </c>
      <c r="C144" t="s">
        <v>21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0.04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0.96</v>
      </c>
      <c r="Y144">
        <v>0</v>
      </c>
    </row>
    <row r="145" spans="1:25">
      <c r="A145">
        <v>144</v>
      </c>
      <c r="B145" t="s">
        <v>152</v>
      </c>
      <c r="C145" t="s">
        <v>152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0.01</v>
      </c>
      <c r="L145">
        <v>0</v>
      </c>
      <c r="M145">
        <v>0</v>
      </c>
      <c r="N145">
        <v>0</v>
      </c>
      <c r="O145">
        <v>0.99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28</v>
      </c>
      <c r="C146" t="s">
        <v>28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25</v>
      </c>
      <c r="C147" t="s">
        <v>25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0.4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0.6</v>
      </c>
    </row>
    <row r="148" spans="1:25">
      <c r="A148">
        <v>147</v>
      </c>
      <c r="B148" t="s">
        <v>167</v>
      </c>
      <c r="C148" t="s">
        <v>167</v>
      </c>
      <c r="D148">
        <v>0</v>
      </c>
      <c r="E148">
        <v>0</v>
      </c>
      <c r="F148">
        <v>0</v>
      </c>
      <c r="G148">
        <v>0.02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0.98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44</v>
      </c>
      <c r="C149" t="s">
        <v>44</v>
      </c>
      <c r="D149">
        <v>0</v>
      </c>
      <c r="E149">
        <v>0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56</v>
      </c>
      <c r="C150" t="s">
        <v>56</v>
      </c>
      <c r="D150">
        <v>0</v>
      </c>
      <c r="E150">
        <v>0.12</v>
      </c>
      <c r="F150">
        <v>0</v>
      </c>
      <c r="G150">
        <v>0</v>
      </c>
      <c r="H150">
        <v>0.18</v>
      </c>
      <c r="I150">
        <v>0</v>
      </c>
      <c r="J150">
        <v>0</v>
      </c>
      <c r="K150">
        <v>0</v>
      </c>
      <c r="L150">
        <v>0.61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0.09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38</v>
      </c>
      <c r="C151" t="s">
        <v>38</v>
      </c>
      <c r="D151">
        <v>0</v>
      </c>
      <c r="E151">
        <v>0</v>
      </c>
      <c r="F151">
        <v>0</v>
      </c>
      <c r="G151">
        <v>0.89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0.11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38</v>
      </c>
      <c r="C152" t="s">
        <v>38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28</v>
      </c>
      <c r="C153" t="s">
        <v>28</v>
      </c>
      <c r="D153">
        <v>0</v>
      </c>
      <c r="E153">
        <v>0</v>
      </c>
      <c r="F153">
        <v>0.01</v>
      </c>
      <c r="G153">
        <v>0</v>
      </c>
      <c r="H153">
        <v>0</v>
      </c>
      <c r="I153">
        <v>0.01</v>
      </c>
      <c r="J153">
        <v>0</v>
      </c>
      <c r="K153">
        <v>0.91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0.06</v>
      </c>
      <c r="Y153">
        <v>0.01</v>
      </c>
    </row>
    <row r="154" spans="1:25">
      <c r="A154">
        <v>153</v>
      </c>
      <c r="B154" t="s">
        <v>141</v>
      </c>
      <c r="C154" t="s">
        <v>141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0.99</v>
      </c>
      <c r="O154">
        <v>0.01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233</v>
      </c>
      <c r="C155" t="s">
        <v>233</v>
      </c>
      <c r="D155">
        <v>0</v>
      </c>
      <c r="E155">
        <v>0</v>
      </c>
      <c r="F155">
        <v>0.1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0.9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21</v>
      </c>
      <c r="C156" t="s">
        <v>21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0.28999999999999998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0.71</v>
      </c>
      <c r="Y156">
        <v>0</v>
      </c>
    </row>
    <row r="157" spans="1:25">
      <c r="A157">
        <v>156</v>
      </c>
      <c r="B157" t="s">
        <v>32</v>
      </c>
      <c r="C157" t="s">
        <v>32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44</v>
      </c>
      <c r="C158" t="s">
        <v>44</v>
      </c>
      <c r="D158">
        <v>0</v>
      </c>
      <c r="E158">
        <v>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32</v>
      </c>
      <c r="C159" t="s">
        <v>32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141</v>
      </c>
      <c r="C160" t="s">
        <v>141</v>
      </c>
      <c r="D160">
        <v>0</v>
      </c>
      <c r="E160">
        <v>0</v>
      </c>
      <c r="F160">
        <v>0</v>
      </c>
      <c r="G160">
        <v>0.02</v>
      </c>
      <c r="H160">
        <v>0</v>
      </c>
      <c r="I160">
        <v>0.01</v>
      </c>
      <c r="J160">
        <v>0</v>
      </c>
      <c r="K160">
        <v>0</v>
      </c>
      <c r="L160">
        <v>0</v>
      </c>
      <c r="M160">
        <v>0</v>
      </c>
      <c r="N160">
        <v>0.92</v>
      </c>
      <c r="O160">
        <v>0.02</v>
      </c>
      <c r="P160">
        <v>0</v>
      </c>
      <c r="Q160">
        <v>0</v>
      </c>
      <c r="R160">
        <v>0</v>
      </c>
      <c r="S160">
        <v>0</v>
      </c>
      <c r="T160">
        <v>0.01</v>
      </c>
      <c r="U160">
        <v>0</v>
      </c>
      <c r="V160">
        <v>0</v>
      </c>
      <c r="W160">
        <v>0.02</v>
      </c>
      <c r="X160">
        <v>0</v>
      </c>
      <c r="Y160">
        <v>0</v>
      </c>
    </row>
    <row r="161" spans="1:25">
      <c r="A161">
        <v>160</v>
      </c>
      <c r="B161" t="s">
        <v>38</v>
      </c>
      <c r="C161" t="s">
        <v>38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38</v>
      </c>
      <c r="C162" t="s">
        <v>38</v>
      </c>
      <c r="D162">
        <v>0</v>
      </c>
      <c r="E162">
        <v>0</v>
      </c>
      <c r="F162">
        <v>0</v>
      </c>
      <c r="G162">
        <v>0.79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0.21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56</v>
      </c>
      <c r="C163" t="s">
        <v>56</v>
      </c>
      <c r="D163">
        <v>0</v>
      </c>
      <c r="E163">
        <v>0.04</v>
      </c>
      <c r="F163">
        <v>0</v>
      </c>
      <c r="G163">
        <v>0</v>
      </c>
      <c r="H163">
        <v>0.02</v>
      </c>
      <c r="I163">
        <v>0</v>
      </c>
      <c r="J163">
        <v>0</v>
      </c>
      <c r="K163">
        <v>0</v>
      </c>
      <c r="L163">
        <v>0.87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0.06</v>
      </c>
      <c r="V163">
        <v>0</v>
      </c>
      <c r="W163">
        <v>0.01</v>
      </c>
      <c r="X163">
        <v>0</v>
      </c>
      <c r="Y163">
        <v>0</v>
      </c>
    </row>
    <row r="164" spans="1:25">
      <c r="A164">
        <v>163</v>
      </c>
      <c r="B164" t="s">
        <v>38</v>
      </c>
      <c r="C164" t="s">
        <v>38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56</v>
      </c>
      <c r="C165" t="s">
        <v>56</v>
      </c>
      <c r="D165">
        <v>0</v>
      </c>
      <c r="E165">
        <v>0.04</v>
      </c>
      <c r="F165">
        <v>0</v>
      </c>
      <c r="G165">
        <v>0</v>
      </c>
      <c r="H165">
        <v>0.21</v>
      </c>
      <c r="I165">
        <v>0</v>
      </c>
      <c r="J165">
        <v>0</v>
      </c>
      <c r="K165">
        <v>0</v>
      </c>
      <c r="L165">
        <v>0.63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0.09</v>
      </c>
      <c r="V165">
        <v>0</v>
      </c>
      <c r="W165">
        <v>0.03</v>
      </c>
      <c r="X165">
        <v>0</v>
      </c>
      <c r="Y165">
        <v>0</v>
      </c>
    </row>
    <row r="166" spans="1:25">
      <c r="A166">
        <v>165</v>
      </c>
      <c r="B166" t="s">
        <v>38</v>
      </c>
      <c r="C166" t="s">
        <v>38</v>
      </c>
      <c r="D166">
        <v>0</v>
      </c>
      <c r="E166">
        <v>0</v>
      </c>
      <c r="F166">
        <v>0</v>
      </c>
      <c r="G166">
        <v>0.95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0.05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86</v>
      </c>
      <c r="C167" t="s">
        <v>86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0.7</v>
      </c>
      <c r="J167">
        <v>0</v>
      </c>
      <c r="K167">
        <v>0.15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0.02</v>
      </c>
      <c r="Y167">
        <v>0.13</v>
      </c>
    </row>
    <row r="168" spans="1:25">
      <c r="A168">
        <v>167</v>
      </c>
      <c r="B168" t="s">
        <v>28</v>
      </c>
      <c r="C168" t="s">
        <v>28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86</v>
      </c>
      <c r="C169" t="s">
        <v>86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0.84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0.16</v>
      </c>
    </row>
    <row r="170" spans="1:25">
      <c r="A170">
        <v>169</v>
      </c>
      <c r="B170" t="s">
        <v>141</v>
      </c>
      <c r="C170" t="s">
        <v>141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0.99</v>
      </c>
      <c r="O170">
        <v>0.01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44</v>
      </c>
      <c r="C171" t="s">
        <v>44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28</v>
      </c>
      <c r="C172" t="s">
        <v>28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0.74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0.26</v>
      </c>
      <c r="Y172">
        <v>0</v>
      </c>
    </row>
    <row r="173" spans="1:25">
      <c r="A173">
        <v>172</v>
      </c>
      <c r="B173" t="s">
        <v>38</v>
      </c>
      <c r="C173" t="s">
        <v>38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32</v>
      </c>
      <c r="C174" t="s">
        <v>32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28</v>
      </c>
      <c r="C175" t="s">
        <v>28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44</v>
      </c>
      <c r="C176" t="s">
        <v>44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141</v>
      </c>
      <c r="C177" t="s">
        <v>141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28</v>
      </c>
      <c r="C178" t="s">
        <v>28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44</v>
      </c>
      <c r="C179" t="s">
        <v>44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218</v>
      </c>
      <c r="C180" t="s">
        <v>218</v>
      </c>
      <c r="D180">
        <v>0</v>
      </c>
      <c r="E180">
        <v>0.1</v>
      </c>
      <c r="F180">
        <v>0</v>
      </c>
      <c r="G180">
        <v>0</v>
      </c>
      <c r="H180">
        <v>0.01</v>
      </c>
      <c r="I180">
        <v>0</v>
      </c>
      <c r="J180">
        <v>0</v>
      </c>
      <c r="K180">
        <v>0</v>
      </c>
      <c r="L180">
        <v>0.01</v>
      </c>
      <c r="M180">
        <v>0.8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0.06</v>
      </c>
      <c r="V180">
        <v>0</v>
      </c>
      <c r="W180">
        <v>0.02</v>
      </c>
      <c r="X180">
        <v>0</v>
      </c>
      <c r="Y180">
        <v>0</v>
      </c>
    </row>
    <row r="181" spans="1:25">
      <c r="A181">
        <v>180</v>
      </c>
      <c r="B181" t="s">
        <v>38</v>
      </c>
      <c r="C181" t="s">
        <v>38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38</v>
      </c>
      <c r="C182" t="s">
        <v>38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0.05</v>
      </c>
      <c r="J183">
        <v>0</v>
      </c>
      <c r="K183">
        <v>0.1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0.7</v>
      </c>
      <c r="Y183">
        <v>0.15</v>
      </c>
    </row>
    <row r="184" spans="1:25">
      <c r="A184">
        <v>183</v>
      </c>
      <c r="B184" t="s">
        <v>152</v>
      </c>
      <c r="C184" t="s">
        <v>152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28</v>
      </c>
      <c r="C185" t="s">
        <v>28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38</v>
      </c>
      <c r="C186" t="s">
        <v>38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28</v>
      </c>
      <c r="C187" t="s">
        <v>28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38</v>
      </c>
      <c r="C188" t="s">
        <v>38</v>
      </c>
      <c r="D188">
        <v>0</v>
      </c>
      <c r="E188">
        <v>0</v>
      </c>
      <c r="F188">
        <v>0</v>
      </c>
      <c r="G188">
        <v>0.99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0.01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78</v>
      </c>
      <c r="C189" t="s">
        <v>78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0.08</v>
      </c>
      <c r="T189">
        <v>0</v>
      </c>
      <c r="U189">
        <v>0</v>
      </c>
      <c r="V189">
        <v>0.92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44</v>
      </c>
      <c r="C190" t="s">
        <v>44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32</v>
      </c>
      <c r="C191" t="s">
        <v>32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38</v>
      </c>
      <c r="C192" t="s">
        <v>38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44</v>
      </c>
      <c r="C193" t="s">
        <v>44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141</v>
      </c>
      <c r="C194" t="s">
        <v>141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28</v>
      </c>
      <c r="C195" t="s">
        <v>28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141</v>
      </c>
      <c r="C196" t="s">
        <v>141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38</v>
      </c>
      <c r="C197" t="s">
        <v>38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167</v>
      </c>
      <c r="C198" t="s">
        <v>167</v>
      </c>
      <c r="D198">
        <v>0</v>
      </c>
      <c r="E198">
        <v>0</v>
      </c>
      <c r="F198">
        <v>0</v>
      </c>
      <c r="G198">
        <v>0.09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0.91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28</v>
      </c>
      <c r="C199" t="s">
        <v>28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38</v>
      </c>
      <c r="C200" t="s">
        <v>38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218</v>
      </c>
      <c r="C201" t="s">
        <v>218</v>
      </c>
      <c r="D201">
        <v>0</v>
      </c>
      <c r="E201">
        <v>0.12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0.87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0.01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38</v>
      </c>
      <c r="C202" t="s">
        <v>38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38</v>
      </c>
      <c r="C203" t="s">
        <v>38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233</v>
      </c>
      <c r="C204" t="s">
        <v>233</v>
      </c>
      <c r="D204">
        <v>0</v>
      </c>
      <c r="E204">
        <v>0</v>
      </c>
      <c r="F204">
        <v>0.02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0.98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38</v>
      </c>
      <c r="C205" t="s">
        <v>38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28</v>
      </c>
      <c r="C206" t="s">
        <v>28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86</v>
      </c>
      <c r="C207" t="s">
        <v>86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0.71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0.28999999999999998</v>
      </c>
    </row>
    <row r="208" spans="1:25">
      <c r="A208">
        <v>207</v>
      </c>
      <c r="B208" t="s">
        <v>38</v>
      </c>
      <c r="C208" t="s">
        <v>38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28</v>
      </c>
      <c r="C209" t="s">
        <v>28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66</v>
      </c>
      <c r="C210" t="s">
        <v>66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0.97</v>
      </c>
      <c r="T210">
        <v>0</v>
      </c>
      <c r="U210">
        <v>0</v>
      </c>
      <c r="V210">
        <v>0.03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78</v>
      </c>
      <c r="C211" t="s">
        <v>78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0.18</v>
      </c>
      <c r="T211">
        <v>0</v>
      </c>
      <c r="U211">
        <v>0</v>
      </c>
      <c r="V211">
        <v>0.82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66</v>
      </c>
      <c r="C212" t="s">
        <v>66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0.71</v>
      </c>
      <c r="T212">
        <v>0</v>
      </c>
      <c r="U212">
        <v>0</v>
      </c>
      <c r="V212">
        <v>0.28999999999999998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86</v>
      </c>
      <c r="C213" t="s">
        <v>86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0.96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0.04</v>
      </c>
    </row>
    <row r="214" spans="1:25">
      <c r="A214">
        <v>213</v>
      </c>
      <c r="B214" t="s">
        <v>86</v>
      </c>
      <c r="C214" t="s">
        <v>86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38</v>
      </c>
      <c r="C215" t="s">
        <v>38</v>
      </c>
      <c r="D215">
        <v>0</v>
      </c>
      <c r="E215">
        <v>0</v>
      </c>
      <c r="F215">
        <v>0</v>
      </c>
      <c r="G215">
        <v>0.95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0.05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21</v>
      </c>
      <c r="C216" t="s">
        <v>21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0.01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0.99</v>
      </c>
      <c r="Y216">
        <v>0</v>
      </c>
    </row>
    <row r="217" spans="1:25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</row>
    <row r="218" spans="1:25">
      <c r="A218">
        <v>217</v>
      </c>
      <c r="B218" t="s">
        <v>233</v>
      </c>
      <c r="C218" t="s">
        <v>233</v>
      </c>
      <c r="D218">
        <v>0</v>
      </c>
      <c r="E218">
        <v>0</v>
      </c>
      <c r="F218">
        <v>0.13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0.87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28</v>
      </c>
      <c r="C219" t="s">
        <v>28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66</v>
      </c>
      <c r="C220" t="s">
        <v>66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0.98</v>
      </c>
      <c r="T220">
        <v>0</v>
      </c>
      <c r="U220">
        <v>0</v>
      </c>
      <c r="V220">
        <v>0.02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167</v>
      </c>
      <c r="C221" t="s">
        <v>167</v>
      </c>
      <c r="D221">
        <v>0</v>
      </c>
      <c r="E221">
        <v>0</v>
      </c>
      <c r="F221">
        <v>0</v>
      </c>
      <c r="G221">
        <v>0.31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0.69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28</v>
      </c>
      <c r="C222" t="s">
        <v>28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86</v>
      </c>
      <c r="C223" t="s">
        <v>86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28</v>
      </c>
      <c r="C224" t="s">
        <v>28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32</v>
      </c>
      <c r="C225" t="s">
        <v>32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38</v>
      </c>
      <c r="C226" t="s">
        <v>38</v>
      </c>
      <c r="D226">
        <v>0</v>
      </c>
      <c r="E226">
        <v>0</v>
      </c>
      <c r="F226">
        <v>0</v>
      </c>
      <c r="G226">
        <v>0.92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0.08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38</v>
      </c>
      <c r="C227" t="s">
        <v>38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25</v>
      </c>
      <c r="C228" t="s">
        <v>25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0.03</v>
      </c>
      <c r="J228">
        <v>0</v>
      </c>
      <c r="K228">
        <v>0.03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0.94</v>
      </c>
    </row>
    <row r="229" spans="1:25">
      <c r="A229">
        <v>228</v>
      </c>
      <c r="B229" t="s">
        <v>38</v>
      </c>
      <c r="C229" t="s">
        <v>38</v>
      </c>
      <c r="D229">
        <v>0</v>
      </c>
      <c r="E229">
        <v>0</v>
      </c>
      <c r="F229">
        <v>0</v>
      </c>
      <c r="G229">
        <v>0.87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0.13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21</v>
      </c>
      <c r="C230" t="s">
        <v>21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</row>
    <row r="231" spans="1:25">
      <c r="A231">
        <v>230</v>
      </c>
      <c r="B231" t="s">
        <v>44</v>
      </c>
      <c r="C231" t="s">
        <v>44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>
      <c r="A232">
        <v>231</v>
      </c>
      <c r="B232" t="s">
        <v>28</v>
      </c>
      <c r="C232" t="s">
        <v>28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0.02</v>
      </c>
      <c r="Y232">
        <v>0</v>
      </c>
    </row>
    <row r="233" spans="1:25">
      <c r="A233">
        <v>232</v>
      </c>
      <c r="B233" t="s">
        <v>66</v>
      </c>
      <c r="C233" t="s">
        <v>66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152</v>
      </c>
      <c r="C234" t="s">
        <v>152</v>
      </c>
      <c r="D234">
        <v>0</v>
      </c>
      <c r="E234">
        <v>0.01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0.99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66</v>
      </c>
      <c r="C235" t="s">
        <v>66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0.87</v>
      </c>
      <c r="T235">
        <v>0</v>
      </c>
      <c r="U235">
        <v>0</v>
      </c>
      <c r="V235">
        <v>0.13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32</v>
      </c>
      <c r="C236" t="s">
        <v>32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25</v>
      </c>
      <c r="C237" t="s">
        <v>25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0.36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0.64</v>
      </c>
    </row>
    <row r="238" spans="1:25">
      <c r="A238">
        <v>237</v>
      </c>
      <c r="B238" t="s">
        <v>28</v>
      </c>
      <c r="C238" t="s">
        <v>28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32</v>
      </c>
      <c r="C239" t="s">
        <v>32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21</v>
      </c>
      <c r="C240" t="s">
        <v>21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0</v>
      </c>
    </row>
    <row r="241" spans="1:25">
      <c r="A241">
        <v>240</v>
      </c>
      <c r="B241" t="s">
        <v>28</v>
      </c>
      <c r="C241" t="s">
        <v>28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0.01</v>
      </c>
      <c r="J241">
        <v>0</v>
      </c>
      <c r="K241">
        <v>0.99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86</v>
      </c>
      <c r="C242" t="s">
        <v>86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0.93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7.0000000000000007E-2</v>
      </c>
    </row>
    <row r="243" spans="1:25">
      <c r="A243">
        <v>242</v>
      </c>
      <c r="B243" t="s">
        <v>141</v>
      </c>
      <c r="C243" t="s">
        <v>141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78</v>
      </c>
      <c r="C244" t="s">
        <v>78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0.03</v>
      </c>
      <c r="T244">
        <v>0</v>
      </c>
      <c r="U244">
        <v>0</v>
      </c>
      <c r="V244">
        <v>0.97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56</v>
      </c>
      <c r="C245" t="s">
        <v>56</v>
      </c>
      <c r="D245">
        <v>0</v>
      </c>
      <c r="E245">
        <v>0.11</v>
      </c>
      <c r="F245">
        <v>0</v>
      </c>
      <c r="G245">
        <v>0</v>
      </c>
      <c r="H245">
        <v>0.15</v>
      </c>
      <c r="I245">
        <v>0</v>
      </c>
      <c r="J245">
        <v>0</v>
      </c>
      <c r="K245">
        <v>0</v>
      </c>
      <c r="L245">
        <v>0.64</v>
      </c>
      <c r="M245">
        <v>0.03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0.05</v>
      </c>
      <c r="V245">
        <v>0</v>
      </c>
      <c r="W245">
        <v>0.02</v>
      </c>
      <c r="X245">
        <v>0</v>
      </c>
      <c r="Y245">
        <v>0</v>
      </c>
    </row>
    <row r="246" spans="1:25">
      <c r="A246">
        <v>245</v>
      </c>
      <c r="B246" t="s">
        <v>21</v>
      </c>
      <c r="C246" t="s">
        <v>21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0.03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0.97</v>
      </c>
      <c r="Y246">
        <v>0</v>
      </c>
    </row>
    <row r="247" spans="1:25">
      <c r="A247">
        <v>246</v>
      </c>
      <c r="B247" t="s">
        <v>56</v>
      </c>
      <c r="C247" t="s">
        <v>56</v>
      </c>
      <c r="D247">
        <v>0</v>
      </c>
      <c r="E247">
        <v>0.04</v>
      </c>
      <c r="F247">
        <v>0</v>
      </c>
      <c r="G247">
        <v>0</v>
      </c>
      <c r="H247">
        <v>0.01</v>
      </c>
      <c r="I247">
        <v>0</v>
      </c>
      <c r="J247">
        <v>0</v>
      </c>
      <c r="K247">
        <v>0</v>
      </c>
      <c r="L247">
        <v>0.53</v>
      </c>
      <c r="M247">
        <v>0.19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0.21</v>
      </c>
      <c r="V247">
        <v>0</v>
      </c>
      <c r="W247">
        <v>0.02</v>
      </c>
      <c r="X247">
        <v>0</v>
      </c>
      <c r="Y247">
        <v>0</v>
      </c>
    </row>
    <row r="248" spans="1:25">
      <c r="A248">
        <v>247</v>
      </c>
      <c r="B248" t="s">
        <v>56</v>
      </c>
      <c r="C248" t="s">
        <v>56</v>
      </c>
      <c r="D248">
        <v>0</v>
      </c>
      <c r="E248">
        <v>0</v>
      </c>
      <c r="F248">
        <v>0</v>
      </c>
      <c r="G248">
        <v>0</v>
      </c>
      <c r="H248">
        <v>0.01</v>
      </c>
      <c r="I248">
        <v>0</v>
      </c>
      <c r="J248">
        <v>0</v>
      </c>
      <c r="K248">
        <v>0</v>
      </c>
      <c r="L248">
        <v>0.79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0.13</v>
      </c>
      <c r="V248">
        <v>0</v>
      </c>
      <c r="W248">
        <v>7.0000000000000007E-2</v>
      </c>
      <c r="X248">
        <v>0</v>
      </c>
      <c r="Y248">
        <v>0</v>
      </c>
    </row>
    <row r="249" spans="1:25">
      <c r="A249">
        <v>248</v>
      </c>
      <c r="B249" t="s">
        <v>66</v>
      </c>
      <c r="C249" t="s">
        <v>66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0.95</v>
      </c>
      <c r="T249">
        <v>0</v>
      </c>
      <c r="U249">
        <v>0</v>
      </c>
      <c r="V249">
        <v>0.05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44</v>
      </c>
      <c r="C250" t="s">
        <v>44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32</v>
      </c>
      <c r="C251" t="s">
        <v>32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86</v>
      </c>
      <c r="C252" t="s">
        <v>86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0.98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0.02</v>
      </c>
    </row>
    <row r="253" spans="1:25">
      <c r="A253">
        <v>252</v>
      </c>
      <c r="B253" t="s">
        <v>66</v>
      </c>
      <c r="C253" t="s">
        <v>66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0.83</v>
      </c>
      <c r="T253">
        <v>0</v>
      </c>
      <c r="U253">
        <v>0</v>
      </c>
      <c r="V253">
        <v>0.17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38</v>
      </c>
      <c r="C254" t="s">
        <v>38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38</v>
      </c>
      <c r="C255" t="s">
        <v>38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38</v>
      </c>
      <c r="C256" t="s">
        <v>38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66</v>
      </c>
      <c r="C257" t="s">
        <v>66</v>
      </c>
      <c r="D257">
        <v>0</v>
      </c>
      <c r="E257">
        <v>0</v>
      </c>
      <c r="F257">
        <v>0.03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0.96</v>
      </c>
      <c r="T257">
        <v>0</v>
      </c>
      <c r="U257">
        <v>0</v>
      </c>
      <c r="V257">
        <v>0.01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28</v>
      </c>
      <c r="C258" t="s">
        <v>28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21</v>
      </c>
      <c r="C259" t="s">
        <v>21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</row>
    <row r="260" spans="1:25">
      <c r="A260">
        <v>259</v>
      </c>
      <c r="B260" t="s">
        <v>38</v>
      </c>
      <c r="C260" t="s">
        <v>38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56</v>
      </c>
      <c r="C261" t="s">
        <v>56</v>
      </c>
      <c r="D261">
        <v>0</v>
      </c>
      <c r="E261">
        <v>0.04</v>
      </c>
      <c r="F261">
        <v>0</v>
      </c>
      <c r="G261">
        <v>0</v>
      </c>
      <c r="H261">
        <v>0.06</v>
      </c>
      <c r="I261">
        <v>0</v>
      </c>
      <c r="J261">
        <v>0</v>
      </c>
      <c r="K261">
        <v>0</v>
      </c>
      <c r="L261">
        <v>0.85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0.03</v>
      </c>
      <c r="V261">
        <v>0</v>
      </c>
      <c r="W261">
        <v>0.02</v>
      </c>
      <c r="X261">
        <v>0</v>
      </c>
      <c r="Y261">
        <v>0</v>
      </c>
    </row>
    <row r="262" spans="1:25">
      <c r="A262">
        <v>261</v>
      </c>
      <c r="B262" t="s">
        <v>141</v>
      </c>
      <c r="C262" t="s">
        <v>141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28</v>
      </c>
      <c r="C263" t="s">
        <v>28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86</v>
      </c>
      <c r="C264" t="s">
        <v>86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21</v>
      </c>
      <c r="C265" t="s">
        <v>21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</row>
    <row r="266" spans="1:25">
      <c r="A266">
        <v>265</v>
      </c>
      <c r="B266" t="s">
        <v>25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0.02</v>
      </c>
      <c r="J266">
        <v>0</v>
      </c>
      <c r="K266">
        <v>0.03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0.95</v>
      </c>
    </row>
    <row r="267" spans="1:25">
      <c r="A267">
        <v>266</v>
      </c>
      <c r="B267" t="s">
        <v>32</v>
      </c>
      <c r="C267" t="s">
        <v>32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32</v>
      </c>
      <c r="C268" t="s">
        <v>32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32</v>
      </c>
      <c r="C269" t="s">
        <v>32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86</v>
      </c>
      <c r="C270" t="s">
        <v>86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0.69</v>
      </c>
      <c r="J270">
        <v>0</v>
      </c>
      <c r="K270">
        <v>0.01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0.3</v>
      </c>
      <c r="Y270">
        <v>0</v>
      </c>
    </row>
    <row r="271" spans="1:25">
      <c r="A271">
        <v>270</v>
      </c>
      <c r="B271" t="s">
        <v>332</v>
      </c>
      <c r="C271" t="s">
        <v>332</v>
      </c>
      <c r="D271">
        <v>0</v>
      </c>
      <c r="E271">
        <v>7.0000000000000007E-2</v>
      </c>
      <c r="F271">
        <v>0</v>
      </c>
      <c r="G271">
        <v>0</v>
      </c>
      <c r="H271">
        <v>0.61</v>
      </c>
      <c r="I271">
        <v>0</v>
      </c>
      <c r="J271">
        <v>0</v>
      </c>
      <c r="K271">
        <v>0</v>
      </c>
      <c r="L271">
        <v>0.17</v>
      </c>
      <c r="M271">
        <v>0.01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0.14000000000000001</v>
      </c>
      <c r="V271">
        <v>0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28</v>
      </c>
      <c r="C272" t="s">
        <v>28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32</v>
      </c>
      <c r="C273" t="s">
        <v>32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86</v>
      </c>
      <c r="C274" t="s">
        <v>86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0.99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0.01</v>
      </c>
    </row>
    <row r="275" spans="1:25">
      <c r="A275">
        <v>274</v>
      </c>
      <c r="B275" t="s">
        <v>32</v>
      </c>
      <c r="C275" t="s">
        <v>32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21</v>
      </c>
      <c r="C276" t="s">
        <v>21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0.02</v>
      </c>
      <c r="J276">
        <v>0</v>
      </c>
      <c r="K276">
        <v>0.02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0.96</v>
      </c>
      <c r="Y276">
        <v>0</v>
      </c>
    </row>
    <row r="277" spans="1:25">
      <c r="A277">
        <v>276</v>
      </c>
      <c r="B277" t="s">
        <v>66</v>
      </c>
      <c r="C277" t="s">
        <v>66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78</v>
      </c>
      <c r="C278" t="s">
        <v>78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0.09</v>
      </c>
      <c r="T278">
        <v>0</v>
      </c>
      <c r="U278">
        <v>0</v>
      </c>
      <c r="V278">
        <v>0.91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28</v>
      </c>
      <c r="C279" t="s">
        <v>28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38</v>
      </c>
      <c r="C280" t="s">
        <v>38</v>
      </c>
      <c r="D280">
        <v>0</v>
      </c>
      <c r="E280">
        <v>0</v>
      </c>
      <c r="F280">
        <v>0</v>
      </c>
      <c r="G280">
        <v>0.9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0.1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38</v>
      </c>
      <c r="C281" t="s">
        <v>38</v>
      </c>
      <c r="D281">
        <v>0</v>
      </c>
      <c r="E281">
        <v>0</v>
      </c>
      <c r="F281">
        <v>0</v>
      </c>
      <c r="G281">
        <v>0.94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0.06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38</v>
      </c>
      <c r="C282" t="s">
        <v>38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44</v>
      </c>
      <c r="C283" t="s">
        <v>44</v>
      </c>
      <c r="D283">
        <v>0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152</v>
      </c>
      <c r="C284" t="s">
        <v>152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218</v>
      </c>
      <c r="C285" t="s">
        <v>218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0.03</v>
      </c>
      <c r="M285">
        <v>0.94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0.03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32</v>
      </c>
      <c r="C286" t="s">
        <v>32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44</v>
      </c>
      <c r="C287" t="s">
        <v>44</v>
      </c>
      <c r="D287">
        <v>0</v>
      </c>
      <c r="E287">
        <v>0</v>
      </c>
      <c r="F287">
        <v>0.87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0.13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21</v>
      </c>
      <c r="C288" t="s">
        <v>21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0.03</v>
      </c>
      <c r="J288">
        <v>0</v>
      </c>
      <c r="K288">
        <v>0.11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0.86</v>
      </c>
      <c r="Y288">
        <v>0</v>
      </c>
    </row>
    <row r="289" spans="1:25">
      <c r="A289">
        <v>288</v>
      </c>
      <c r="B289" t="s">
        <v>38</v>
      </c>
      <c r="C289" t="s">
        <v>38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38</v>
      </c>
      <c r="C290" t="s">
        <v>38</v>
      </c>
      <c r="D290">
        <v>0</v>
      </c>
      <c r="E290">
        <v>0</v>
      </c>
      <c r="F290">
        <v>0</v>
      </c>
      <c r="G290">
        <v>0.9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0.1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28</v>
      </c>
      <c r="C291" t="s">
        <v>28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353</v>
      </c>
      <c r="C292" t="s">
        <v>353</v>
      </c>
      <c r="D292">
        <v>0</v>
      </c>
      <c r="E292">
        <v>0.57999999999999996</v>
      </c>
      <c r="F292">
        <v>0</v>
      </c>
      <c r="G292">
        <v>0</v>
      </c>
      <c r="H292">
        <v>0.04</v>
      </c>
      <c r="I292">
        <v>0</v>
      </c>
      <c r="J292">
        <v>0</v>
      </c>
      <c r="K292">
        <v>0</v>
      </c>
      <c r="L292">
        <v>0.19</v>
      </c>
      <c r="M292">
        <v>0.06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0.11</v>
      </c>
      <c r="V292">
        <v>0</v>
      </c>
      <c r="W292">
        <v>0.02</v>
      </c>
      <c r="X292">
        <v>0</v>
      </c>
      <c r="Y292">
        <v>0</v>
      </c>
    </row>
    <row r="293" spans="1:25">
      <c r="A293">
        <v>292</v>
      </c>
      <c r="B293" t="s">
        <v>28</v>
      </c>
      <c r="C293" t="s">
        <v>28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86</v>
      </c>
      <c r="C294" t="s">
        <v>86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38</v>
      </c>
      <c r="C295" t="s">
        <v>38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28</v>
      </c>
      <c r="C296" t="s">
        <v>28</v>
      </c>
      <c r="D296">
        <v>0</v>
      </c>
      <c r="E296">
        <v>0</v>
      </c>
      <c r="F296">
        <v>0.01</v>
      </c>
      <c r="G296">
        <v>0</v>
      </c>
      <c r="H296">
        <v>0</v>
      </c>
      <c r="I296">
        <v>0</v>
      </c>
      <c r="J296">
        <v>0</v>
      </c>
      <c r="K296">
        <v>0.67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0.32</v>
      </c>
      <c r="Y296">
        <v>0</v>
      </c>
    </row>
    <row r="297" spans="1:25">
      <c r="A297">
        <v>296</v>
      </c>
      <c r="B297" t="s">
        <v>28</v>
      </c>
      <c r="C297" t="s">
        <v>28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44</v>
      </c>
      <c r="C298" t="s">
        <v>44</v>
      </c>
      <c r="D298">
        <v>0</v>
      </c>
      <c r="E298">
        <v>0</v>
      </c>
      <c r="F298">
        <v>0.97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0.03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44</v>
      </c>
      <c r="C299" t="s">
        <v>44</v>
      </c>
      <c r="D299">
        <v>0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21</v>
      </c>
      <c r="C300" t="s">
        <v>28</v>
      </c>
      <c r="D300">
        <v>0</v>
      </c>
      <c r="E300">
        <v>0</v>
      </c>
      <c r="F300">
        <v>0.01</v>
      </c>
      <c r="G300">
        <v>0</v>
      </c>
      <c r="H300">
        <v>0</v>
      </c>
      <c r="I300">
        <v>0</v>
      </c>
      <c r="J300">
        <v>0</v>
      </c>
      <c r="K300">
        <v>0.52</v>
      </c>
      <c r="L300">
        <v>0</v>
      </c>
      <c r="M300">
        <v>0</v>
      </c>
      <c r="N300">
        <v>0.01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0.46</v>
      </c>
      <c r="Y300">
        <v>0</v>
      </c>
    </row>
    <row r="301" spans="1:25">
      <c r="A301">
        <v>300</v>
      </c>
      <c r="B301" t="s">
        <v>32</v>
      </c>
      <c r="C301" t="s">
        <v>32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1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32</v>
      </c>
      <c r="C302" t="s">
        <v>32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86</v>
      </c>
      <c r="C303" t="s">
        <v>86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21</v>
      </c>
      <c r="C304" t="s">
        <v>21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0.02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0.98</v>
      </c>
      <c r="Y304">
        <v>0</v>
      </c>
    </row>
    <row r="305" spans="1:25">
      <c r="A305">
        <v>304</v>
      </c>
      <c r="B305" t="s">
        <v>353</v>
      </c>
      <c r="C305" t="s">
        <v>353</v>
      </c>
      <c r="D305">
        <v>0</v>
      </c>
      <c r="E305">
        <v>0.73</v>
      </c>
      <c r="F305">
        <v>0.01</v>
      </c>
      <c r="G305">
        <v>0</v>
      </c>
      <c r="H305">
        <v>0.06</v>
      </c>
      <c r="I305">
        <v>0.01</v>
      </c>
      <c r="J305">
        <v>0</v>
      </c>
      <c r="K305">
        <v>0</v>
      </c>
      <c r="L305">
        <v>0</v>
      </c>
      <c r="M305">
        <v>0.1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0.01</v>
      </c>
      <c r="T305">
        <v>0</v>
      </c>
      <c r="U305">
        <v>0</v>
      </c>
      <c r="V305">
        <v>0</v>
      </c>
      <c r="W305">
        <v>0.08</v>
      </c>
      <c r="X305">
        <v>0</v>
      </c>
      <c r="Y305">
        <v>0</v>
      </c>
    </row>
    <row r="306" spans="1:25">
      <c r="A306">
        <v>305</v>
      </c>
      <c r="B306" t="s">
        <v>218</v>
      </c>
      <c r="C306" t="s">
        <v>218</v>
      </c>
      <c r="D306">
        <v>0</v>
      </c>
      <c r="E306">
        <v>0.01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0.01</v>
      </c>
      <c r="M306">
        <v>0.97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0.01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28</v>
      </c>
      <c r="C307" t="s">
        <v>28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367</v>
      </c>
      <c r="C308" t="s">
        <v>367</v>
      </c>
      <c r="D308">
        <v>0</v>
      </c>
      <c r="E308">
        <v>0</v>
      </c>
      <c r="F308">
        <v>0.16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0.84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32</v>
      </c>
      <c r="C309" t="s">
        <v>32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0.04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0.96</v>
      </c>
      <c r="Y310">
        <v>0</v>
      </c>
    </row>
    <row r="311" spans="1:25">
      <c r="A311">
        <v>310</v>
      </c>
      <c r="B311" t="s">
        <v>86</v>
      </c>
      <c r="C311" t="s">
        <v>86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0.98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0.02</v>
      </c>
    </row>
    <row r="312" spans="1:25">
      <c r="A312">
        <v>311</v>
      </c>
      <c r="B312" t="s">
        <v>38</v>
      </c>
      <c r="C312" t="s">
        <v>38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28</v>
      </c>
      <c r="C313" t="s">
        <v>28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28</v>
      </c>
      <c r="C314" t="s">
        <v>28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86</v>
      </c>
      <c r="C315" t="s">
        <v>86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38</v>
      </c>
      <c r="C316" t="s">
        <v>38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86</v>
      </c>
      <c r="C317" t="s">
        <v>86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0.99</v>
      </c>
      <c r="J317">
        <v>0</v>
      </c>
      <c r="K317">
        <v>0.01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28</v>
      </c>
      <c r="C318" t="s">
        <v>28</v>
      </c>
      <c r="D318">
        <v>0</v>
      </c>
      <c r="E318">
        <v>0</v>
      </c>
      <c r="F318">
        <v>0.01</v>
      </c>
      <c r="G318">
        <v>0</v>
      </c>
      <c r="H318">
        <v>0</v>
      </c>
      <c r="I318">
        <v>0.1</v>
      </c>
      <c r="J318">
        <v>0</v>
      </c>
      <c r="K318">
        <v>0.88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0.01</v>
      </c>
      <c r="Y318">
        <v>0</v>
      </c>
    </row>
    <row r="319" spans="1:25">
      <c r="A319">
        <v>318</v>
      </c>
      <c r="B319" t="s">
        <v>32</v>
      </c>
      <c r="C319" t="s">
        <v>32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28</v>
      </c>
      <c r="C320" t="s">
        <v>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21</v>
      </c>
      <c r="C321" t="s">
        <v>21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</row>
    <row r="322" spans="1:25">
      <c r="A322">
        <v>321</v>
      </c>
      <c r="B322" t="s">
        <v>38</v>
      </c>
      <c r="C322" t="s">
        <v>38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218</v>
      </c>
      <c r="C323" t="s">
        <v>218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0.03</v>
      </c>
      <c r="M323">
        <v>0.96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0.01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141</v>
      </c>
      <c r="C324" t="s">
        <v>141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218</v>
      </c>
      <c r="C325" t="s">
        <v>218</v>
      </c>
      <c r="D325">
        <v>0</v>
      </c>
      <c r="E325">
        <v>0.01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0.1</v>
      </c>
      <c r="M325">
        <v>0.89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44</v>
      </c>
      <c r="C326" t="s">
        <v>44</v>
      </c>
      <c r="D326">
        <v>0</v>
      </c>
      <c r="E326">
        <v>0</v>
      </c>
      <c r="F326">
        <v>0.95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0.04</v>
      </c>
      <c r="U326">
        <v>0</v>
      </c>
      <c r="V326">
        <v>0.01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21</v>
      </c>
      <c r="C327" t="s">
        <v>21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0.09</v>
      </c>
      <c r="J327">
        <v>0</v>
      </c>
      <c r="K327">
        <v>0.26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0.54</v>
      </c>
      <c r="Y327">
        <v>0.11</v>
      </c>
    </row>
    <row r="328" spans="1:25">
      <c r="A328">
        <v>327</v>
      </c>
      <c r="B328" t="s">
        <v>38</v>
      </c>
      <c r="C328" t="s">
        <v>38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86</v>
      </c>
      <c r="C329" t="s">
        <v>86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44</v>
      </c>
      <c r="C330" t="s">
        <v>44</v>
      </c>
      <c r="D330">
        <v>0</v>
      </c>
      <c r="E330">
        <v>0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21</v>
      </c>
      <c r="C331" t="s">
        <v>21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0.03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0.97</v>
      </c>
      <c r="Y331">
        <v>0</v>
      </c>
    </row>
    <row r="332" spans="1:25">
      <c r="A332">
        <v>331</v>
      </c>
      <c r="B332" t="s">
        <v>44</v>
      </c>
      <c r="C332" t="s">
        <v>44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38</v>
      </c>
      <c r="C333" t="s">
        <v>38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28</v>
      </c>
      <c r="C334" t="s">
        <v>28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0.98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0.02</v>
      </c>
      <c r="Y334">
        <v>0</v>
      </c>
    </row>
    <row r="335" spans="1:25">
      <c r="A335">
        <v>334</v>
      </c>
      <c r="B335" t="s">
        <v>152</v>
      </c>
      <c r="C335" t="s">
        <v>152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38</v>
      </c>
      <c r="C336" t="s">
        <v>38</v>
      </c>
      <c r="D336">
        <v>0</v>
      </c>
      <c r="E336">
        <v>0</v>
      </c>
      <c r="F336">
        <v>0</v>
      </c>
      <c r="G336">
        <v>0.99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0.01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28</v>
      </c>
      <c r="C337" t="s">
        <v>28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0.95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0.04</v>
      </c>
      <c r="Y337">
        <v>0.01</v>
      </c>
    </row>
    <row r="338" spans="1:25">
      <c r="A338">
        <v>337</v>
      </c>
      <c r="B338" t="s">
        <v>86</v>
      </c>
      <c r="C338" t="s">
        <v>86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28</v>
      </c>
      <c r="C339" t="s">
        <v>28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0.99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0.01</v>
      </c>
      <c r="Y339">
        <v>0</v>
      </c>
    </row>
    <row r="340" spans="1:25">
      <c r="A340">
        <v>339</v>
      </c>
      <c r="B340" t="s">
        <v>367</v>
      </c>
      <c r="C340" t="s">
        <v>367</v>
      </c>
      <c r="D340">
        <v>0</v>
      </c>
      <c r="E340">
        <v>0</v>
      </c>
      <c r="F340">
        <v>7.0000000000000007E-2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0.93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44</v>
      </c>
      <c r="C341" t="s">
        <v>44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28</v>
      </c>
      <c r="C342" t="s">
        <v>28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25</v>
      </c>
      <c r="C343" t="s">
        <v>25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0.06</v>
      </c>
      <c r="J343">
        <v>0</v>
      </c>
      <c r="K343">
        <v>7.0000000000000007E-2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0.87</v>
      </c>
    </row>
    <row r="344" spans="1:25">
      <c r="A344">
        <v>343</v>
      </c>
      <c r="B344" t="s">
        <v>28</v>
      </c>
      <c r="C344" t="s">
        <v>28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167</v>
      </c>
      <c r="C345" t="s">
        <v>167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28</v>
      </c>
      <c r="C346" t="s">
        <v>28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38</v>
      </c>
      <c r="C347" t="s">
        <v>38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402</v>
      </c>
      <c r="C348" t="s">
        <v>402</v>
      </c>
      <c r="D348">
        <v>0</v>
      </c>
      <c r="E348">
        <v>0</v>
      </c>
      <c r="F348">
        <v>0</v>
      </c>
      <c r="G348">
        <v>0</v>
      </c>
      <c r="H348">
        <v>0.02</v>
      </c>
      <c r="I348">
        <v>0</v>
      </c>
      <c r="J348">
        <v>0</v>
      </c>
      <c r="K348">
        <v>0</v>
      </c>
      <c r="L348">
        <v>0.03</v>
      </c>
      <c r="M348">
        <v>0</v>
      </c>
      <c r="N348">
        <v>0</v>
      </c>
      <c r="O348">
        <v>0.02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0.91</v>
      </c>
      <c r="V348">
        <v>0</v>
      </c>
      <c r="W348">
        <v>0.02</v>
      </c>
      <c r="X348">
        <v>0</v>
      </c>
      <c r="Y348">
        <v>0</v>
      </c>
    </row>
    <row r="349" spans="1:25">
      <c r="A349">
        <v>348</v>
      </c>
      <c r="B349" t="s">
        <v>38</v>
      </c>
      <c r="C349" t="s">
        <v>38</v>
      </c>
      <c r="D349">
        <v>0</v>
      </c>
      <c r="E349">
        <v>0</v>
      </c>
      <c r="F349">
        <v>0</v>
      </c>
      <c r="G349">
        <v>0.91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0.09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141</v>
      </c>
      <c r="C350" t="s">
        <v>141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99</v>
      </c>
      <c r="C351" t="s">
        <v>99</v>
      </c>
      <c r="D351">
        <v>1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86</v>
      </c>
      <c r="C352" t="s">
        <v>86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1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99</v>
      </c>
      <c r="C353" t="s">
        <v>99</v>
      </c>
      <c r="D353">
        <v>1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56</v>
      </c>
      <c r="C354" t="s">
        <v>56</v>
      </c>
      <c r="D354">
        <v>0</v>
      </c>
      <c r="E354">
        <v>0</v>
      </c>
      <c r="F354">
        <v>0</v>
      </c>
      <c r="G354">
        <v>0</v>
      </c>
      <c r="H354">
        <v>0.04</v>
      </c>
      <c r="I354">
        <v>0</v>
      </c>
      <c r="J354">
        <v>0</v>
      </c>
      <c r="K354">
        <v>0</v>
      </c>
      <c r="L354">
        <v>0.52</v>
      </c>
      <c r="M354">
        <v>7.0000000000000007E-2</v>
      </c>
      <c r="N354">
        <v>0</v>
      </c>
      <c r="O354">
        <v>0.01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0.14000000000000001</v>
      </c>
      <c r="V354">
        <v>0</v>
      </c>
      <c r="W354">
        <v>0.22</v>
      </c>
      <c r="X354">
        <v>0</v>
      </c>
      <c r="Y354">
        <v>0</v>
      </c>
    </row>
    <row r="355" spans="1:25">
      <c r="A355">
        <v>354</v>
      </c>
      <c r="B355" t="s">
        <v>21</v>
      </c>
      <c r="C355" t="s">
        <v>21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</sheetData>
  <autoFilter ref="A1:Y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55"/>
  <sheetViews>
    <sheetView workbookViewId="0">
      <pane ySplit="1" topLeftCell="A2" activePane="bottomLeft" state="frozen"/>
      <selection pane="bottomLeft" activeCell="Q15" sqref="Q15"/>
    </sheetView>
  </sheetViews>
  <sheetFormatPr baseColWidth="10" defaultRowHeight="16"/>
  <cols>
    <col min="1" max="1" width="7.6640625" bestFit="1" customWidth="1"/>
    <col min="2" max="3" width="29.6640625" bestFit="1" customWidth="1"/>
    <col min="4" max="25" width="15.83203125" customWidth="1"/>
  </cols>
  <sheetData>
    <row r="1" spans="1:25">
      <c r="A1" s="1" t="s">
        <v>409</v>
      </c>
      <c r="B1" s="1" t="s">
        <v>10</v>
      </c>
      <c r="C1" s="1" t="s">
        <v>415</v>
      </c>
      <c r="D1" s="1" t="s">
        <v>99</v>
      </c>
      <c r="E1" s="1" t="s">
        <v>353</v>
      </c>
      <c r="F1" s="1" t="s">
        <v>44</v>
      </c>
      <c r="G1" s="1" t="s">
        <v>38</v>
      </c>
      <c r="H1" s="1" t="s">
        <v>332</v>
      </c>
      <c r="I1" s="1" t="s">
        <v>86</v>
      </c>
      <c r="J1" s="1" t="s">
        <v>214</v>
      </c>
      <c r="K1" s="1" t="s">
        <v>28</v>
      </c>
      <c r="L1" s="1" t="s">
        <v>56</v>
      </c>
      <c r="M1" s="1" t="s">
        <v>218</v>
      </c>
      <c r="N1" s="1" t="s">
        <v>141</v>
      </c>
      <c r="O1" s="1" t="s">
        <v>152</v>
      </c>
      <c r="P1" s="1" t="s">
        <v>32</v>
      </c>
      <c r="Q1" s="1" t="s">
        <v>167</v>
      </c>
      <c r="R1" s="1" t="s">
        <v>233</v>
      </c>
      <c r="S1" s="1" t="s">
        <v>66</v>
      </c>
      <c r="T1" s="1" t="s">
        <v>367</v>
      </c>
      <c r="U1" s="1" t="s">
        <v>402</v>
      </c>
      <c r="V1" s="1" t="s">
        <v>78</v>
      </c>
      <c r="W1" s="1" t="s">
        <v>83</v>
      </c>
      <c r="X1" s="1" t="s">
        <v>21</v>
      </c>
      <c r="Y1" s="1" t="s">
        <v>25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1</v>
      </c>
      <c r="Y2">
        <v>0</v>
      </c>
    </row>
    <row r="3" spans="1:25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0</v>
      </c>
      <c r="I3">
        <v>0.39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0.61</v>
      </c>
    </row>
    <row r="4" spans="1:25">
      <c r="A4">
        <v>3</v>
      </c>
      <c r="B4" t="s">
        <v>28</v>
      </c>
      <c r="C4" t="s">
        <v>28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0.86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0.14000000000000001</v>
      </c>
      <c r="Y4">
        <v>0</v>
      </c>
    </row>
    <row r="5" spans="1:25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21</v>
      </c>
      <c r="C6" t="s">
        <v>21</v>
      </c>
      <c r="D6">
        <v>0</v>
      </c>
      <c r="E6">
        <v>0</v>
      </c>
      <c r="F6">
        <v>0.02</v>
      </c>
      <c r="G6">
        <v>0</v>
      </c>
      <c r="H6">
        <v>0</v>
      </c>
      <c r="I6">
        <v>0</v>
      </c>
      <c r="J6">
        <v>0</v>
      </c>
      <c r="K6">
        <v>0.26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0.72</v>
      </c>
      <c r="Y6">
        <v>0</v>
      </c>
    </row>
    <row r="7" spans="1:25">
      <c r="A7">
        <v>6</v>
      </c>
      <c r="B7" t="s">
        <v>38</v>
      </c>
      <c r="C7" t="s">
        <v>38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28</v>
      </c>
      <c r="C8" t="s">
        <v>28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44</v>
      </c>
      <c r="C9" t="s">
        <v>44</v>
      </c>
      <c r="D9">
        <v>0</v>
      </c>
      <c r="E9">
        <v>0</v>
      </c>
      <c r="F9">
        <v>0.98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0.02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25</v>
      </c>
      <c r="C10" t="s">
        <v>25</v>
      </c>
      <c r="D10">
        <v>0</v>
      </c>
      <c r="E10">
        <v>0</v>
      </c>
      <c r="F10">
        <v>0</v>
      </c>
      <c r="G10">
        <v>0</v>
      </c>
      <c r="H10">
        <v>0</v>
      </c>
      <c r="I10">
        <v>0.21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0.79</v>
      </c>
    </row>
    <row r="11" spans="1:25">
      <c r="A11">
        <v>10</v>
      </c>
      <c r="B11" t="s">
        <v>44</v>
      </c>
      <c r="C11" t="s">
        <v>44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11</v>
      </c>
      <c r="B12" t="s">
        <v>38</v>
      </c>
      <c r="C12" t="s">
        <v>38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32</v>
      </c>
      <c r="C13" t="s">
        <v>32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28</v>
      </c>
      <c r="C14" t="s">
        <v>28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56</v>
      </c>
      <c r="C15" t="s">
        <v>56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0.78</v>
      </c>
      <c r="M15">
        <v>0.02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0.13</v>
      </c>
      <c r="V15">
        <v>0</v>
      </c>
      <c r="W15">
        <v>7.0000000000000007E-2</v>
      </c>
      <c r="X15">
        <v>0</v>
      </c>
      <c r="Y15">
        <v>0</v>
      </c>
    </row>
    <row r="16" spans="1:25">
      <c r="A16">
        <v>15</v>
      </c>
      <c r="B16" t="s">
        <v>28</v>
      </c>
      <c r="C16" t="s">
        <v>28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44</v>
      </c>
      <c r="C17" t="s">
        <v>44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38</v>
      </c>
      <c r="C18" t="s">
        <v>38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  <c r="Y19">
        <v>0</v>
      </c>
    </row>
    <row r="20" spans="1:25">
      <c r="A20">
        <v>19</v>
      </c>
      <c r="B20" t="s">
        <v>66</v>
      </c>
      <c r="C20" t="s">
        <v>66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0.67</v>
      </c>
      <c r="T20">
        <v>0</v>
      </c>
      <c r="U20">
        <v>0</v>
      </c>
      <c r="V20">
        <v>0.33</v>
      </c>
      <c r="W20">
        <v>0</v>
      </c>
      <c r="X20">
        <v>0</v>
      </c>
      <c r="Y20">
        <v>0</v>
      </c>
    </row>
    <row r="21" spans="1:25">
      <c r="A21">
        <v>20</v>
      </c>
      <c r="B21" t="s">
        <v>38</v>
      </c>
      <c r="C21" t="s">
        <v>38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28</v>
      </c>
      <c r="C22" t="s">
        <v>28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22</v>
      </c>
      <c r="B23" t="s">
        <v>32</v>
      </c>
      <c r="C23" t="s">
        <v>32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38</v>
      </c>
      <c r="C24" t="s">
        <v>38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38</v>
      </c>
      <c r="C25" t="s">
        <v>38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38</v>
      </c>
      <c r="C26" t="s">
        <v>38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28</v>
      </c>
      <c r="C27" t="s">
        <v>28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38</v>
      </c>
      <c r="C28" t="s">
        <v>38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28</v>
      </c>
      <c r="C29" t="s">
        <v>28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78</v>
      </c>
      <c r="C30" t="s">
        <v>78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0.37</v>
      </c>
      <c r="T30">
        <v>0</v>
      </c>
      <c r="U30">
        <v>0</v>
      </c>
      <c r="V30">
        <v>0.63</v>
      </c>
      <c r="W30">
        <v>0</v>
      </c>
      <c r="X30">
        <v>0</v>
      </c>
      <c r="Y30">
        <v>0</v>
      </c>
    </row>
    <row r="31" spans="1:25">
      <c r="A31">
        <v>30</v>
      </c>
      <c r="B31" t="s">
        <v>32</v>
      </c>
      <c r="C31" t="s">
        <v>32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21</v>
      </c>
      <c r="C32" t="s">
        <v>21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0.06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0.94</v>
      </c>
      <c r="Y32">
        <v>0</v>
      </c>
    </row>
    <row r="33" spans="1:25">
      <c r="A33">
        <v>32</v>
      </c>
      <c r="B33" t="s">
        <v>83</v>
      </c>
      <c r="C33" t="s">
        <v>83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0.04</v>
      </c>
      <c r="M33">
        <v>0.26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0.12</v>
      </c>
      <c r="V33">
        <v>0</v>
      </c>
      <c r="W33">
        <v>0.57999999999999996</v>
      </c>
      <c r="X33">
        <v>0</v>
      </c>
      <c r="Y33">
        <v>0</v>
      </c>
    </row>
    <row r="34" spans="1:25">
      <c r="A34">
        <v>33</v>
      </c>
      <c r="B34" t="s">
        <v>86</v>
      </c>
      <c r="C34" t="s">
        <v>86</v>
      </c>
      <c r="D34">
        <v>0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86</v>
      </c>
      <c r="C35" t="s">
        <v>86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28</v>
      </c>
      <c r="C36" t="s">
        <v>28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86</v>
      </c>
      <c r="C37" t="s">
        <v>86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78</v>
      </c>
      <c r="C38" t="s">
        <v>78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</v>
      </c>
      <c r="W38">
        <v>0</v>
      </c>
      <c r="X38">
        <v>0</v>
      </c>
      <c r="Y38">
        <v>0</v>
      </c>
    </row>
    <row r="39" spans="1:25">
      <c r="A39">
        <v>38</v>
      </c>
      <c r="B39" t="s">
        <v>86</v>
      </c>
      <c r="C39" t="s">
        <v>86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83</v>
      </c>
      <c r="C40" t="s">
        <v>83</v>
      </c>
      <c r="D40">
        <v>0.01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0.06</v>
      </c>
      <c r="M40">
        <v>0.19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0.12</v>
      </c>
      <c r="V40">
        <v>0</v>
      </c>
      <c r="W40">
        <v>0.62</v>
      </c>
      <c r="X40">
        <v>0</v>
      </c>
      <c r="Y40">
        <v>0</v>
      </c>
    </row>
    <row r="41" spans="1:25">
      <c r="A41">
        <v>40</v>
      </c>
      <c r="B41" t="s">
        <v>99</v>
      </c>
      <c r="C41" t="s">
        <v>99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28</v>
      </c>
      <c r="C42" t="s">
        <v>28</v>
      </c>
      <c r="D42">
        <v>0</v>
      </c>
      <c r="E42">
        <v>0</v>
      </c>
      <c r="F42">
        <v>0</v>
      </c>
      <c r="G42">
        <v>0</v>
      </c>
      <c r="H42">
        <v>0</v>
      </c>
      <c r="I42">
        <v>0.13</v>
      </c>
      <c r="J42">
        <v>0</v>
      </c>
      <c r="K42">
        <v>0.87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56</v>
      </c>
      <c r="C43" t="s">
        <v>56</v>
      </c>
      <c r="D43">
        <v>0</v>
      </c>
      <c r="E43">
        <v>0.02</v>
      </c>
      <c r="F43">
        <v>0</v>
      </c>
      <c r="G43">
        <v>0</v>
      </c>
      <c r="H43">
        <v>0.06</v>
      </c>
      <c r="I43">
        <v>0</v>
      </c>
      <c r="J43">
        <v>0</v>
      </c>
      <c r="K43">
        <v>0</v>
      </c>
      <c r="L43">
        <v>0.74</v>
      </c>
      <c r="M43">
        <v>0.01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0.16</v>
      </c>
      <c r="V43">
        <v>0</v>
      </c>
      <c r="W43">
        <v>0.01</v>
      </c>
      <c r="X43">
        <v>0</v>
      </c>
      <c r="Y43">
        <v>0</v>
      </c>
    </row>
    <row r="44" spans="1:25">
      <c r="A44">
        <v>43</v>
      </c>
      <c r="B44" t="s">
        <v>99</v>
      </c>
      <c r="C44" t="s">
        <v>99</v>
      </c>
      <c r="D44">
        <v>0.94</v>
      </c>
      <c r="E44">
        <v>0</v>
      </c>
      <c r="F44">
        <v>0</v>
      </c>
      <c r="G44">
        <v>0</v>
      </c>
      <c r="H44">
        <v>0</v>
      </c>
      <c r="I44">
        <v>0</v>
      </c>
      <c r="J44">
        <v>0.02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0.03</v>
      </c>
      <c r="V44">
        <v>0</v>
      </c>
      <c r="W44">
        <v>0.01</v>
      </c>
      <c r="X44">
        <v>0</v>
      </c>
      <c r="Y44">
        <v>0</v>
      </c>
    </row>
    <row r="45" spans="1:25">
      <c r="A45">
        <v>44</v>
      </c>
      <c r="B45" t="s">
        <v>66</v>
      </c>
      <c r="C45" t="s">
        <v>66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0.99</v>
      </c>
      <c r="T45">
        <v>0</v>
      </c>
      <c r="U45">
        <v>0</v>
      </c>
      <c r="V45">
        <v>0.01</v>
      </c>
      <c r="W45">
        <v>0</v>
      </c>
      <c r="X45">
        <v>0</v>
      </c>
      <c r="Y45">
        <v>0</v>
      </c>
    </row>
    <row r="46" spans="1:25">
      <c r="A46">
        <v>45</v>
      </c>
      <c r="B46" t="s">
        <v>38</v>
      </c>
      <c r="C46" t="s">
        <v>38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38</v>
      </c>
      <c r="C47" t="s">
        <v>38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38</v>
      </c>
      <c r="C48" t="s">
        <v>38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38</v>
      </c>
      <c r="C49" t="s">
        <v>38</v>
      </c>
      <c r="D49">
        <v>0</v>
      </c>
      <c r="E49">
        <v>0</v>
      </c>
      <c r="F49">
        <v>0</v>
      </c>
      <c r="G49">
        <v>0.67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0.33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38</v>
      </c>
      <c r="C50" t="s">
        <v>38</v>
      </c>
      <c r="D50">
        <v>0</v>
      </c>
      <c r="E50">
        <v>0</v>
      </c>
      <c r="F50">
        <v>0</v>
      </c>
      <c r="G50">
        <v>0.99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0.01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21</v>
      </c>
      <c r="C51" t="s">
        <v>21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0.03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0.97</v>
      </c>
      <c r="Y51">
        <v>0</v>
      </c>
    </row>
    <row r="52" spans="1:25">
      <c r="A52">
        <v>51</v>
      </c>
      <c r="B52" t="s">
        <v>32</v>
      </c>
      <c r="C52" t="s">
        <v>32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28</v>
      </c>
      <c r="C53" t="s">
        <v>28</v>
      </c>
      <c r="D53">
        <v>0</v>
      </c>
      <c r="E53">
        <v>0</v>
      </c>
      <c r="F53">
        <v>0</v>
      </c>
      <c r="G53">
        <v>0</v>
      </c>
      <c r="H53">
        <v>0</v>
      </c>
      <c r="I53">
        <v>0.01</v>
      </c>
      <c r="J53">
        <v>0</v>
      </c>
      <c r="K53">
        <v>0.94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0.05</v>
      </c>
      <c r="Y53">
        <v>0</v>
      </c>
    </row>
    <row r="54" spans="1:25">
      <c r="A54">
        <v>53</v>
      </c>
      <c r="B54" t="s">
        <v>38</v>
      </c>
      <c r="C54" t="s">
        <v>38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38</v>
      </c>
      <c r="C55" t="s">
        <v>38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28</v>
      </c>
      <c r="C56" t="s">
        <v>28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44</v>
      </c>
      <c r="C57" t="s">
        <v>44</v>
      </c>
      <c r="D57">
        <v>0</v>
      </c>
      <c r="E57">
        <v>0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56</v>
      </c>
      <c r="C58" t="s">
        <v>56</v>
      </c>
      <c r="D58">
        <v>0</v>
      </c>
      <c r="E58">
        <v>0.19</v>
      </c>
      <c r="F58">
        <v>0</v>
      </c>
      <c r="G58">
        <v>0</v>
      </c>
      <c r="H58">
        <v>0.05</v>
      </c>
      <c r="I58">
        <v>0</v>
      </c>
      <c r="J58">
        <v>0</v>
      </c>
      <c r="K58">
        <v>0</v>
      </c>
      <c r="L58">
        <v>0.64</v>
      </c>
      <c r="M58">
        <v>0.01</v>
      </c>
      <c r="N58">
        <v>0</v>
      </c>
      <c r="O58">
        <v>0.01</v>
      </c>
      <c r="P58">
        <v>0</v>
      </c>
      <c r="Q58">
        <v>0</v>
      </c>
      <c r="R58">
        <v>0</v>
      </c>
      <c r="S58">
        <v>0</v>
      </c>
      <c r="T58">
        <v>0</v>
      </c>
      <c r="U58">
        <v>0.1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32</v>
      </c>
      <c r="C59" t="s">
        <v>32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38</v>
      </c>
      <c r="C60" t="s">
        <v>38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28</v>
      </c>
      <c r="C61" t="s">
        <v>28</v>
      </c>
      <c r="D61">
        <v>0</v>
      </c>
      <c r="E61">
        <v>0</v>
      </c>
      <c r="F61">
        <v>0</v>
      </c>
      <c r="G61">
        <v>0</v>
      </c>
      <c r="H61">
        <v>0</v>
      </c>
      <c r="I61">
        <v>0.01</v>
      </c>
      <c r="J61">
        <v>0</v>
      </c>
      <c r="K61">
        <v>0.95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0.01</v>
      </c>
      <c r="Y61">
        <v>0.03</v>
      </c>
    </row>
    <row r="62" spans="1:25">
      <c r="A62">
        <v>61</v>
      </c>
      <c r="B62" t="s">
        <v>32</v>
      </c>
      <c r="C62" t="s">
        <v>32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44</v>
      </c>
      <c r="C63" t="s">
        <v>44</v>
      </c>
      <c r="D63">
        <v>0</v>
      </c>
      <c r="E63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44</v>
      </c>
      <c r="C64" t="s">
        <v>44</v>
      </c>
      <c r="D64">
        <v>0</v>
      </c>
      <c r="E64">
        <v>0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38</v>
      </c>
      <c r="C65" t="s">
        <v>38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78</v>
      </c>
      <c r="C66" t="s">
        <v>78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0.06</v>
      </c>
      <c r="T66">
        <v>0</v>
      </c>
      <c r="U66">
        <v>0</v>
      </c>
      <c r="V66">
        <v>0.94</v>
      </c>
      <c r="W66">
        <v>0</v>
      </c>
      <c r="X66">
        <v>0</v>
      </c>
      <c r="Y66">
        <v>0</v>
      </c>
    </row>
    <row r="67" spans="1:25">
      <c r="A67">
        <v>66</v>
      </c>
      <c r="B67" t="s">
        <v>38</v>
      </c>
      <c r="C67" t="s">
        <v>38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28</v>
      </c>
      <c r="C68" t="s">
        <v>28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28</v>
      </c>
      <c r="C69" t="s">
        <v>28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69</v>
      </c>
      <c r="B70" t="s">
        <v>32</v>
      </c>
      <c r="C70" t="s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28</v>
      </c>
      <c r="C71" t="s">
        <v>28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38</v>
      </c>
      <c r="C72" t="s">
        <v>38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86</v>
      </c>
      <c r="C73" t="s">
        <v>86</v>
      </c>
      <c r="D73">
        <v>0</v>
      </c>
      <c r="E73">
        <v>0</v>
      </c>
      <c r="F73">
        <v>0</v>
      </c>
      <c r="G73">
        <v>0</v>
      </c>
      <c r="H73">
        <v>0</v>
      </c>
      <c r="I73">
        <v>0.62</v>
      </c>
      <c r="J73">
        <v>0</v>
      </c>
      <c r="K73">
        <v>0.25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0.01</v>
      </c>
      <c r="Y73">
        <v>0.12</v>
      </c>
    </row>
    <row r="74" spans="1:25">
      <c r="A74">
        <v>73</v>
      </c>
      <c r="B74" t="s">
        <v>86</v>
      </c>
      <c r="C74" t="s">
        <v>86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74</v>
      </c>
      <c r="B75" t="s">
        <v>56</v>
      </c>
      <c r="C75" t="s">
        <v>56</v>
      </c>
      <c r="D75">
        <v>0</v>
      </c>
      <c r="E75">
        <v>0.01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0.64</v>
      </c>
      <c r="M75">
        <v>0.02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0.03</v>
      </c>
      <c r="V75">
        <v>0</v>
      </c>
      <c r="W75">
        <v>0.3</v>
      </c>
      <c r="X75">
        <v>0</v>
      </c>
      <c r="Y75">
        <v>0</v>
      </c>
    </row>
    <row r="76" spans="1:25">
      <c r="A76">
        <v>75</v>
      </c>
      <c r="B76" t="s">
        <v>21</v>
      </c>
      <c r="C76" t="s">
        <v>21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0.06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0.94</v>
      </c>
      <c r="Y76">
        <v>0</v>
      </c>
    </row>
    <row r="77" spans="1:25">
      <c r="A77">
        <v>76</v>
      </c>
      <c r="B77" t="s">
        <v>141</v>
      </c>
      <c r="C77" t="s">
        <v>141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44</v>
      </c>
      <c r="C78" t="s">
        <v>44</v>
      </c>
      <c r="D78">
        <v>0</v>
      </c>
      <c r="E78">
        <v>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32</v>
      </c>
      <c r="C79" t="s">
        <v>32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99</v>
      </c>
      <c r="C80" t="s">
        <v>99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21</v>
      </c>
      <c r="C81" t="s">
        <v>21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</row>
    <row r="82" spans="1:25">
      <c r="A82">
        <v>81</v>
      </c>
      <c r="B82" t="s">
        <v>38</v>
      </c>
      <c r="C82" t="s">
        <v>38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32</v>
      </c>
      <c r="C83" t="s">
        <v>32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86</v>
      </c>
      <c r="C84" t="s">
        <v>86</v>
      </c>
      <c r="D84">
        <v>0</v>
      </c>
      <c r="E84">
        <v>0</v>
      </c>
      <c r="F84">
        <v>0</v>
      </c>
      <c r="G84">
        <v>0</v>
      </c>
      <c r="H84">
        <v>0</v>
      </c>
      <c r="I84">
        <v>0.89</v>
      </c>
      <c r="J84">
        <v>0</v>
      </c>
      <c r="K84">
        <v>0.01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0.1</v>
      </c>
    </row>
    <row r="85" spans="1:25">
      <c r="A85">
        <v>84</v>
      </c>
      <c r="B85" t="s">
        <v>152</v>
      </c>
      <c r="C85" t="s">
        <v>152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0.97</v>
      </c>
      <c r="P85">
        <v>0</v>
      </c>
      <c r="Q85">
        <v>0</v>
      </c>
      <c r="R85">
        <v>0</v>
      </c>
      <c r="S85">
        <v>0</v>
      </c>
      <c r="T85">
        <v>0</v>
      </c>
      <c r="U85">
        <v>0.02</v>
      </c>
      <c r="V85">
        <v>0</v>
      </c>
      <c r="W85">
        <v>0.01</v>
      </c>
      <c r="X85">
        <v>0</v>
      </c>
      <c r="Y85">
        <v>0</v>
      </c>
    </row>
    <row r="86" spans="1:25">
      <c r="A86">
        <v>85</v>
      </c>
      <c r="B86" t="s">
        <v>56</v>
      </c>
      <c r="C86" t="s">
        <v>56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0.52</v>
      </c>
      <c r="M86">
        <v>0.44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0.01</v>
      </c>
      <c r="V86">
        <v>0</v>
      </c>
      <c r="W86">
        <v>0.03</v>
      </c>
      <c r="X86">
        <v>0</v>
      </c>
      <c r="Y86">
        <v>0</v>
      </c>
    </row>
    <row r="87" spans="1:25">
      <c r="A87">
        <v>86</v>
      </c>
      <c r="B87" t="s">
        <v>38</v>
      </c>
      <c r="C87" t="s">
        <v>38</v>
      </c>
      <c r="D87">
        <v>0</v>
      </c>
      <c r="E87">
        <v>0.02</v>
      </c>
      <c r="F87">
        <v>0.01</v>
      </c>
      <c r="G87">
        <v>0.95</v>
      </c>
      <c r="H87">
        <v>0.01</v>
      </c>
      <c r="I87">
        <v>0</v>
      </c>
      <c r="J87">
        <v>0</v>
      </c>
      <c r="K87">
        <v>0</v>
      </c>
      <c r="L87">
        <v>0</v>
      </c>
      <c r="M87">
        <v>0.01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87</v>
      </c>
      <c r="B88" t="s">
        <v>38</v>
      </c>
      <c r="C88" t="s">
        <v>38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21</v>
      </c>
      <c r="C89" t="s">
        <v>21</v>
      </c>
      <c r="D89">
        <v>0</v>
      </c>
      <c r="E89">
        <v>0</v>
      </c>
      <c r="F89">
        <v>0</v>
      </c>
      <c r="G89">
        <v>0</v>
      </c>
      <c r="H89">
        <v>0</v>
      </c>
      <c r="I89">
        <v>0.01</v>
      </c>
      <c r="J89">
        <v>0</v>
      </c>
      <c r="K89">
        <v>0</v>
      </c>
      <c r="L89">
        <v>0</v>
      </c>
      <c r="M89">
        <v>0</v>
      </c>
      <c r="N89">
        <v>0.01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0.98</v>
      </c>
      <c r="Y89">
        <v>0</v>
      </c>
    </row>
    <row r="90" spans="1:25">
      <c r="A90">
        <v>89</v>
      </c>
      <c r="B90" t="s">
        <v>78</v>
      </c>
      <c r="C90" t="s">
        <v>78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0.39</v>
      </c>
      <c r="T90">
        <v>0</v>
      </c>
      <c r="U90">
        <v>0</v>
      </c>
      <c r="V90">
        <v>0.61</v>
      </c>
      <c r="W90">
        <v>0</v>
      </c>
      <c r="X90">
        <v>0</v>
      </c>
      <c r="Y90">
        <v>0</v>
      </c>
    </row>
    <row r="91" spans="1:25">
      <c r="A91">
        <v>90</v>
      </c>
      <c r="B91" t="s">
        <v>32</v>
      </c>
      <c r="C91" t="s">
        <v>32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91</v>
      </c>
      <c r="B92" t="s">
        <v>21</v>
      </c>
      <c r="C92" t="s">
        <v>21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0.18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0.82</v>
      </c>
      <c r="Y92">
        <v>0</v>
      </c>
    </row>
    <row r="93" spans="1:25">
      <c r="A93">
        <v>92</v>
      </c>
      <c r="B93" t="s">
        <v>21</v>
      </c>
      <c r="C93" t="s">
        <v>21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0.05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0.95</v>
      </c>
      <c r="Y93">
        <v>0</v>
      </c>
    </row>
    <row r="94" spans="1:25">
      <c r="A94">
        <v>93</v>
      </c>
      <c r="B94" t="s">
        <v>38</v>
      </c>
      <c r="C94" t="s">
        <v>38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94</v>
      </c>
      <c r="B95" t="s">
        <v>28</v>
      </c>
      <c r="C95" t="s">
        <v>28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167</v>
      </c>
      <c r="C96" t="s">
        <v>167</v>
      </c>
      <c r="D96">
        <v>0</v>
      </c>
      <c r="E96">
        <v>0</v>
      </c>
      <c r="F96">
        <v>0</v>
      </c>
      <c r="G96">
        <v>0.43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0.56999999999999995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38</v>
      </c>
      <c r="C97" t="s">
        <v>38</v>
      </c>
      <c r="D97">
        <v>0</v>
      </c>
      <c r="E97">
        <v>0</v>
      </c>
      <c r="F97">
        <v>0</v>
      </c>
      <c r="G97">
        <v>0.53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0.47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32</v>
      </c>
      <c r="C98" t="s">
        <v>32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38</v>
      </c>
      <c r="C99" t="s">
        <v>38</v>
      </c>
      <c r="D99">
        <v>0</v>
      </c>
      <c r="E99">
        <v>0</v>
      </c>
      <c r="F99">
        <v>0</v>
      </c>
      <c r="G99">
        <v>0.82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0.18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38</v>
      </c>
      <c r="C100" t="s">
        <v>38</v>
      </c>
      <c r="D100">
        <v>0</v>
      </c>
      <c r="E100">
        <v>0</v>
      </c>
      <c r="F100">
        <v>0</v>
      </c>
      <c r="G100">
        <v>0.89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0.11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86</v>
      </c>
      <c r="C101" t="s">
        <v>86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66</v>
      </c>
      <c r="C102" t="s">
        <v>66</v>
      </c>
      <c r="D102">
        <v>0.01</v>
      </c>
      <c r="E102">
        <v>0</v>
      </c>
      <c r="F102">
        <v>0.02</v>
      </c>
      <c r="G102">
        <v>0</v>
      </c>
      <c r="H102">
        <v>0</v>
      </c>
      <c r="I102">
        <v>0</v>
      </c>
      <c r="J102">
        <v>0</v>
      </c>
      <c r="K102">
        <v>0.01</v>
      </c>
      <c r="L102">
        <v>0</v>
      </c>
      <c r="M102">
        <v>0</v>
      </c>
      <c r="N102">
        <v>0</v>
      </c>
      <c r="O102">
        <v>0.03</v>
      </c>
      <c r="P102">
        <v>0</v>
      </c>
      <c r="Q102">
        <v>0</v>
      </c>
      <c r="R102">
        <v>0</v>
      </c>
      <c r="S102">
        <v>0.93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</row>
    <row r="104" spans="1:25">
      <c r="A104">
        <v>103</v>
      </c>
      <c r="B104" t="s">
        <v>38</v>
      </c>
      <c r="C104" t="s">
        <v>38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86</v>
      </c>
      <c r="C105" t="s">
        <v>86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0.98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0.02</v>
      </c>
    </row>
    <row r="106" spans="1:25">
      <c r="A106">
        <v>105</v>
      </c>
      <c r="B106" t="s">
        <v>28</v>
      </c>
      <c r="C106" t="s">
        <v>28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0.1</v>
      </c>
      <c r="J106">
        <v>0</v>
      </c>
      <c r="K106">
        <v>0.66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0.03</v>
      </c>
      <c r="Y106">
        <v>0.21</v>
      </c>
    </row>
    <row r="107" spans="1:25">
      <c r="A107">
        <v>106</v>
      </c>
      <c r="B107" t="s">
        <v>44</v>
      </c>
      <c r="C107" t="s">
        <v>44</v>
      </c>
      <c r="D107">
        <v>0</v>
      </c>
      <c r="E107">
        <v>0</v>
      </c>
      <c r="F107">
        <v>0.99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0.01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107</v>
      </c>
      <c r="B108" t="s">
        <v>44</v>
      </c>
      <c r="C108" t="s">
        <v>44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28</v>
      </c>
      <c r="C109" t="s">
        <v>28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28</v>
      </c>
      <c r="C110" t="s">
        <v>28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78</v>
      </c>
      <c r="C111" t="s">
        <v>78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0.43</v>
      </c>
      <c r="T111">
        <v>0</v>
      </c>
      <c r="U111">
        <v>0</v>
      </c>
      <c r="V111">
        <v>0.56999999999999995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28</v>
      </c>
      <c r="C112" t="s">
        <v>28</v>
      </c>
      <c r="D112">
        <v>0</v>
      </c>
      <c r="E112">
        <v>0</v>
      </c>
      <c r="F112">
        <v>0.01</v>
      </c>
      <c r="G112">
        <v>0</v>
      </c>
      <c r="H112">
        <v>0</v>
      </c>
      <c r="I112">
        <v>0</v>
      </c>
      <c r="J112">
        <v>0</v>
      </c>
      <c r="K112">
        <v>0.82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0.17</v>
      </c>
      <c r="Y112">
        <v>0</v>
      </c>
    </row>
    <row r="113" spans="1:25">
      <c r="A113">
        <v>112</v>
      </c>
      <c r="B113" t="s">
        <v>32</v>
      </c>
      <c r="C113" t="s">
        <v>32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56</v>
      </c>
      <c r="C114" t="s">
        <v>56</v>
      </c>
      <c r="D114">
        <v>0</v>
      </c>
      <c r="E114">
        <v>0.01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0.77</v>
      </c>
      <c r="M114">
        <v>0.18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0.04</v>
      </c>
      <c r="V114">
        <v>0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38</v>
      </c>
      <c r="C115" t="s">
        <v>38</v>
      </c>
      <c r="D115">
        <v>0</v>
      </c>
      <c r="E115">
        <v>0</v>
      </c>
      <c r="F115">
        <v>0</v>
      </c>
      <c r="G115">
        <v>0.93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7.0000000000000007E-2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28</v>
      </c>
      <c r="C116" t="s">
        <v>28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28</v>
      </c>
      <c r="C117" t="s">
        <v>28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38</v>
      </c>
      <c r="C118" t="s">
        <v>38</v>
      </c>
      <c r="D118">
        <v>0</v>
      </c>
      <c r="E118">
        <v>0</v>
      </c>
      <c r="F118">
        <v>0</v>
      </c>
      <c r="G118">
        <v>0.76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0.24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32</v>
      </c>
      <c r="C119" t="s">
        <v>32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28</v>
      </c>
      <c r="C120" t="s">
        <v>28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38</v>
      </c>
      <c r="C121" t="s">
        <v>38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21</v>
      </c>
      <c r="C122" t="s">
        <v>21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0.01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0.99</v>
      </c>
      <c r="Y122">
        <v>0</v>
      </c>
    </row>
    <row r="123" spans="1:25">
      <c r="A123">
        <v>122</v>
      </c>
      <c r="B123" t="s">
        <v>38</v>
      </c>
      <c r="C123" t="s">
        <v>38</v>
      </c>
      <c r="D123">
        <v>0</v>
      </c>
      <c r="E123">
        <v>0</v>
      </c>
      <c r="F123">
        <v>0</v>
      </c>
      <c r="G123">
        <v>0.95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0.05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44</v>
      </c>
      <c r="C124" t="s">
        <v>44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38</v>
      </c>
      <c r="C125" t="s">
        <v>38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28</v>
      </c>
      <c r="C126" t="s">
        <v>28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86</v>
      </c>
      <c r="C127" t="s">
        <v>86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0.96</v>
      </c>
      <c r="J127">
        <v>0</v>
      </c>
      <c r="K127">
        <v>0.04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86</v>
      </c>
      <c r="C128" t="s">
        <v>86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0.99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0.01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128</v>
      </c>
      <c r="B129" t="s">
        <v>141</v>
      </c>
      <c r="C129" t="s">
        <v>141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25</v>
      </c>
      <c r="C130" t="s">
        <v>25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0.1</v>
      </c>
      <c r="J130">
        <v>0</v>
      </c>
      <c r="K130">
        <v>0.06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0.84</v>
      </c>
    </row>
    <row r="131" spans="1:25">
      <c r="A131">
        <v>130</v>
      </c>
      <c r="B131" t="s">
        <v>21</v>
      </c>
      <c r="C131" t="s">
        <v>21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</v>
      </c>
      <c r="Y131">
        <v>0</v>
      </c>
    </row>
    <row r="132" spans="1:25">
      <c r="A132">
        <v>131</v>
      </c>
      <c r="B132" t="s">
        <v>86</v>
      </c>
      <c r="C132" t="s">
        <v>86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152</v>
      </c>
      <c r="C133" t="s">
        <v>152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38</v>
      </c>
      <c r="C134" t="s">
        <v>38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38</v>
      </c>
      <c r="C135" t="s">
        <v>38</v>
      </c>
      <c r="D135">
        <v>0.01</v>
      </c>
      <c r="E135">
        <v>0</v>
      </c>
      <c r="F135">
        <v>0</v>
      </c>
      <c r="G135">
        <v>0.99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141</v>
      </c>
      <c r="C136" t="s">
        <v>141</v>
      </c>
      <c r="D136">
        <v>0.01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0.99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25</v>
      </c>
      <c r="C137" t="s">
        <v>25</v>
      </c>
      <c r="D137">
        <v>0</v>
      </c>
      <c r="E137">
        <v>0</v>
      </c>
      <c r="F137">
        <v>0</v>
      </c>
      <c r="G137">
        <v>0.01</v>
      </c>
      <c r="H137">
        <v>0</v>
      </c>
      <c r="I137">
        <v>0.04</v>
      </c>
      <c r="J137">
        <v>0</v>
      </c>
      <c r="K137">
        <v>0.04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0.91</v>
      </c>
    </row>
    <row r="138" spans="1:25">
      <c r="A138">
        <v>137</v>
      </c>
      <c r="B138" t="s">
        <v>44</v>
      </c>
      <c r="C138" t="s">
        <v>44</v>
      </c>
      <c r="D138">
        <v>0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32</v>
      </c>
      <c r="C139" t="s">
        <v>32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32</v>
      </c>
      <c r="C140" t="s">
        <v>32</v>
      </c>
      <c r="D140">
        <v>0.01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0.99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214</v>
      </c>
      <c r="C141" t="s">
        <v>214</v>
      </c>
      <c r="D141">
        <v>0</v>
      </c>
      <c r="E141">
        <v>0</v>
      </c>
      <c r="F141">
        <v>0</v>
      </c>
      <c r="G141">
        <v>0.01</v>
      </c>
      <c r="H141">
        <v>0.03</v>
      </c>
      <c r="I141">
        <v>0</v>
      </c>
      <c r="J141">
        <v>0.91</v>
      </c>
      <c r="K141">
        <v>0</v>
      </c>
      <c r="L141">
        <v>0</v>
      </c>
      <c r="M141">
        <v>0.03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0.01</v>
      </c>
      <c r="U141">
        <v>0</v>
      </c>
      <c r="V141">
        <v>0</v>
      </c>
      <c r="W141">
        <v>0.01</v>
      </c>
      <c r="X141">
        <v>0</v>
      </c>
      <c r="Y141">
        <v>0</v>
      </c>
    </row>
    <row r="142" spans="1:25">
      <c r="A142">
        <v>141</v>
      </c>
      <c r="B142" t="s">
        <v>141</v>
      </c>
      <c r="C142" t="s">
        <v>141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218</v>
      </c>
      <c r="C143" t="s">
        <v>218</v>
      </c>
      <c r="D143">
        <v>0</v>
      </c>
      <c r="E143">
        <v>0.01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7.0000000000000007E-2</v>
      </c>
      <c r="M143">
        <v>0.66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0.05</v>
      </c>
      <c r="V143">
        <v>0</v>
      </c>
      <c r="W143">
        <v>0.21</v>
      </c>
      <c r="X143">
        <v>0</v>
      </c>
      <c r="Y143">
        <v>0</v>
      </c>
    </row>
    <row r="144" spans="1:25">
      <c r="A144">
        <v>143</v>
      </c>
      <c r="B144" t="s">
        <v>21</v>
      </c>
      <c r="C144" t="s">
        <v>21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0.04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0.96</v>
      </c>
      <c r="Y144">
        <v>0</v>
      </c>
    </row>
    <row r="145" spans="1:25">
      <c r="A145">
        <v>144</v>
      </c>
      <c r="B145" t="s">
        <v>152</v>
      </c>
      <c r="C145" t="s">
        <v>152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0.01</v>
      </c>
      <c r="L145">
        <v>0</v>
      </c>
      <c r="M145">
        <v>0</v>
      </c>
      <c r="N145">
        <v>0</v>
      </c>
      <c r="O145">
        <v>0.99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28</v>
      </c>
      <c r="C146" t="s">
        <v>28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25</v>
      </c>
      <c r="C147" t="s">
        <v>25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0.4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0.6</v>
      </c>
    </row>
    <row r="148" spans="1:25">
      <c r="A148">
        <v>147</v>
      </c>
      <c r="B148" t="s">
        <v>167</v>
      </c>
      <c r="C148" t="s">
        <v>167</v>
      </c>
      <c r="D148">
        <v>0</v>
      </c>
      <c r="E148">
        <v>0</v>
      </c>
      <c r="F148">
        <v>0</v>
      </c>
      <c r="G148">
        <v>0.02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0.98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44</v>
      </c>
      <c r="C149" t="s">
        <v>44</v>
      </c>
      <c r="D149">
        <v>0</v>
      </c>
      <c r="E149">
        <v>0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56</v>
      </c>
      <c r="C150" t="s">
        <v>56</v>
      </c>
      <c r="D150">
        <v>0</v>
      </c>
      <c r="E150">
        <v>0.12</v>
      </c>
      <c r="F150">
        <v>0</v>
      </c>
      <c r="G150">
        <v>0</v>
      </c>
      <c r="H150">
        <v>0.18</v>
      </c>
      <c r="I150">
        <v>0</v>
      </c>
      <c r="J150">
        <v>0</v>
      </c>
      <c r="K150">
        <v>0</v>
      </c>
      <c r="L150">
        <v>0.61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0.09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38</v>
      </c>
      <c r="C151" t="s">
        <v>38</v>
      </c>
      <c r="D151">
        <v>0</v>
      </c>
      <c r="E151">
        <v>0</v>
      </c>
      <c r="F151">
        <v>0</v>
      </c>
      <c r="G151">
        <v>0.89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0.11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38</v>
      </c>
      <c r="C152" t="s">
        <v>38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28</v>
      </c>
      <c r="C153" t="s">
        <v>28</v>
      </c>
      <c r="D153">
        <v>0</v>
      </c>
      <c r="E153">
        <v>0</v>
      </c>
      <c r="F153">
        <v>0.01</v>
      </c>
      <c r="G153">
        <v>0</v>
      </c>
      <c r="H153">
        <v>0</v>
      </c>
      <c r="I153">
        <v>0.01</v>
      </c>
      <c r="J153">
        <v>0</v>
      </c>
      <c r="K153">
        <v>0.91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0.06</v>
      </c>
      <c r="Y153">
        <v>0.01</v>
      </c>
    </row>
    <row r="154" spans="1:25">
      <c r="A154">
        <v>153</v>
      </c>
      <c r="B154" t="s">
        <v>141</v>
      </c>
      <c r="C154" t="s">
        <v>141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0.99</v>
      </c>
      <c r="O154">
        <v>0.01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233</v>
      </c>
      <c r="C155" t="s">
        <v>233</v>
      </c>
      <c r="D155">
        <v>0</v>
      </c>
      <c r="E155">
        <v>0</v>
      </c>
      <c r="F155">
        <v>0.1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0.9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21</v>
      </c>
      <c r="C156" t="s">
        <v>21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0.28999999999999998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0.71</v>
      </c>
      <c r="Y156">
        <v>0</v>
      </c>
    </row>
    <row r="157" spans="1:25">
      <c r="A157">
        <v>156</v>
      </c>
      <c r="B157" t="s">
        <v>32</v>
      </c>
      <c r="C157" t="s">
        <v>32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44</v>
      </c>
      <c r="C158" t="s">
        <v>44</v>
      </c>
      <c r="D158">
        <v>0</v>
      </c>
      <c r="E158">
        <v>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32</v>
      </c>
      <c r="C159" t="s">
        <v>32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141</v>
      </c>
      <c r="C160" t="s">
        <v>141</v>
      </c>
      <c r="D160">
        <v>0</v>
      </c>
      <c r="E160">
        <v>0</v>
      </c>
      <c r="F160">
        <v>0</v>
      </c>
      <c r="G160">
        <v>0.02</v>
      </c>
      <c r="H160">
        <v>0</v>
      </c>
      <c r="I160">
        <v>0.01</v>
      </c>
      <c r="J160">
        <v>0</v>
      </c>
      <c r="K160">
        <v>0</v>
      </c>
      <c r="L160">
        <v>0</v>
      </c>
      <c r="M160">
        <v>0</v>
      </c>
      <c r="N160">
        <v>0.92</v>
      </c>
      <c r="O160">
        <v>0.02</v>
      </c>
      <c r="P160">
        <v>0</v>
      </c>
      <c r="Q160">
        <v>0</v>
      </c>
      <c r="R160">
        <v>0</v>
      </c>
      <c r="S160">
        <v>0</v>
      </c>
      <c r="T160">
        <v>0.01</v>
      </c>
      <c r="U160">
        <v>0</v>
      </c>
      <c r="V160">
        <v>0</v>
      </c>
      <c r="W160">
        <v>0.02</v>
      </c>
      <c r="X160">
        <v>0</v>
      </c>
      <c r="Y160">
        <v>0</v>
      </c>
    </row>
    <row r="161" spans="1:25">
      <c r="A161">
        <v>160</v>
      </c>
      <c r="B161" t="s">
        <v>38</v>
      </c>
      <c r="C161" t="s">
        <v>38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38</v>
      </c>
      <c r="C162" t="s">
        <v>38</v>
      </c>
      <c r="D162">
        <v>0</v>
      </c>
      <c r="E162">
        <v>0</v>
      </c>
      <c r="F162">
        <v>0</v>
      </c>
      <c r="G162">
        <v>0.79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0.21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56</v>
      </c>
      <c r="C163" t="s">
        <v>56</v>
      </c>
      <c r="D163">
        <v>0</v>
      </c>
      <c r="E163">
        <v>0.04</v>
      </c>
      <c r="F163">
        <v>0</v>
      </c>
      <c r="G163">
        <v>0</v>
      </c>
      <c r="H163">
        <v>0.02</v>
      </c>
      <c r="I163">
        <v>0</v>
      </c>
      <c r="J163">
        <v>0</v>
      </c>
      <c r="K163">
        <v>0</v>
      </c>
      <c r="L163">
        <v>0.87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0.06</v>
      </c>
      <c r="V163">
        <v>0</v>
      </c>
      <c r="W163">
        <v>0.01</v>
      </c>
      <c r="X163">
        <v>0</v>
      </c>
      <c r="Y163">
        <v>0</v>
      </c>
    </row>
    <row r="164" spans="1:25">
      <c r="A164">
        <v>163</v>
      </c>
      <c r="B164" t="s">
        <v>38</v>
      </c>
      <c r="C164" t="s">
        <v>38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56</v>
      </c>
      <c r="C165" t="s">
        <v>56</v>
      </c>
      <c r="D165">
        <v>0</v>
      </c>
      <c r="E165">
        <v>0.04</v>
      </c>
      <c r="F165">
        <v>0</v>
      </c>
      <c r="G165">
        <v>0</v>
      </c>
      <c r="H165">
        <v>0.21</v>
      </c>
      <c r="I165">
        <v>0</v>
      </c>
      <c r="J165">
        <v>0</v>
      </c>
      <c r="K165">
        <v>0</v>
      </c>
      <c r="L165">
        <v>0.63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0.09</v>
      </c>
      <c r="V165">
        <v>0</v>
      </c>
      <c r="W165">
        <v>0.03</v>
      </c>
      <c r="X165">
        <v>0</v>
      </c>
      <c r="Y165">
        <v>0</v>
      </c>
    </row>
    <row r="166" spans="1:25">
      <c r="A166">
        <v>165</v>
      </c>
      <c r="B166" t="s">
        <v>38</v>
      </c>
      <c r="C166" t="s">
        <v>38</v>
      </c>
      <c r="D166">
        <v>0</v>
      </c>
      <c r="E166">
        <v>0</v>
      </c>
      <c r="F166">
        <v>0</v>
      </c>
      <c r="G166">
        <v>0.95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0.05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86</v>
      </c>
      <c r="C167" t="s">
        <v>86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0.7</v>
      </c>
      <c r="J167">
        <v>0</v>
      </c>
      <c r="K167">
        <v>0.15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0.02</v>
      </c>
      <c r="Y167">
        <v>0.13</v>
      </c>
    </row>
    <row r="168" spans="1:25">
      <c r="A168">
        <v>167</v>
      </c>
      <c r="B168" t="s">
        <v>28</v>
      </c>
      <c r="C168" t="s">
        <v>28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86</v>
      </c>
      <c r="C169" t="s">
        <v>86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0.84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0.16</v>
      </c>
    </row>
    <row r="170" spans="1:25">
      <c r="A170">
        <v>169</v>
      </c>
      <c r="B170" t="s">
        <v>141</v>
      </c>
      <c r="C170" t="s">
        <v>141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0.99</v>
      </c>
      <c r="O170">
        <v>0.01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44</v>
      </c>
      <c r="C171" t="s">
        <v>44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28</v>
      </c>
      <c r="C172" t="s">
        <v>28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0.74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0.26</v>
      </c>
      <c r="Y172">
        <v>0</v>
      </c>
    </row>
    <row r="173" spans="1:25">
      <c r="A173">
        <v>172</v>
      </c>
      <c r="B173" t="s">
        <v>38</v>
      </c>
      <c r="C173" t="s">
        <v>38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32</v>
      </c>
      <c r="C174" t="s">
        <v>32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28</v>
      </c>
      <c r="C175" t="s">
        <v>28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44</v>
      </c>
      <c r="C176" t="s">
        <v>44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>
      <c r="A177">
        <v>176</v>
      </c>
      <c r="B177" t="s">
        <v>141</v>
      </c>
      <c r="C177" t="s">
        <v>141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28</v>
      </c>
      <c r="C178" t="s">
        <v>28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44</v>
      </c>
      <c r="C179" t="s">
        <v>44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218</v>
      </c>
      <c r="C180" t="s">
        <v>218</v>
      </c>
      <c r="D180">
        <v>0</v>
      </c>
      <c r="E180">
        <v>0.1</v>
      </c>
      <c r="F180">
        <v>0</v>
      </c>
      <c r="G180">
        <v>0</v>
      </c>
      <c r="H180">
        <v>0.01</v>
      </c>
      <c r="I180">
        <v>0</v>
      </c>
      <c r="J180">
        <v>0</v>
      </c>
      <c r="K180">
        <v>0</v>
      </c>
      <c r="L180">
        <v>0.01</v>
      </c>
      <c r="M180">
        <v>0.8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0.06</v>
      </c>
      <c r="V180">
        <v>0</v>
      </c>
      <c r="W180">
        <v>0.02</v>
      </c>
      <c r="X180">
        <v>0</v>
      </c>
      <c r="Y180">
        <v>0</v>
      </c>
    </row>
    <row r="181" spans="1:25">
      <c r="A181">
        <v>180</v>
      </c>
      <c r="B181" t="s">
        <v>38</v>
      </c>
      <c r="C181" t="s">
        <v>38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38</v>
      </c>
      <c r="C182" t="s">
        <v>38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0.05</v>
      </c>
      <c r="J183">
        <v>0</v>
      </c>
      <c r="K183">
        <v>0.1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0.7</v>
      </c>
      <c r="Y183">
        <v>0.15</v>
      </c>
    </row>
    <row r="184" spans="1:25">
      <c r="A184">
        <v>183</v>
      </c>
      <c r="B184" t="s">
        <v>152</v>
      </c>
      <c r="C184" t="s">
        <v>152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28</v>
      </c>
      <c r="C185" t="s">
        <v>28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38</v>
      </c>
      <c r="C186" t="s">
        <v>38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28</v>
      </c>
      <c r="C187" t="s">
        <v>28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38</v>
      </c>
      <c r="C188" t="s">
        <v>38</v>
      </c>
      <c r="D188">
        <v>0</v>
      </c>
      <c r="E188">
        <v>0</v>
      </c>
      <c r="F188">
        <v>0</v>
      </c>
      <c r="G188">
        <v>0.99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0.01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78</v>
      </c>
      <c r="C189" t="s">
        <v>78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0.08</v>
      </c>
      <c r="T189">
        <v>0</v>
      </c>
      <c r="U189">
        <v>0</v>
      </c>
      <c r="V189">
        <v>0.92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44</v>
      </c>
      <c r="C190" t="s">
        <v>44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32</v>
      </c>
      <c r="C191" t="s">
        <v>32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38</v>
      </c>
      <c r="C192" t="s">
        <v>38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44</v>
      </c>
      <c r="C193" t="s">
        <v>44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141</v>
      </c>
      <c r="C194" t="s">
        <v>141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28</v>
      </c>
      <c r="C195" t="s">
        <v>28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141</v>
      </c>
      <c r="C196" t="s">
        <v>141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>
      <c r="A197">
        <v>196</v>
      </c>
      <c r="B197" t="s">
        <v>38</v>
      </c>
      <c r="C197" t="s">
        <v>38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>
      <c r="A198">
        <v>197</v>
      </c>
      <c r="B198" t="s">
        <v>167</v>
      </c>
      <c r="C198" t="s">
        <v>167</v>
      </c>
      <c r="D198">
        <v>0</v>
      </c>
      <c r="E198">
        <v>0</v>
      </c>
      <c r="F198">
        <v>0</v>
      </c>
      <c r="G198">
        <v>0.09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0.91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28</v>
      </c>
      <c r="C199" t="s">
        <v>28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38</v>
      </c>
      <c r="C200" t="s">
        <v>38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218</v>
      </c>
      <c r="C201" t="s">
        <v>218</v>
      </c>
      <c r="D201">
        <v>0</v>
      </c>
      <c r="E201">
        <v>0.12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0.87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0.01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38</v>
      </c>
      <c r="C202" t="s">
        <v>38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38</v>
      </c>
      <c r="C203" t="s">
        <v>38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>
      <c r="A204">
        <v>203</v>
      </c>
      <c r="B204" t="s">
        <v>233</v>
      </c>
      <c r="C204" t="s">
        <v>233</v>
      </c>
      <c r="D204">
        <v>0</v>
      </c>
      <c r="E204">
        <v>0</v>
      </c>
      <c r="F204">
        <v>0.02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0.98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38</v>
      </c>
      <c r="C205" t="s">
        <v>38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28</v>
      </c>
      <c r="C206" t="s">
        <v>28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86</v>
      </c>
      <c r="C207" t="s">
        <v>86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0.71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0.28999999999999998</v>
      </c>
    </row>
    <row r="208" spans="1:25">
      <c r="A208">
        <v>207</v>
      </c>
      <c r="B208" t="s">
        <v>38</v>
      </c>
      <c r="C208" t="s">
        <v>38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28</v>
      </c>
      <c r="C209" t="s">
        <v>28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66</v>
      </c>
      <c r="C210" t="s">
        <v>66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0.97</v>
      </c>
      <c r="T210">
        <v>0</v>
      </c>
      <c r="U210">
        <v>0</v>
      </c>
      <c r="V210">
        <v>0.03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78</v>
      </c>
      <c r="C211" t="s">
        <v>78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0.18</v>
      </c>
      <c r="T211">
        <v>0</v>
      </c>
      <c r="U211">
        <v>0</v>
      </c>
      <c r="V211">
        <v>0.82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66</v>
      </c>
      <c r="C212" t="s">
        <v>66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0.71</v>
      </c>
      <c r="T212">
        <v>0</v>
      </c>
      <c r="U212">
        <v>0</v>
      </c>
      <c r="V212">
        <v>0.28999999999999998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86</v>
      </c>
      <c r="C213" t="s">
        <v>86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0.96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0.04</v>
      </c>
    </row>
    <row r="214" spans="1:25">
      <c r="A214">
        <v>213</v>
      </c>
      <c r="B214" t="s">
        <v>86</v>
      </c>
      <c r="C214" t="s">
        <v>86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38</v>
      </c>
      <c r="C215" t="s">
        <v>38</v>
      </c>
      <c r="D215">
        <v>0</v>
      </c>
      <c r="E215">
        <v>0</v>
      </c>
      <c r="F215">
        <v>0</v>
      </c>
      <c r="G215">
        <v>0.95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0.05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21</v>
      </c>
      <c r="C216" t="s">
        <v>21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0.01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0.99</v>
      </c>
      <c r="Y216">
        <v>0</v>
      </c>
    </row>
    <row r="217" spans="1:25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</row>
    <row r="218" spans="1:25">
      <c r="A218">
        <v>217</v>
      </c>
      <c r="B218" t="s">
        <v>233</v>
      </c>
      <c r="C218" t="s">
        <v>233</v>
      </c>
      <c r="D218">
        <v>0</v>
      </c>
      <c r="E218">
        <v>0</v>
      </c>
      <c r="F218">
        <v>0.13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0.87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28</v>
      </c>
      <c r="C219" t="s">
        <v>28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66</v>
      </c>
      <c r="C220" t="s">
        <v>66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0.98</v>
      </c>
      <c r="T220">
        <v>0</v>
      </c>
      <c r="U220">
        <v>0</v>
      </c>
      <c r="V220">
        <v>0.02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167</v>
      </c>
      <c r="C221" t="s">
        <v>167</v>
      </c>
      <c r="D221">
        <v>0</v>
      </c>
      <c r="E221">
        <v>0</v>
      </c>
      <c r="F221">
        <v>0</v>
      </c>
      <c r="G221">
        <v>0.31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0.69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28</v>
      </c>
      <c r="C222" t="s">
        <v>28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86</v>
      </c>
      <c r="C223" t="s">
        <v>86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28</v>
      </c>
      <c r="C224" t="s">
        <v>28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32</v>
      </c>
      <c r="C225" t="s">
        <v>32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38</v>
      </c>
      <c r="C226" t="s">
        <v>38</v>
      </c>
      <c r="D226">
        <v>0</v>
      </c>
      <c r="E226">
        <v>0</v>
      </c>
      <c r="F226">
        <v>0</v>
      </c>
      <c r="G226">
        <v>0.92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0.08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38</v>
      </c>
      <c r="C227" t="s">
        <v>38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25</v>
      </c>
      <c r="C228" t="s">
        <v>25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0.03</v>
      </c>
      <c r="J228">
        <v>0</v>
      </c>
      <c r="K228">
        <v>0.03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0.94</v>
      </c>
    </row>
    <row r="229" spans="1:25">
      <c r="A229">
        <v>228</v>
      </c>
      <c r="B229" t="s">
        <v>38</v>
      </c>
      <c r="C229" t="s">
        <v>38</v>
      </c>
      <c r="D229">
        <v>0</v>
      </c>
      <c r="E229">
        <v>0</v>
      </c>
      <c r="F229">
        <v>0</v>
      </c>
      <c r="G229">
        <v>0.87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0.13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21</v>
      </c>
      <c r="C230" t="s">
        <v>21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</row>
    <row r="231" spans="1:25">
      <c r="A231">
        <v>230</v>
      </c>
      <c r="B231" t="s">
        <v>44</v>
      </c>
      <c r="C231" t="s">
        <v>44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>
      <c r="A232">
        <v>231</v>
      </c>
      <c r="B232" t="s">
        <v>28</v>
      </c>
      <c r="C232" t="s">
        <v>28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0.98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0.02</v>
      </c>
      <c r="Y232">
        <v>0</v>
      </c>
    </row>
    <row r="233" spans="1:25">
      <c r="A233">
        <v>232</v>
      </c>
      <c r="B233" t="s">
        <v>66</v>
      </c>
      <c r="C233" t="s">
        <v>66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152</v>
      </c>
      <c r="C234" t="s">
        <v>152</v>
      </c>
      <c r="D234">
        <v>0</v>
      </c>
      <c r="E234">
        <v>0.01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0.99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>
      <c r="A235">
        <v>234</v>
      </c>
      <c r="B235" t="s">
        <v>66</v>
      </c>
      <c r="C235" t="s">
        <v>66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0.87</v>
      </c>
      <c r="T235">
        <v>0</v>
      </c>
      <c r="U235">
        <v>0</v>
      </c>
      <c r="V235">
        <v>0.13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32</v>
      </c>
      <c r="C236" t="s">
        <v>32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25</v>
      </c>
      <c r="C237" t="s">
        <v>25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0.36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0.64</v>
      </c>
    </row>
    <row r="238" spans="1:25">
      <c r="A238">
        <v>237</v>
      </c>
      <c r="B238" t="s">
        <v>28</v>
      </c>
      <c r="C238" t="s">
        <v>28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>
      <c r="A239">
        <v>238</v>
      </c>
      <c r="B239" t="s">
        <v>32</v>
      </c>
      <c r="C239" t="s">
        <v>32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21</v>
      </c>
      <c r="C240" t="s">
        <v>21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0</v>
      </c>
    </row>
    <row r="241" spans="1:25">
      <c r="A241">
        <v>240</v>
      </c>
      <c r="B241" t="s">
        <v>28</v>
      </c>
      <c r="C241" t="s">
        <v>28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0.01</v>
      </c>
      <c r="J241">
        <v>0</v>
      </c>
      <c r="K241">
        <v>0.99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86</v>
      </c>
      <c r="C242" t="s">
        <v>86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0.93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7.0000000000000007E-2</v>
      </c>
    </row>
    <row r="243" spans="1:25">
      <c r="A243">
        <v>242</v>
      </c>
      <c r="B243" t="s">
        <v>141</v>
      </c>
      <c r="C243" t="s">
        <v>141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78</v>
      </c>
      <c r="C244" t="s">
        <v>78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0.03</v>
      </c>
      <c r="T244">
        <v>0</v>
      </c>
      <c r="U244">
        <v>0</v>
      </c>
      <c r="V244">
        <v>0.97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56</v>
      </c>
      <c r="C245" t="s">
        <v>56</v>
      </c>
      <c r="D245">
        <v>0</v>
      </c>
      <c r="E245">
        <v>0.11</v>
      </c>
      <c r="F245">
        <v>0</v>
      </c>
      <c r="G245">
        <v>0</v>
      </c>
      <c r="H245">
        <v>0.15</v>
      </c>
      <c r="I245">
        <v>0</v>
      </c>
      <c r="J245">
        <v>0</v>
      </c>
      <c r="K245">
        <v>0</v>
      </c>
      <c r="L245">
        <v>0.64</v>
      </c>
      <c r="M245">
        <v>0.03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0.05</v>
      </c>
      <c r="V245">
        <v>0</v>
      </c>
      <c r="W245">
        <v>0.02</v>
      </c>
      <c r="X245">
        <v>0</v>
      </c>
      <c r="Y245">
        <v>0</v>
      </c>
    </row>
    <row r="246" spans="1:25">
      <c r="A246">
        <v>245</v>
      </c>
      <c r="B246" t="s">
        <v>21</v>
      </c>
      <c r="C246" t="s">
        <v>21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0.03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0.97</v>
      </c>
      <c r="Y246">
        <v>0</v>
      </c>
    </row>
    <row r="247" spans="1:25">
      <c r="A247">
        <v>246</v>
      </c>
      <c r="B247" t="s">
        <v>56</v>
      </c>
      <c r="C247" t="s">
        <v>56</v>
      </c>
      <c r="D247">
        <v>0</v>
      </c>
      <c r="E247">
        <v>0.04</v>
      </c>
      <c r="F247">
        <v>0</v>
      </c>
      <c r="G247">
        <v>0</v>
      </c>
      <c r="H247">
        <v>0.01</v>
      </c>
      <c r="I247">
        <v>0</v>
      </c>
      <c r="J247">
        <v>0</v>
      </c>
      <c r="K247">
        <v>0</v>
      </c>
      <c r="L247">
        <v>0.53</v>
      </c>
      <c r="M247">
        <v>0.19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0.21</v>
      </c>
      <c r="V247">
        <v>0</v>
      </c>
      <c r="W247">
        <v>0.02</v>
      </c>
      <c r="X247">
        <v>0</v>
      </c>
      <c r="Y247">
        <v>0</v>
      </c>
    </row>
    <row r="248" spans="1:25">
      <c r="A248">
        <v>247</v>
      </c>
      <c r="B248" t="s">
        <v>56</v>
      </c>
      <c r="C248" t="s">
        <v>56</v>
      </c>
      <c r="D248">
        <v>0</v>
      </c>
      <c r="E248">
        <v>0</v>
      </c>
      <c r="F248">
        <v>0</v>
      </c>
      <c r="G248">
        <v>0</v>
      </c>
      <c r="H248">
        <v>0.01</v>
      </c>
      <c r="I248">
        <v>0</v>
      </c>
      <c r="J248">
        <v>0</v>
      </c>
      <c r="K248">
        <v>0</v>
      </c>
      <c r="L248">
        <v>0.79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0.13</v>
      </c>
      <c r="V248">
        <v>0</v>
      </c>
      <c r="W248">
        <v>7.0000000000000007E-2</v>
      </c>
      <c r="X248">
        <v>0</v>
      </c>
      <c r="Y248">
        <v>0</v>
      </c>
    </row>
    <row r="249" spans="1:25">
      <c r="A249">
        <v>248</v>
      </c>
      <c r="B249" t="s">
        <v>66</v>
      </c>
      <c r="C249" t="s">
        <v>66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0.95</v>
      </c>
      <c r="T249">
        <v>0</v>
      </c>
      <c r="U249">
        <v>0</v>
      </c>
      <c r="V249">
        <v>0.05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44</v>
      </c>
      <c r="C250" t="s">
        <v>44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32</v>
      </c>
      <c r="C251" t="s">
        <v>32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86</v>
      </c>
      <c r="C252" t="s">
        <v>86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0.98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0.02</v>
      </c>
    </row>
    <row r="253" spans="1:25">
      <c r="A253">
        <v>252</v>
      </c>
      <c r="B253" t="s">
        <v>66</v>
      </c>
      <c r="C253" t="s">
        <v>66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0.83</v>
      </c>
      <c r="T253">
        <v>0</v>
      </c>
      <c r="U253">
        <v>0</v>
      </c>
      <c r="V253">
        <v>0.17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38</v>
      </c>
      <c r="C254" t="s">
        <v>38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38</v>
      </c>
      <c r="C255" t="s">
        <v>38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38</v>
      </c>
      <c r="C256" t="s">
        <v>38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66</v>
      </c>
      <c r="C257" t="s">
        <v>66</v>
      </c>
      <c r="D257">
        <v>0</v>
      </c>
      <c r="E257">
        <v>0</v>
      </c>
      <c r="F257">
        <v>0.03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0.96</v>
      </c>
      <c r="T257">
        <v>0</v>
      </c>
      <c r="U257">
        <v>0</v>
      </c>
      <c r="V257">
        <v>0.01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28</v>
      </c>
      <c r="C258" t="s">
        <v>28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21</v>
      </c>
      <c r="C259" t="s">
        <v>21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</row>
    <row r="260" spans="1:25">
      <c r="A260">
        <v>259</v>
      </c>
      <c r="B260" t="s">
        <v>38</v>
      </c>
      <c r="C260" t="s">
        <v>38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56</v>
      </c>
      <c r="C261" t="s">
        <v>56</v>
      </c>
      <c r="D261">
        <v>0</v>
      </c>
      <c r="E261">
        <v>0.04</v>
      </c>
      <c r="F261">
        <v>0</v>
      </c>
      <c r="G261">
        <v>0</v>
      </c>
      <c r="H261">
        <v>0.06</v>
      </c>
      <c r="I261">
        <v>0</v>
      </c>
      <c r="J261">
        <v>0</v>
      </c>
      <c r="K261">
        <v>0</v>
      </c>
      <c r="L261">
        <v>0.85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0.03</v>
      </c>
      <c r="V261">
        <v>0</v>
      </c>
      <c r="W261">
        <v>0.02</v>
      </c>
      <c r="X261">
        <v>0</v>
      </c>
      <c r="Y261">
        <v>0</v>
      </c>
    </row>
    <row r="262" spans="1:25">
      <c r="A262">
        <v>261</v>
      </c>
      <c r="B262" t="s">
        <v>141</v>
      </c>
      <c r="C262" t="s">
        <v>141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28</v>
      </c>
      <c r="C263" t="s">
        <v>28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86</v>
      </c>
      <c r="C264" t="s">
        <v>86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21</v>
      </c>
      <c r="C265" t="s">
        <v>21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</row>
    <row r="266" spans="1:25">
      <c r="A266">
        <v>265</v>
      </c>
      <c r="B266" t="s">
        <v>25</v>
      </c>
      <c r="C266" t="s">
        <v>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0.02</v>
      </c>
      <c r="J266">
        <v>0</v>
      </c>
      <c r="K266">
        <v>0.03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0.95</v>
      </c>
    </row>
    <row r="267" spans="1:25">
      <c r="A267">
        <v>266</v>
      </c>
      <c r="B267" t="s">
        <v>32</v>
      </c>
      <c r="C267" t="s">
        <v>32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32</v>
      </c>
      <c r="C268" t="s">
        <v>32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32</v>
      </c>
      <c r="C269" t="s">
        <v>32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86</v>
      </c>
      <c r="C270" t="s">
        <v>86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0.69</v>
      </c>
      <c r="J270">
        <v>0</v>
      </c>
      <c r="K270">
        <v>0.01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0.3</v>
      </c>
      <c r="Y270">
        <v>0</v>
      </c>
    </row>
    <row r="271" spans="1:25">
      <c r="A271">
        <v>270</v>
      </c>
      <c r="B271" t="s">
        <v>332</v>
      </c>
      <c r="C271" t="s">
        <v>332</v>
      </c>
      <c r="D271">
        <v>0</v>
      </c>
      <c r="E271">
        <v>7.0000000000000007E-2</v>
      </c>
      <c r="F271">
        <v>0</v>
      </c>
      <c r="G271">
        <v>0</v>
      </c>
      <c r="H271">
        <v>0.61</v>
      </c>
      <c r="I271">
        <v>0</v>
      </c>
      <c r="J271">
        <v>0</v>
      </c>
      <c r="K271">
        <v>0</v>
      </c>
      <c r="L271">
        <v>0.17</v>
      </c>
      <c r="M271">
        <v>0.01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0.14000000000000001</v>
      </c>
      <c r="V271">
        <v>0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28</v>
      </c>
      <c r="C272" t="s">
        <v>28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32</v>
      </c>
      <c r="C273" t="s">
        <v>32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86</v>
      </c>
      <c r="C274" t="s">
        <v>86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0.99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0.01</v>
      </c>
    </row>
    <row r="275" spans="1:25">
      <c r="A275">
        <v>274</v>
      </c>
      <c r="B275" t="s">
        <v>32</v>
      </c>
      <c r="C275" t="s">
        <v>32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21</v>
      </c>
      <c r="C276" t="s">
        <v>21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0.02</v>
      </c>
      <c r="J276">
        <v>0</v>
      </c>
      <c r="K276">
        <v>0.02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0.96</v>
      </c>
      <c r="Y276">
        <v>0</v>
      </c>
    </row>
    <row r="277" spans="1:25">
      <c r="A277">
        <v>276</v>
      </c>
      <c r="B277" t="s">
        <v>66</v>
      </c>
      <c r="C277" t="s">
        <v>66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78</v>
      </c>
      <c r="C278" t="s">
        <v>78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0.09</v>
      </c>
      <c r="T278">
        <v>0</v>
      </c>
      <c r="U278">
        <v>0</v>
      </c>
      <c r="V278">
        <v>0.91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28</v>
      </c>
      <c r="C279" t="s">
        <v>28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38</v>
      </c>
      <c r="C280" t="s">
        <v>38</v>
      </c>
      <c r="D280">
        <v>0</v>
      </c>
      <c r="E280">
        <v>0</v>
      </c>
      <c r="F280">
        <v>0</v>
      </c>
      <c r="G280">
        <v>0.9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0.1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38</v>
      </c>
      <c r="C281" t="s">
        <v>38</v>
      </c>
      <c r="D281">
        <v>0</v>
      </c>
      <c r="E281">
        <v>0</v>
      </c>
      <c r="F281">
        <v>0</v>
      </c>
      <c r="G281">
        <v>0.94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0.06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38</v>
      </c>
      <c r="C282" t="s">
        <v>38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44</v>
      </c>
      <c r="C283" t="s">
        <v>44</v>
      </c>
      <c r="D283">
        <v>0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152</v>
      </c>
      <c r="C284" t="s">
        <v>152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218</v>
      </c>
      <c r="C285" t="s">
        <v>218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0.03</v>
      </c>
      <c r="M285">
        <v>0.94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0.03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32</v>
      </c>
      <c r="C286" t="s">
        <v>32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44</v>
      </c>
      <c r="C287" t="s">
        <v>44</v>
      </c>
      <c r="D287">
        <v>0</v>
      </c>
      <c r="E287">
        <v>0</v>
      </c>
      <c r="F287">
        <v>0.87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0.13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21</v>
      </c>
      <c r="C288" t="s">
        <v>21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0.03</v>
      </c>
      <c r="J288">
        <v>0</v>
      </c>
      <c r="K288">
        <v>0.11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0.86</v>
      </c>
      <c r="Y288">
        <v>0</v>
      </c>
    </row>
    <row r="289" spans="1:25">
      <c r="A289">
        <v>288</v>
      </c>
      <c r="B289" t="s">
        <v>38</v>
      </c>
      <c r="C289" t="s">
        <v>38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38</v>
      </c>
      <c r="C290" t="s">
        <v>38</v>
      </c>
      <c r="D290">
        <v>0</v>
      </c>
      <c r="E290">
        <v>0</v>
      </c>
      <c r="F290">
        <v>0</v>
      </c>
      <c r="G290">
        <v>0.9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0.1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28</v>
      </c>
      <c r="C291" t="s">
        <v>28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353</v>
      </c>
      <c r="C292" t="s">
        <v>353</v>
      </c>
      <c r="D292">
        <v>0</v>
      </c>
      <c r="E292">
        <v>0.57999999999999996</v>
      </c>
      <c r="F292">
        <v>0</v>
      </c>
      <c r="G292">
        <v>0</v>
      </c>
      <c r="H292">
        <v>0.04</v>
      </c>
      <c r="I292">
        <v>0</v>
      </c>
      <c r="J292">
        <v>0</v>
      </c>
      <c r="K292">
        <v>0</v>
      </c>
      <c r="L292">
        <v>0.19</v>
      </c>
      <c r="M292">
        <v>0.06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0.11</v>
      </c>
      <c r="V292">
        <v>0</v>
      </c>
      <c r="W292">
        <v>0.02</v>
      </c>
      <c r="X292">
        <v>0</v>
      </c>
      <c r="Y292">
        <v>0</v>
      </c>
    </row>
    <row r="293" spans="1:25">
      <c r="A293">
        <v>292</v>
      </c>
      <c r="B293" t="s">
        <v>28</v>
      </c>
      <c r="C293" t="s">
        <v>28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86</v>
      </c>
      <c r="C294" t="s">
        <v>86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38</v>
      </c>
      <c r="C295" t="s">
        <v>38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>
      <c r="A296">
        <v>295</v>
      </c>
      <c r="B296" t="s">
        <v>28</v>
      </c>
      <c r="C296" t="s">
        <v>28</v>
      </c>
      <c r="D296">
        <v>0</v>
      </c>
      <c r="E296">
        <v>0</v>
      </c>
      <c r="F296">
        <v>0.01</v>
      </c>
      <c r="G296">
        <v>0</v>
      </c>
      <c r="H296">
        <v>0</v>
      </c>
      <c r="I296">
        <v>0</v>
      </c>
      <c r="J296">
        <v>0</v>
      </c>
      <c r="K296">
        <v>0.67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0.32</v>
      </c>
      <c r="Y296">
        <v>0</v>
      </c>
    </row>
    <row r="297" spans="1:25">
      <c r="A297">
        <v>296</v>
      </c>
      <c r="B297" t="s">
        <v>28</v>
      </c>
      <c r="C297" t="s">
        <v>28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44</v>
      </c>
      <c r="C298" t="s">
        <v>44</v>
      </c>
      <c r="D298">
        <v>0</v>
      </c>
      <c r="E298">
        <v>0</v>
      </c>
      <c r="F298">
        <v>0.97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0.03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44</v>
      </c>
      <c r="C299" t="s">
        <v>44</v>
      </c>
      <c r="D299">
        <v>0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21</v>
      </c>
      <c r="C300" t="s">
        <v>28</v>
      </c>
      <c r="D300">
        <v>0</v>
      </c>
      <c r="E300">
        <v>0</v>
      </c>
      <c r="F300">
        <v>0.01</v>
      </c>
      <c r="G300">
        <v>0</v>
      </c>
      <c r="H300">
        <v>0</v>
      </c>
      <c r="I300">
        <v>0</v>
      </c>
      <c r="J300">
        <v>0</v>
      </c>
      <c r="K300">
        <v>0.52</v>
      </c>
      <c r="L300">
        <v>0</v>
      </c>
      <c r="M300">
        <v>0</v>
      </c>
      <c r="N300">
        <v>0.01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0.46</v>
      </c>
      <c r="Y300">
        <v>0</v>
      </c>
    </row>
    <row r="301" spans="1:25">
      <c r="A301">
        <v>300</v>
      </c>
      <c r="B301" t="s">
        <v>32</v>
      </c>
      <c r="C301" t="s">
        <v>32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1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32</v>
      </c>
      <c r="C302" t="s">
        <v>32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1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86</v>
      </c>
      <c r="C303" t="s">
        <v>86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1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>
      <c r="A304">
        <v>303</v>
      </c>
      <c r="B304" t="s">
        <v>21</v>
      </c>
      <c r="C304" t="s">
        <v>21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0.02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0.98</v>
      </c>
      <c r="Y304">
        <v>0</v>
      </c>
    </row>
    <row r="305" spans="1:25">
      <c r="A305">
        <v>304</v>
      </c>
      <c r="B305" t="s">
        <v>353</v>
      </c>
      <c r="C305" t="s">
        <v>353</v>
      </c>
      <c r="D305">
        <v>0</v>
      </c>
      <c r="E305">
        <v>0.73</v>
      </c>
      <c r="F305">
        <v>0.01</v>
      </c>
      <c r="G305">
        <v>0</v>
      </c>
      <c r="H305">
        <v>0.06</v>
      </c>
      <c r="I305">
        <v>0.01</v>
      </c>
      <c r="J305">
        <v>0</v>
      </c>
      <c r="K305">
        <v>0</v>
      </c>
      <c r="L305">
        <v>0</v>
      </c>
      <c r="M305">
        <v>0.1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0.01</v>
      </c>
      <c r="T305">
        <v>0</v>
      </c>
      <c r="U305">
        <v>0</v>
      </c>
      <c r="V305">
        <v>0</v>
      </c>
      <c r="W305">
        <v>0.08</v>
      </c>
      <c r="X305">
        <v>0</v>
      </c>
      <c r="Y305">
        <v>0</v>
      </c>
    </row>
    <row r="306" spans="1:25">
      <c r="A306">
        <v>305</v>
      </c>
      <c r="B306" t="s">
        <v>218</v>
      </c>
      <c r="C306" t="s">
        <v>218</v>
      </c>
      <c r="D306">
        <v>0</v>
      </c>
      <c r="E306">
        <v>0.01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0.01</v>
      </c>
      <c r="M306">
        <v>0.97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0.01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28</v>
      </c>
      <c r="C307" t="s">
        <v>28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367</v>
      </c>
      <c r="C308" t="s">
        <v>367</v>
      </c>
      <c r="D308">
        <v>0</v>
      </c>
      <c r="E308">
        <v>0</v>
      </c>
      <c r="F308">
        <v>0.16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0.84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32</v>
      </c>
      <c r="C309" t="s">
        <v>32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0.04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0.96</v>
      </c>
      <c r="Y310">
        <v>0</v>
      </c>
    </row>
    <row r="311" spans="1:25">
      <c r="A311">
        <v>310</v>
      </c>
      <c r="B311" t="s">
        <v>86</v>
      </c>
      <c r="C311" t="s">
        <v>86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0.98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0.02</v>
      </c>
    </row>
    <row r="312" spans="1:25">
      <c r="A312">
        <v>311</v>
      </c>
      <c r="B312" t="s">
        <v>38</v>
      </c>
      <c r="C312" t="s">
        <v>38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28</v>
      </c>
      <c r="C313" t="s">
        <v>28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28</v>
      </c>
      <c r="C314" t="s">
        <v>28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86</v>
      </c>
      <c r="C315" t="s">
        <v>86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1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38</v>
      </c>
      <c r="C316" t="s">
        <v>38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86</v>
      </c>
      <c r="C317" t="s">
        <v>86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0.99</v>
      </c>
      <c r="J317">
        <v>0</v>
      </c>
      <c r="K317">
        <v>0.01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28</v>
      </c>
      <c r="C318" t="s">
        <v>28</v>
      </c>
      <c r="D318">
        <v>0</v>
      </c>
      <c r="E318">
        <v>0</v>
      </c>
      <c r="F318">
        <v>0.01</v>
      </c>
      <c r="G318">
        <v>0</v>
      </c>
      <c r="H318">
        <v>0</v>
      </c>
      <c r="I318">
        <v>0.1</v>
      </c>
      <c r="J318">
        <v>0</v>
      </c>
      <c r="K318">
        <v>0.88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0.01</v>
      </c>
      <c r="Y318">
        <v>0</v>
      </c>
    </row>
    <row r="319" spans="1:25">
      <c r="A319">
        <v>318</v>
      </c>
      <c r="B319" t="s">
        <v>32</v>
      </c>
      <c r="C319" t="s">
        <v>32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28</v>
      </c>
      <c r="C320" t="s">
        <v>28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21</v>
      </c>
      <c r="C321" t="s">
        <v>21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</row>
    <row r="322" spans="1:25">
      <c r="A322">
        <v>321</v>
      </c>
      <c r="B322" t="s">
        <v>38</v>
      </c>
      <c r="C322" t="s">
        <v>38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218</v>
      </c>
      <c r="C323" t="s">
        <v>218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0.03</v>
      </c>
      <c r="M323">
        <v>0.96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0.01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141</v>
      </c>
      <c r="C324" t="s">
        <v>141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218</v>
      </c>
      <c r="C325" t="s">
        <v>218</v>
      </c>
      <c r="D325">
        <v>0</v>
      </c>
      <c r="E325">
        <v>0.01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0.1</v>
      </c>
      <c r="M325">
        <v>0.89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44</v>
      </c>
      <c r="C326" t="s">
        <v>44</v>
      </c>
      <c r="D326">
        <v>0</v>
      </c>
      <c r="E326">
        <v>0</v>
      </c>
      <c r="F326">
        <v>0.95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0.04</v>
      </c>
      <c r="U326">
        <v>0</v>
      </c>
      <c r="V326">
        <v>0.01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21</v>
      </c>
      <c r="C327" t="s">
        <v>21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0.09</v>
      </c>
      <c r="J327">
        <v>0</v>
      </c>
      <c r="K327">
        <v>0.26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0.54</v>
      </c>
      <c r="Y327">
        <v>0.11</v>
      </c>
    </row>
    <row r="328" spans="1:25">
      <c r="A328">
        <v>327</v>
      </c>
      <c r="B328" t="s">
        <v>38</v>
      </c>
      <c r="C328" t="s">
        <v>38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86</v>
      </c>
      <c r="C329" t="s">
        <v>86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44</v>
      </c>
      <c r="C330" t="s">
        <v>44</v>
      </c>
      <c r="D330">
        <v>0</v>
      </c>
      <c r="E330">
        <v>0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21</v>
      </c>
      <c r="C331" t="s">
        <v>21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0.03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0.97</v>
      </c>
      <c r="Y331">
        <v>0</v>
      </c>
    </row>
    <row r="332" spans="1:25">
      <c r="A332">
        <v>331</v>
      </c>
      <c r="B332" t="s">
        <v>44</v>
      </c>
      <c r="C332" t="s">
        <v>44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38</v>
      </c>
      <c r="C333" t="s">
        <v>38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28</v>
      </c>
      <c r="C334" t="s">
        <v>28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0.98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0.02</v>
      </c>
      <c r="Y334">
        <v>0</v>
      </c>
    </row>
    <row r="335" spans="1:25">
      <c r="A335">
        <v>334</v>
      </c>
      <c r="B335" t="s">
        <v>152</v>
      </c>
      <c r="C335" t="s">
        <v>152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38</v>
      </c>
      <c r="C336" t="s">
        <v>38</v>
      </c>
      <c r="D336">
        <v>0</v>
      </c>
      <c r="E336">
        <v>0</v>
      </c>
      <c r="F336">
        <v>0</v>
      </c>
      <c r="G336">
        <v>0.99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0.01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28</v>
      </c>
      <c r="C337" t="s">
        <v>28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0.95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0.04</v>
      </c>
      <c r="Y337">
        <v>0.01</v>
      </c>
    </row>
    <row r="338" spans="1:25">
      <c r="A338">
        <v>337</v>
      </c>
      <c r="B338" t="s">
        <v>86</v>
      </c>
      <c r="C338" t="s">
        <v>86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28</v>
      </c>
      <c r="C339" t="s">
        <v>28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0.99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0.01</v>
      </c>
      <c r="Y339">
        <v>0</v>
      </c>
    </row>
    <row r="340" spans="1:25">
      <c r="A340">
        <v>339</v>
      </c>
      <c r="B340" t="s">
        <v>367</v>
      </c>
      <c r="C340" t="s">
        <v>367</v>
      </c>
      <c r="D340">
        <v>0</v>
      </c>
      <c r="E340">
        <v>0</v>
      </c>
      <c r="F340">
        <v>7.0000000000000007E-2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0.93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44</v>
      </c>
      <c r="C341" t="s">
        <v>44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28</v>
      </c>
      <c r="C342" t="s">
        <v>28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25</v>
      </c>
      <c r="C343" t="s">
        <v>25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0.06</v>
      </c>
      <c r="J343">
        <v>0</v>
      </c>
      <c r="K343">
        <v>7.0000000000000007E-2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0.87</v>
      </c>
    </row>
    <row r="344" spans="1:25">
      <c r="A344">
        <v>343</v>
      </c>
      <c r="B344" t="s">
        <v>28</v>
      </c>
      <c r="C344" t="s">
        <v>28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1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167</v>
      </c>
      <c r="C345" t="s">
        <v>167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28</v>
      </c>
      <c r="C346" t="s">
        <v>28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1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38</v>
      </c>
      <c r="C347" t="s">
        <v>38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402</v>
      </c>
      <c r="C348" t="s">
        <v>402</v>
      </c>
      <c r="D348">
        <v>0</v>
      </c>
      <c r="E348">
        <v>0</v>
      </c>
      <c r="F348">
        <v>0</v>
      </c>
      <c r="G348">
        <v>0</v>
      </c>
      <c r="H348">
        <v>0.02</v>
      </c>
      <c r="I348">
        <v>0</v>
      </c>
      <c r="J348">
        <v>0</v>
      </c>
      <c r="K348">
        <v>0</v>
      </c>
      <c r="L348">
        <v>0.03</v>
      </c>
      <c r="M348">
        <v>0</v>
      </c>
      <c r="N348">
        <v>0</v>
      </c>
      <c r="O348">
        <v>0.02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0.91</v>
      </c>
      <c r="V348">
        <v>0</v>
      </c>
      <c r="W348">
        <v>0.02</v>
      </c>
      <c r="X348">
        <v>0</v>
      </c>
      <c r="Y348">
        <v>0</v>
      </c>
    </row>
    <row r="349" spans="1:25">
      <c r="A349">
        <v>348</v>
      </c>
      <c r="B349" t="s">
        <v>38</v>
      </c>
      <c r="C349" t="s">
        <v>38</v>
      </c>
      <c r="D349">
        <v>0</v>
      </c>
      <c r="E349">
        <v>0</v>
      </c>
      <c r="F349">
        <v>0</v>
      </c>
      <c r="G349">
        <v>0.91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0.09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>
      <c r="A350">
        <v>349</v>
      </c>
      <c r="B350" t="s">
        <v>141</v>
      </c>
      <c r="C350" t="s">
        <v>141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99</v>
      </c>
      <c r="C351" t="s">
        <v>99</v>
      </c>
      <c r="D351">
        <v>1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86</v>
      </c>
      <c r="C352" t="s">
        <v>86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1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99</v>
      </c>
      <c r="C353" t="s">
        <v>99</v>
      </c>
      <c r="D353">
        <v>1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56</v>
      </c>
      <c r="C354" t="s">
        <v>56</v>
      </c>
      <c r="D354">
        <v>0</v>
      </c>
      <c r="E354">
        <v>0</v>
      </c>
      <c r="F354">
        <v>0</v>
      </c>
      <c r="G354">
        <v>0</v>
      </c>
      <c r="H354">
        <v>0.04</v>
      </c>
      <c r="I354">
        <v>0</v>
      </c>
      <c r="J354">
        <v>0</v>
      </c>
      <c r="K354">
        <v>0</v>
      </c>
      <c r="L354">
        <v>0.52</v>
      </c>
      <c r="M354">
        <v>7.0000000000000007E-2</v>
      </c>
      <c r="N354">
        <v>0</v>
      </c>
      <c r="O354">
        <v>0.01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0.14000000000000001</v>
      </c>
      <c r="V354">
        <v>0</v>
      </c>
      <c r="W354">
        <v>0.22</v>
      </c>
      <c r="X354">
        <v>0</v>
      </c>
      <c r="Y354">
        <v>0</v>
      </c>
    </row>
    <row r="355" spans="1:25">
      <c r="A355">
        <v>354</v>
      </c>
      <c r="B355" t="s">
        <v>21</v>
      </c>
      <c r="C355" t="s">
        <v>21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</sheetData>
  <autoFilter ref="A1:Y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20191022JAP_ProbAnalysis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2019-10-22T20:06:28Z</dcterms:created>
  <dcterms:modified xsi:type="dcterms:W3CDTF">2019-10-22T21:31:18Z</dcterms:modified>
</cp:coreProperties>
</file>