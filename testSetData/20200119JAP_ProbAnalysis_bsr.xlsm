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MP/Box Sync/R_Scripts&amp;Data/20190425JAP_SIFTER/test/"/>
    </mc:Choice>
  </mc:AlternateContent>
  <xr:revisionPtr revIDLastSave="0" documentId="13_ncr:40009_{288D0FBA-9F84-A04A-A5FF-4BA4769070BE}" xr6:coauthVersionLast="45" xr6:coauthVersionMax="45" xr10:uidLastSave="{00000000-0000-0000-0000-000000000000}"/>
  <bookViews>
    <workbookView xWindow="28800" yWindow="0" windowWidth="38400" windowHeight="21600"/>
  </bookViews>
  <sheets>
    <sheet name="20200119JAP_ProbAnalysis_bsr" sheetId="1" r:id="rId1"/>
  </sheets>
  <definedNames>
    <definedName name="_xlnm._FilterDatabase" localSheetId="0" hidden="1">'20200119JAP_ProbAnalysis_bsr'!$A$1:$T$1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6" i="1" l="1"/>
  <c r="X5" i="1"/>
  <c r="X4" i="1"/>
  <c r="X3" i="1"/>
  <c r="X2" i="1"/>
  <c r="X7" i="1" l="1"/>
</calcChain>
</file>

<file path=xl/sharedStrings.xml><?xml version="1.0" encoding="utf-8"?>
<sst xmlns="http://schemas.openxmlformats.org/spreadsheetml/2006/main" count="931" uniqueCount="133">
  <si>
    <t>Name</t>
  </si>
  <si>
    <t>Score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</si>
  <si>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</si>
  <si>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</si>
  <si>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</si>
  <si>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</si>
  <si>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</si>
  <si>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</si>
  <si>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</si>
  <si>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</si>
  <si>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</si>
  <si>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</si>
  <si>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</si>
  <si>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</si>
  <si>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</si>
  <si>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</si>
  <si>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</si>
  <si>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</si>
  <si>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(+)-threo-2-Amino-3,4-dihydroxybutanoic acid</t>
  </si>
  <si>
    <t>Organic compounds</t>
  </si>
  <si>
    <t>yes</t>
  </si>
  <si>
    <t>Organoheterocyclic compounds</t>
  </si>
  <si>
    <t>no</t>
  </si>
  <si>
    <t>Imidazopyrimidines</t>
  </si>
  <si>
    <t>Purines and purine derivatives</t>
  </si>
  <si>
    <t>kscsb</t>
  </si>
  <si>
    <t>Cascarillic acid</t>
  </si>
  <si>
    <t>Organic acids and derivatives</t>
  </si>
  <si>
    <t>Carboxylic acids and derivatives</t>
  </si>
  <si>
    <t>Amino acids, peptides, and analogues</t>
  </si>
  <si>
    <t>PC(13:0/20:3(8Z,11Z,14Z))</t>
  </si>
  <si>
    <t>Lipids and lipid-like molecules</t>
  </si>
  <si>
    <t>Glycerophospholipids</t>
  </si>
  <si>
    <t>Glycerophosphoethanolamines</t>
  </si>
  <si>
    <t>Dillenetin 5-glucoside-7-glucuronide</t>
  </si>
  <si>
    <t>Nucleosides, nucleotides, and analogues</t>
  </si>
  <si>
    <t>Pyrimidine nucleotides</t>
  </si>
  <si>
    <t>Pyrimidine nucleotide sugars</t>
  </si>
  <si>
    <t>GPEtn(16:0/20:4)</t>
  </si>
  <si>
    <t>PC(20:5(5Z,8Z,11Z,14Z,17Z)/15:0)</t>
  </si>
  <si>
    <t>PE(P-16:0/22:6)</t>
  </si>
  <si>
    <t>Glycerophosphates</t>
  </si>
  <si>
    <t>PC(13:0/22:6(4Z,7Z,10Z,13Z,16Z,19Z))</t>
  </si>
  <si>
    <t>Organic oxygen compounds</t>
  </si>
  <si>
    <t>Organooxygen compounds</t>
  </si>
  <si>
    <t>Carbohydrates and carbohydrate conjugates</t>
  </si>
  <si>
    <t>PC(22:6(4Z,7Z,10Z,13Z,16Z,19Z)/13:0)</t>
  </si>
  <si>
    <t>PE(P-16:0/20:4)</t>
  </si>
  <si>
    <t>PC(15:0/22:6(4Z,7Z,10Z,13Z,16Z,19Z))</t>
  </si>
  <si>
    <t>Glycerophosphocholines</t>
  </si>
  <si>
    <t>PC(22:6(4Z,7Z,10Z,13Z,16Z,19Z)/15:0)</t>
  </si>
  <si>
    <t>Myricitrin</t>
  </si>
  <si>
    <t>PS(20:4(5Z,8Z,11Z,14Z)/18:0)</t>
  </si>
  <si>
    <t>PS(P-18:0/22:6(4Z,7Z,10Z,13Z,16Z,19Z))</t>
  </si>
  <si>
    <t>PE(18:1(9Z)/20:3(8Z,11Z,14Z))</t>
  </si>
  <si>
    <t>PC(13:0/20:2(11Z,14Z))</t>
  </si>
  <si>
    <t>GPCho(18:0/20:4)</t>
  </si>
  <si>
    <t>PC(17:0/20:4(5Z,8Z,11Z,14Z))</t>
  </si>
  <si>
    <t>PC(P-16:0/17:2(9Z,12Z))</t>
  </si>
  <si>
    <t>Sphingolipids</t>
  </si>
  <si>
    <t>Phosphosphingolipids</t>
  </si>
  <si>
    <t>PC(P-16:0/15:1(9Z))</t>
  </si>
  <si>
    <t>PC(17:2(9Z,12Z)/20:5(5Z,8Z,11Z,14Z,17Z))</t>
  </si>
  <si>
    <t>Luteolin 7,3'-dimethyl ether 4'-apiosyl-(1-&gt;2)-glucoside</t>
  </si>
  <si>
    <t>PE-NMe2(20:2(11Z,14Z)/22:6(4Z,7Z,10Z,13Z,16Z,19Z))</t>
  </si>
  <si>
    <t>PC(15:0/18:1(9Z))</t>
  </si>
  <si>
    <t>PC(P-18:0/15:1(9Z))</t>
  </si>
  <si>
    <t>PC(14:1(9Z)/22:2(13Z,16Z))</t>
  </si>
  <si>
    <t>GPCho(22:6/16:0)</t>
  </si>
  <si>
    <t>PE(19:0/20:1(11Z))</t>
  </si>
  <si>
    <t>PE(20:1(11Z)/19:0)</t>
  </si>
  <si>
    <t>PC(O-15:0/20:4(5Z,8Z,11Z,14Z))</t>
  </si>
  <si>
    <t>GlcCer(d18:2/22:0)</t>
  </si>
  <si>
    <t>GalCer(d18:2/22:0)</t>
  </si>
  <si>
    <t>PC(O-16:0/17:2(9Z,12Z))</t>
  </si>
  <si>
    <t>PC(18:2(9Z,12Z)/22:1(11Z))</t>
  </si>
  <si>
    <t>(E,E)-3,7,11-Trimethyl-2,6,10-dodecatrienyl dodecanoate</t>
  </si>
  <si>
    <t>Fatty acyls</t>
  </si>
  <si>
    <t>Fatty acids and conjugates</t>
  </si>
  <si>
    <t>GlcCer(d18:1/24:0)</t>
  </si>
  <si>
    <t>GalCer(d18:1/24:0)</t>
  </si>
  <si>
    <t>PG(22:6(4Z,7Z,10Z,13Z,16Z,19Z)/22:0)</t>
  </si>
  <si>
    <t>Glycerophosphoserines</t>
  </si>
  <si>
    <t>PS(22:4(7Z,10Z,13Z,16Z)/24:1(15Z))</t>
  </si>
  <si>
    <t>GPSer(18:1/18:1)</t>
  </si>
  <si>
    <t>GPSer(22:6/18:0)</t>
  </si>
  <si>
    <t>GPSer(18:1/18:0)</t>
  </si>
  <si>
    <t>PS(21:0/15:0)</t>
  </si>
  <si>
    <t>PS(15:0/21:0)</t>
  </si>
  <si>
    <t>PS(18:0/18:1(9Z))</t>
  </si>
  <si>
    <t>PS(22:0/14:0)</t>
  </si>
  <si>
    <t>PA(P-20:0/22:4(7Z,10Z,13Z,16Z))</t>
  </si>
  <si>
    <t>Ganoderiol C</t>
  </si>
  <si>
    <t>3-Methyl-3E-decen-2-one</t>
  </si>
  <si>
    <t>Indoles and derivatives</t>
  </si>
  <si>
    <t>Tryptamines and derivatives</t>
  </si>
  <si>
    <t>2-undecenal</t>
  </si>
  <si>
    <t>9,10-dihydroxystearic acid</t>
  </si>
  <si>
    <t>7E,9Z-Dodecadienal</t>
  </si>
  <si>
    <t>Alcohols and polyols</t>
  </si>
  <si>
    <t>PE(18:1(9Z)/0:0)</t>
  </si>
  <si>
    <t>LysoPE(0:0/18:1(11Z))</t>
  </si>
  <si>
    <t>(+)-Tephrorin A</t>
  </si>
  <si>
    <t>4'-Hydroxy-5,6,7-trimethoxyflavanone</t>
  </si>
  <si>
    <t>PC(18:0/18:1(16Z))</t>
  </si>
  <si>
    <t>PC(16:0/0:0)</t>
  </si>
  <si>
    <t>Methyl octadecanoate</t>
  </si>
  <si>
    <t>PGF2alpha methyl ether</t>
  </si>
  <si>
    <t>PC(15:0/19:1(9Z))</t>
  </si>
  <si>
    <t>Glycosphingolipids</t>
  </si>
  <si>
    <t>PC(16:1(9Z)/18:0)</t>
  </si>
  <si>
    <t>PC(18:1(11Z)/16:0)</t>
  </si>
  <si>
    <t>PC(14:0/22:1(11Z))</t>
  </si>
  <si>
    <t>PC(17:0/19:1(9Z))</t>
  </si>
  <si>
    <t>Ethyl pentadecanoate</t>
  </si>
  <si>
    <t>PS(15:0/13:0)</t>
  </si>
  <si>
    <t>(Z)-5-Dodecenyl (Z)-5-dodecenoate</t>
  </si>
  <si>
    <t>Fatty acid esters</t>
  </si>
  <si>
    <t>PC(16:0/16:0)</t>
  </si>
  <si>
    <t>GPSer(20:3/20:3)</t>
  </si>
  <si>
    <t>7-Hydroxyflavan</t>
  </si>
  <si>
    <t>Carbonyl compounds</t>
  </si>
  <si>
    <t>PC(O-18:1(11Z)/0:0)</t>
  </si>
  <si>
    <t>PC(P-18:0/0:0)</t>
  </si>
  <si>
    <t>LysoPC(P-18:0)</t>
  </si>
  <si>
    <t>GPCho(16:0/22:4)</t>
  </si>
  <si>
    <t>12,14-Heptacosadiynoic acid</t>
  </si>
  <si>
    <t>Anacyclic acid</t>
  </si>
  <si>
    <t>5,7,4'-Trihydroxy-6,8,3'-trimethoxyflavone 7-[6''-(3-hydroxy-3-methylglutaryl)glucoside]</t>
  </si>
  <si>
    <t>Cyclopentanetridecanoic acid</t>
  </si>
  <si>
    <t>Row</t>
  </si>
  <si>
    <t>count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</si>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</sst>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2"/>
  <sheetViews>
    <sheetView tabSelected="1" zoomScaleNormal="100" workbookViewId="0">
      <pane ySplit="1" topLeftCell="A2" activePane="bottomLeft" state="frozen"/>
      <selection pane="bottomLeft" activeCell="X7" sqref="X7"/>
    </sheetView>
  </sheetViews>
  <sheetFormatPr baseColWidth="10" defaultRowHeight="16"/>
  <cols>
    <col min="1" max="1" width="7.83203125" customWidth="1"/>
    <col min="2" max="2" width="30.83203125" customWidth="1"/>
  </cols>
  <sheetData>
    <row r="1" spans="1:24">
      <c r="A1" t="s">
        <v>130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131</v>
      </c>
    </row>
    <row r="2" spans="1:24">
      <c r="A2">
        <v>4046</v>
      </c>
      <c r="B2" t="s">
        <v>38</v>
      </c>
      <c r="C2">
        <v>73.400000000000006</v>
      </c>
      <c r="D2">
        <v>762.49770853975099</v>
      </c>
      <c r="E2">
        <v>283.67</v>
      </c>
      <c r="F2">
        <v>-0.64634026060764405</v>
      </c>
      <c r="G2" t="s">
        <v>19</v>
      </c>
      <c r="H2" t="s">
        <v>20</v>
      </c>
      <c r="I2">
        <v>1</v>
      </c>
      <c r="J2" t="s">
        <v>31</v>
      </c>
      <c r="K2" t="s">
        <v>20</v>
      </c>
      <c r="L2">
        <v>1</v>
      </c>
      <c r="M2" t="s">
        <v>32</v>
      </c>
      <c r="N2" t="s">
        <v>20</v>
      </c>
      <c r="O2">
        <v>1</v>
      </c>
      <c r="P2" t="s">
        <v>33</v>
      </c>
      <c r="Q2" t="s">
        <v>20</v>
      </c>
      <c r="R2">
        <v>0.47599999999999998</v>
      </c>
      <c r="S2" t="s">
        <v>25</v>
      </c>
      <c r="T2">
        <v>4</v>
      </c>
      <c r="V2" s="1" t="s">
        <v>132</v>
      </c>
      <c r="W2" s="2">
        <v>4</v>
      </c>
      <c r="X2" s="2">
        <f>COUNTIF($S$2:$T$192,"4")</f>
        <v>27</v>
      </c>
    </row>
    <row r="3" spans="1:24">
      <c r="A3">
        <v>6693</v>
      </c>
      <c r="B3" t="s">
        <v>47</v>
      </c>
      <c r="C3">
        <v>64.599999999999994</v>
      </c>
      <c r="D3">
        <v>724.52073661445797</v>
      </c>
      <c r="E3">
        <v>276.44</v>
      </c>
      <c r="F3">
        <v>-0.71177159616774999</v>
      </c>
      <c r="G3" t="s">
        <v>19</v>
      </c>
      <c r="H3" t="s">
        <v>20</v>
      </c>
      <c r="I3">
        <v>1</v>
      </c>
      <c r="J3" t="s">
        <v>31</v>
      </c>
      <c r="K3" t="s">
        <v>20</v>
      </c>
      <c r="L3">
        <v>1</v>
      </c>
      <c r="M3" t="s">
        <v>32</v>
      </c>
      <c r="N3" t="s">
        <v>20</v>
      </c>
      <c r="O3">
        <v>0.96</v>
      </c>
      <c r="P3" t="s">
        <v>33</v>
      </c>
      <c r="Q3" t="s">
        <v>20</v>
      </c>
      <c r="R3">
        <v>0.94</v>
      </c>
      <c r="S3" t="s">
        <v>25</v>
      </c>
      <c r="T3">
        <v>4</v>
      </c>
      <c r="V3" s="1"/>
      <c r="W3" s="2">
        <v>3</v>
      </c>
      <c r="X3" s="2">
        <f>COUNTIF($S$2:$T$192,"3")</f>
        <v>35</v>
      </c>
    </row>
    <row r="4" spans="1:24">
      <c r="A4">
        <v>7357</v>
      </c>
      <c r="B4" t="s">
        <v>50</v>
      </c>
      <c r="C4">
        <v>62.7</v>
      </c>
      <c r="D4">
        <v>792.54696084878594</v>
      </c>
      <c r="E4">
        <v>287.77</v>
      </c>
      <c r="F4">
        <v>-0.66204101933453796</v>
      </c>
      <c r="G4" t="s">
        <v>19</v>
      </c>
      <c r="H4" t="s">
        <v>20</v>
      </c>
      <c r="I4">
        <v>1</v>
      </c>
      <c r="J4" t="s">
        <v>31</v>
      </c>
      <c r="K4" t="s">
        <v>20</v>
      </c>
      <c r="L4">
        <v>1</v>
      </c>
      <c r="M4" t="s">
        <v>32</v>
      </c>
      <c r="N4" t="s">
        <v>20</v>
      </c>
      <c r="O4">
        <v>1</v>
      </c>
      <c r="P4" t="s">
        <v>49</v>
      </c>
      <c r="Q4" t="s">
        <v>20</v>
      </c>
      <c r="R4">
        <v>0.70599999999999996</v>
      </c>
      <c r="S4" t="s">
        <v>25</v>
      </c>
      <c r="T4">
        <v>4</v>
      </c>
      <c r="V4" s="1"/>
      <c r="W4" s="2">
        <v>2</v>
      </c>
      <c r="X4" s="2">
        <f>COUNTIF($S$2:$T$192,"2")</f>
        <v>14</v>
      </c>
    </row>
    <row r="5" spans="1:24">
      <c r="A5">
        <v>10129</v>
      </c>
      <c r="B5" t="s">
        <v>54</v>
      </c>
      <c r="C5">
        <v>72.900000000000006</v>
      </c>
      <c r="D5">
        <v>790.52839731869301</v>
      </c>
      <c r="E5">
        <v>283.93</v>
      </c>
      <c r="F5">
        <v>-0.64573132022326296</v>
      </c>
      <c r="G5" t="s">
        <v>19</v>
      </c>
      <c r="H5" t="s">
        <v>20</v>
      </c>
      <c r="I5">
        <v>1</v>
      </c>
      <c r="J5" t="s">
        <v>31</v>
      </c>
      <c r="K5" t="s">
        <v>20</v>
      </c>
      <c r="L5">
        <v>1</v>
      </c>
      <c r="M5" t="s">
        <v>32</v>
      </c>
      <c r="N5" t="s">
        <v>20</v>
      </c>
      <c r="O5">
        <v>1</v>
      </c>
      <c r="P5" t="s">
        <v>33</v>
      </c>
      <c r="Q5" t="s">
        <v>20</v>
      </c>
      <c r="R5">
        <v>0.58699999999999997</v>
      </c>
      <c r="S5" t="s">
        <v>25</v>
      </c>
      <c r="T5">
        <v>4</v>
      </c>
      <c r="V5" s="1"/>
      <c r="W5" s="2">
        <v>1</v>
      </c>
      <c r="X5" s="2">
        <f>COUNTIF($S$2:$T$192,"1")</f>
        <v>15</v>
      </c>
    </row>
    <row r="6" spans="1:24">
      <c r="A6">
        <v>11929</v>
      </c>
      <c r="B6" t="s">
        <v>56</v>
      </c>
      <c r="C6">
        <v>70.900000000000006</v>
      </c>
      <c r="D6">
        <v>832.57638865242302</v>
      </c>
      <c r="E6">
        <v>295.74</v>
      </c>
      <c r="F6">
        <v>-0.64677388857035101</v>
      </c>
      <c r="G6" t="s">
        <v>19</v>
      </c>
      <c r="H6" t="s">
        <v>20</v>
      </c>
      <c r="I6">
        <v>1</v>
      </c>
      <c r="J6" t="s">
        <v>31</v>
      </c>
      <c r="K6" t="s">
        <v>20</v>
      </c>
      <c r="L6">
        <v>1</v>
      </c>
      <c r="M6" t="s">
        <v>32</v>
      </c>
      <c r="N6" t="s">
        <v>20</v>
      </c>
      <c r="O6">
        <v>1</v>
      </c>
      <c r="P6" t="s">
        <v>49</v>
      </c>
      <c r="Q6" t="s">
        <v>20</v>
      </c>
      <c r="R6">
        <v>0.67500000000000004</v>
      </c>
      <c r="S6" t="s">
        <v>25</v>
      </c>
      <c r="T6">
        <v>4</v>
      </c>
      <c r="V6" s="3"/>
      <c r="W6" s="4">
        <v>0</v>
      </c>
      <c r="X6" s="2">
        <f>COUNTIF($S$2:$T$192,"0")</f>
        <v>0</v>
      </c>
    </row>
    <row r="7" spans="1:24">
      <c r="A7">
        <v>15070</v>
      </c>
      <c r="B7" t="s">
        <v>57</v>
      </c>
      <c r="C7">
        <v>60.5</v>
      </c>
      <c r="D7">
        <v>796.57857982778501</v>
      </c>
      <c r="E7">
        <v>290.83</v>
      </c>
      <c r="F7">
        <v>-0.68915848642882305</v>
      </c>
      <c r="G7" t="s">
        <v>19</v>
      </c>
      <c r="H7" t="s">
        <v>20</v>
      </c>
      <c r="I7">
        <v>1</v>
      </c>
      <c r="J7" t="s">
        <v>31</v>
      </c>
      <c r="K7" t="s">
        <v>20</v>
      </c>
      <c r="L7">
        <v>1</v>
      </c>
      <c r="M7" t="s">
        <v>32</v>
      </c>
      <c r="N7" t="s">
        <v>20</v>
      </c>
      <c r="O7">
        <v>0.88</v>
      </c>
      <c r="P7" t="s">
        <v>49</v>
      </c>
      <c r="Q7" t="s">
        <v>20</v>
      </c>
      <c r="R7">
        <v>0.89400000000000002</v>
      </c>
      <c r="S7" t="s">
        <v>25</v>
      </c>
      <c r="T7">
        <v>4</v>
      </c>
      <c r="V7" s="2"/>
      <c r="W7" s="2"/>
      <c r="X7" s="2">
        <f>SUM(X2:X6)</f>
        <v>91</v>
      </c>
    </row>
    <row r="8" spans="1:24">
      <c r="A8">
        <v>29564</v>
      </c>
      <c r="B8" t="s">
        <v>67</v>
      </c>
      <c r="C8">
        <v>72.400000000000006</v>
      </c>
      <c r="D8">
        <v>828.545987177038</v>
      </c>
      <c r="E8">
        <v>295</v>
      </c>
      <c r="F8">
        <v>-0.62087256568406701</v>
      </c>
      <c r="G8" t="s">
        <v>19</v>
      </c>
      <c r="H8" t="s">
        <v>20</v>
      </c>
      <c r="I8">
        <v>1</v>
      </c>
      <c r="J8" t="s">
        <v>31</v>
      </c>
      <c r="K8" t="s">
        <v>20</v>
      </c>
      <c r="L8">
        <v>1</v>
      </c>
      <c r="M8" t="s">
        <v>32</v>
      </c>
      <c r="N8" t="s">
        <v>20</v>
      </c>
      <c r="O8">
        <v>1</v>
      </c>
      <c r="P8" t="s">
        <v>49</v>
      </c>
      <c r="Q8" t="s">
        <v>20</v>
      </c>
      <c r="R8">
        <v>0.40699999999999997</v>
      </c>
      <c r="S8" t="s">
        <v>25</v>
      </c>
      <c r="T8">
        <v>4</v>
      </c>
    </row>
    <row r="9" spans="1:24">
      <c r="A9">
        <v>29609</v>
      </c>
      <c r="B9" t="s">
        <v>68</v>
      </c>
      <c r="C9">
        <v>72.400000000000006</v>
      </c>
      <c r="D9">
        <v>828.545987177038</v>
      </c>
      <c r="E9">
        <v>295</v>
      </c>
      <c r="F9">
        <v>-0.62087256568406701</v>
      </c>
      <c r="G9" t="s">
        <v>19</v>
      </c>
      <c r="H9" t="s">
        <v>20</v>
      </c>
      <c r="I9">
        <v>1</v>
      </c>
      <c r="J9" t="s">
        <v>31</v>
      </c>
      <c r="K9" t="s">
        <v>20</v>
      </c>
      <c r="L9">
        <v>1</v>
      </c>
      <c r="M9" t="s">
        <v>32</v>
      </c>
      <c r="N9" t="s">
        <v>20</v>
      </c>
      <c r="O9">
        <v>1</v>
      </c>
      <c r="P9" t="s">
        <v>49</v>
      </c>
      <c r="Q9" t="s">
        <v>20</v>
      </c>
      <c r="R9">
        <v>0.40699999999999997</v>
      </c>
      <c r="S9" t="s">
        <v>25</v>
      </c>
      <c r="T9">
        <v>4</v>
      </c>
    </row>
    <row r="10" spans="1:24">
      <c r="A10">
        <v>30634</v>
      </c>
      <c r="B10" t="s">
        <v>69</v>
      </c>
      <c r="C10">
        <v>67.900000000000006</v>
      </c>
      <c r="D10">
        <v>822.57286798797497</v>
      </c>
      <c r="E10">
        <v>277.06</v>
      </c>
      <c r="F10">
        <v>-0.65442267430955803</v>
      </c>
      <c r="G10" t="s">
        <v>19</v>
      </c>
      <c r="H10" t="s">
        <v>20</v>
      </c>
      <c r="I10">
        <v>1</v>
      </c>
      <c r="J10" t="s">
        <v>31</v>
      </c>
      <c r="K10" t="s">
        <v>20</v>
      </c>
      <c r="L10">
        <v>0.99</v>
      </c>
      <c r="M10" t="s">
        <v>32</v>
      </c>
      <c r="N10" t="s">
        <v>20</v>
      </c>
      <c r="O10">
        <v>1</v>
      </c>
      <c r="P10" t="s">
        <v>33</v>
      </c>
      <c r="Q10" t="s">
        <v>20</v>
      </c>
      <c r="R10">
        <v>0.49299999999999999</v>
      </c>
      <c r="S10" t="s">
        <v>25</v>
      </c>
      <c r="T10">
        <v>4</v>
      </c>
    </row>
    <row r="11" spans="1:24">
      <c r="A11">
        <v>30635</v>
      </c>
      <c r="B11" t="s">
        <v>70</v>
      </c>
      <c r="C11">
        <v>67.900000000000006</v>
      </c>
      <c r="D11">
        <v>822.57286798797497</v>
      </c>
      <c r="E11">
        <v>277.06</v>
      </c>
      <c r="F11">
        <v>-0.65442267430955803</v>
      </c>
      <c r="G11" t="s">
        <v>19</v>
      </c>
      <c r="H11" t="s">
        <v>20</v>
      </c>
      <c r="I11">
        <v>1</v>
      </c>
      <c r="J11" t="s">
        <v>31</v>
      </c>
      <c r="K11" t="s">
        <v>20</v>
      </c>
      <c r="L11">
        <v>0.99</v>
      </c>
      <c r="M11" t="s">
        <v>32</v>
      </c>
      <c r="N11" t="s">
        <v>20</v>
      </c>
      <c r="O11">
        <v>1</v>
      </c>
      <c r="P11" t="s">
        <v>33</v>
      </c>
      <c r="Q11" t="s">
        <v>20</v>
      </c>
      <c r="R11">
        <v>0.49299999999999999</v>
      </c>
      <c r="S11" t="s">
        <v>25</v>
      </c>
      <c r="T11">
        <v>4</v>
      </c>
    </row>
    <row r="12" spans="1:24">
      <c r="A12">
        <v>32103</v>
      </c>
      <c r="B12" t="s">
        <v>48</v>
      </c>
      <c r="C12">
        <v>61.1</v>
      </c>
      <c r="D12">
        <v>792.54708112051196</v>
      </c>
      <c r="E12">
        <v>287.77</v>
      </c>
      <c r="F12">
        <v>-0.66216115677082099</v>
      </c>
      <c r="G12" t="s">
        <v>19</v>
      </c>
      <c r="H12" t="s">
        <v>20</v>
      </c>
      <c r="I12">
        <v>1</v>
      </c>
      <c r="J12" t="s">
        <v>31</v>
      </c>
      <c r="K12" t="s">
        <v>20</v>
      </c>
      <c r="L12">
        <v>1</v>
      </c>
      <c r="M12" t="s">
        <v>32</v>
      </c>
      <c r="N12" t="s">
        <v>20</v>
      </c>
      <c r="O12">
        <v>1</v>
      </c>
      <c r="P12" t="s">
        <v>49</v>
      </c>
      <c r="Q12" t="s">
        <v>20</v>
      </c>
      <c r="R12">
        <v>0.70599999999999996</v>
      </c>
      <c r="S12" t="s">
        <v>25</v>
      </c>
      <c r="T12">
        <v>4</v>
      </c>
    </row>
    <row r="13" spans="1:24">
      <c r="A13">
        <v>33023</v>
      </c>
      <c r="B13" t="s">
        <v>54</v>
      </c>
      <c r="C13">
        <v>74.7</v>
      </c>
      <c r="D13">
        <v>790.52976038348595</v>
      </c>
      <c r="E13">
        <v>283.93</v>
      </c>
      <c r="F13">
        <v>-0.64709286308357195</v>
      </c>
      <c r="G13" t="s">
        <v>19</v>
      </c>
      <c r="H13" t="s">
        <v>20</v>
      </c>
      <c r="I13">
        <v>1</v>
      </c>
      <c r="J13" t="s">
        <v>31</v>
      </c>
      <c r="K13" t="s">
        <v>20</v>
      </c>
      <c r="L13">
        <v>1</v>
      </c>
      <c r="M13" t="s">
        <v>32</v>
      </c>
      <c r="N13" t="s">
        <v>20</v>
      </c>
      <c r="O13">
        <v>1</v>
      </c>
      <c r="P13" t="s">
        <v>33</v>
      </c>
      <c r="Q13" t="s">
        <v>20</v>
      </c>
      <c r="R13">
        <v>0.58399999999999996</v>
      </c>
      <c r="S13" t="s">
        <v>25</v>
      </c>
      <c r="T13">
        <v>4</v>
      </c>
    </row>
    <row r="14" spans="1:24">
      <c r="A14">
        <v>33070</v>
      </c>
      <c r="B14" t="s">
        <v>71</v>
      </c>
      <c r="C14">
        <v>64.5</v>
      </c>
      <c r="D14">
        <v>798.53286692990298</v>
      </c>
      <c r="E14">
        <v>290.89999999999998</v>
      </c>
      <c r="F14">
        <v>-0.64126352553410004</v>
      </c>
      <c r="G14" t="s">
        <v>19</v>
      </c>
      <c r="H14" t="s">
        <v>20</v>
      </c>
      <c r="I14">
        <v>1</v>
      </c>
      <c r="J14" t="s">
        <v>31</v>
      </c>
      <c r="K14" t="s">
        <v>20</v>
      </c>
      <c r="L14">
        <v>1</v>
      </c>
      <c r="M14" t="s">
        <v>32</v>
      </c>
      <c r="N14" t="s">
        <v>20</v>
      </c>
      <c r="O14">
        <v>0.99</v>
      </c>
      <c r="P14" t="s">
        <v>49</v>
      </c>
      <c r="Q14" t="s">
        <v>20</v>
      </c>
      <c r="R14">
        <v>0.71599999999999997</v>
      </c>
      <c r="S14" t="s">
        <v>25</v>
      </c>
      <c r="T14">
        <v>4</v>
      </c>
    </row>
    <row r="15" spans="1:24">
      <c r="A15">
        <v>36401</v>
      </c>
      <c r="B15" t="s">
        <v>83</v>
      </c>
      <c r="C15">
        <v>60.2</v>
      </c>
      <c r="D15">
        <v>956.61791012481103</v>
      </c>
      <c r="E15">
        <v>297.08999999999997</v>
      </c>
      <c r="F15">
        <v>-0.54979656221371398</v>
      </c>
      <c r="G15" t="s">
        <v>19</v>
      </c>
      <c r="H15" t="s">
        <v>20</v>
      </c>
      <c r="I15">
        <v>1</v>
      </c>
      <c r="J15" t="s">
        <v>31</v>
      </c>
      <c r="K15" t="s">
        <v>20</v>
      </c>
      <c r="L15">
        <v>0.93</v>
      </c>
      <c r="M15" t="s">
        <v>32</v>
      </c>
      <c r="N15" t="s">
        <v>20</v>
      </c>
      <c r="O15">
        <v>1</v>
      </c>
      <c r="P15" t="s">
        <v>82</v>
      </c>
      <c r="Q15" t="s">
        <v>20</v>
      </c>
      <c r="R15">
        <v>0.997</v>
      </c>
      <c r="S15" t="s">
        <v>25</v>
      </c>
      <c r="T15">
        <v>4</v>
      </c>
    </row>
    <row r="16" spans="1:24">
      <c r="A16">
        <v>39039</v>
      </c>
      <c r="B16" t="s">
        <v>88</v>
      </c>
      <c r="C16">
        <v>62.3</v>
      </c>
      <c r="D16">
        <v>836.53672993784301</v>
      </c>
      <c r="E16">
        <v>291.98</v>
      </c>
      <c r="F16">
        <v>-0.60269324733110397</v>
      </c>
      <c r="G16" t="s">
        <v>19</v>
      </c>
      <c r="H16" t="s">
        <v>20</v>
      </c>
      <c r="I16">
        <v>1</v>
      </c>
      <c r="J16" t="s">
        <v>31</v>
      </c>
      <c r="K16" t="s">
        <v>20</v>
      </c>
      <c r="L16">
        <v>0.98</v>
      </c>
      <c r="M16" t="s">
        <v>32</v>
      </c>
      <c r="N16" t="s">
        <v>20</v>
      </c>
      <c r="O16">
        <v>1</v>
      </c>
      <c r="P16" t="s">
        <v>82</v>
      </c>
      <c r="Q16" t="s">
        <v>20</v>
      </c>
      <c r="R16">
        <v>0.42399999999999999</v>
      </c>
      <c r="S16" t="s">
        <v>25</v>
      </c>
      <c r="T16">
        <v>4</v>
      </c>
    </row>
    <row r="17" spans="1:20">
      <c r="A17">
        <v>39291</v>
      </c>
      <c r="B17" t="s">
        <v>90</v>
      </c>
      <c r="C17">
        <v>60.8</v>
      </c>
      <c r="D17">
        <v>836.53783747470402</v>
      </c>
      <c r="E17">
        <v>291.98</v>
      </c>
      <c r="F17">
        <v>-0.60379954756967902</v>
      </c>
      <c r="G17" t="s">
        <v>19</v>
      </c>
      <c r="H17" t="s">
        <v>20</v>
      </c>
      <c r="I17">
        <v>1</v>
      </c>
      <c r="J17" t="s">
        <v>31</v>
      </c>
      <c r="K17" t="s">
        <v>20</v>
      </c>
      <c r="L17">
        <v>1</v>
      </c>
      <c r="M17" t="s">
        <v>32</v>
      </c>
      <c r="N17" t="s">
        <v>20</v>
      </c>
      <c r="O17">
        <v>1</v>
      </c>
      <c r="P17" t="s">
        <v>82</v>
      </c>
      <c r="Q17" t="s">
        <v>20</v>
      </c>
      <c r="R17">
        <v>0.44700000000000001</v>
      </c>
      <c r="S17" t="s">
        <v>25</v>
      </c>
      <c r="T17">
        <v>4</v>
      </c>
    </row>
    <row r="18" spans="1:20">
      <c r="A18">
        <v>40609</v>
      </c>
      <c r="B18" t="s">
        <v>97</v>
      </c>
      <c r="C18">
        <v>65.900000000000006</v>
      </c>
      <c r="D18">
        <v>281.24480285204498</v>
      </c>
      <c r="E18">
        <v>185.61</v>
      </c>
      <c r="F18">
        <v>-0.93077842791825605</v>
      </c>
      <c r="G18" t="s">
        <v>19</v>
      </c>
      <c r="H18" t="s">
        <v>20</v>
      </c>
      <c r="I18">
        <v>1</v>
      </c>
      <c r="J18" t="s">
        <v>31</v>
      </c>
      <c r="K18" t="s">
        <v>20</v>
      </c>
      <c r="L18">
        <v>0.98</v>
      </c>
      <c r="M18" t="s">
        <v>77</v>
      </c>
      <c r="N18" t="s">
        <v>20</v>
      </c>
      <c r="O18">
        <v>0.92</v>
      </c>
      <c r="P18" t="s">
        <v>78</v>
      </c>
      <c r="Q18" t="s">
        <v>20</v>
      </c>
      <c r="R18">
        <v>0.63600000000000001</v>
      </c>
      <c r="S18" t="s">
        <v>25</v>
      </c>
      <c r="T18">
        <v>4</v>
      </c>
    </row>
    <row r="19" spans="1:20">
      <c r="A19">
        <v>42192</v>
      </c>
      <c r="B19" t="s">
        <v>100</v>
      </c>
      <c r="C19">
        <v>68.599999999999994</v>
      </c>
      <c r="D19">
        <v>480.30371498742102</v>
      </c>
      <c r="E19">
        <v>218.78</v>
      </c>
      <c r="F19">
        <v>-0.76743095310160903</v>
      </c>
      <c r="G19" t="s">
        <v>19</v>
      </c>
      <c r="H19" t="s">
        <v>20</v>
      </c>
      <c r="I19">
        <v>1</v>
      </c>
      <c r="J19" t="s">
        <v>31</v>
      </c>
      <c r="K19" t="s">
        <v>20</v>
      </c>
      <c r="L19">
        <v>0.89</v>
      </c>
      <c r="M19" t="s">
        <v>32</v>
      </c>
      <c r="N19" t="s">
        <v>20</v>
      </c>
      <c r="O19">
        <v>0.77</v>
      </c>
      <c r="P19" t="s">
        <v>33</v>
      </c>
      <c r="Q19" t="s">
        <v>20</v>
      </c>
      <c r="R19">
        <v>0.64800000000000002</v>
      </c>
      <c r="S19" t="s">
        <v>25</v>
      </c>
      <c r="T19">
        <v>4</v>
      </c>
    </row>
    <row r="20" spans="1:20">
      <c r="A20">
        <v>42193</v>
      </c>
      <c r="B20" t="s">
        <v>101</v>
      </c>
      <c r="C20">
        <v>68.599999999999994</v>
      </c>
      <c r="D20">
        <v>480.30371498742102</v>
      </c>
      <c r="E20">
        <v>218.78</v>
      </c>
      <c r="F20">
        <v>-0.76743095310160903</v>
      </c>
      <c r="G20" t="s">
        <v>19</v>
      </c>
      <c r="H20" t="s">
        <v>20</v>
      </c>
      <c r="I20">
        <v>1</v>
      </c>
      <c r="J20" t="s">
        <v>31</v>
      </c>
      <c r="K20" t="s">
        <v>20</v>
      </c>
      <c r="L20">
        <v>0.89</v>
      </c>
      <c r="M20" t="s">
        <v>32</v>
      </c>
      <c r="N20" t="s">
        <v>20</v>
      </c>
      <c r="O20">
        <v>0.77</v>
      </c>
      <c r="P20" t="s">
        <v>33</v>
      </c>
      <c r="Q20" t="s">
        <v>20</v>
      </c>
      <c r="R20">
        <v>0.64800000000000002</v>
      </c>
      <c r="S20" t="s">
        <v>25</v>
      </c>
      <c r="T20">
        <v>4</v>
      </c>
    </row>
    <row r="21" spans="1:20">
      <c r="A21">
        <v>43225</v>
      </c>
      <c r="B21" t="s">
        <v>104</v>
      </c>
      <c r="C21">
        <v>61.6</v>
      </c>
      <c r="D21">
        <v>810.59223509850801</v>
      </c>
      <c r="E21">
        <v>295.58</v>
      </c>
      <c r="F21">
        <v>-0.68716678347743698</v>
      </c>
      <c r="G21" t="s">
        <v>19</v>
      </c>
      <c r="H21" t="s">
        <v>20</v>
      </c>
      <c r="I21">
        <v>1</v>
      </c>
      <c r="J21" t="s">
        <v>31</v>
      </c>
      <c r="K21" t="s">
        <v>20</v>
      </c>
      <c r="L21">
        <v>1</v>
      </c>
      <c r="M21" t="s">
        <v>32</v>
      </c>
      <c r="N21" t="s">
        <v>20</v>
      </c>
      <c r="O21">
        <v>0.85</v>
      </c>
      <c r="P21" t="s">
        <v>49</v>
      </c>
      <c r="Q21" t="s">
        <v>20</v>
      </c>
      <c r="R21">
        <v>0.98599999999999999</v>
      </c>
      <c r="S21" t="s">
        <v>25</v>
      </c>
      <c r="T21">
        <v>4</v>
      </c>
    </row>
    <row r="22" spans="1:20">
      <c r="A22">
        <v>43257</v>
      </c>
      <c r="B22" t="s">
        <v>105</v>
      </c>
      <c r="C22">
        <v>74</v>
      </c>
      <c r="D22">
        <v>496.33492053589498</v>
      </c>
      <c r="E22">
        <v>230.37</v>
      </c>
      <c r="F22">
        <v>-0.78073682826828905</v>
      </c>
      <c r="G22" t="s">
        <v>19</v>
      </c>
      <c r="H22" t="s">
        <v>20</v>
      </c>
      <c r="I22">
        <v>1</v>
      </c>
      <c r="J22" t="s">
        <v>31</v>
      </c>
      <c r="K22" t="s">
        <v>20</v>
      </c>
      <c r="L22">
        <v>0.82</v>
      </c>
      <c r="M22" t="s">
        <v>32</v>
      </c>
      <c r="N22" t="s">
        <v>20</v>
      </c>
      <c r="O22">
        <v>0.51</v>
      </c>
      <c r="P22" t="s">
        <v>49</v>
      </c>
      <c r="Q22" t="s">
        <v>20</v>
      </c>
      <c r="R22">
        <v>0.96199999999999997</v>
      </c>
      <c r="S22" t="s">
        <v>25</v>
      </c>
      <c r="T22">
        <v>4</v>
      </c>
    </row>
    <row r="23" spans="1:20">
      <c r="A23">
        <v>47988</v>
      </c>
      <c r="B23" t="s">
        <v>112</v>
      </c>
      <c r="C23">
        <v>73.5</v>
      </c>
      <c r="D23">
        <v>832.57387402852999</v>
      </c>
      <c r="E23">
        <v>295.74</v>
      </c>
      <c r="F23">
        <v>-0.64426207238545896</v>
      </c>
      <c r="G23" t="s">
        <v>19</v>
      </c>
      <c r="H23" t="s">
        <v>20</v>
      </c>
      <c r="I23">
        <v>1</v>
      </c>
      <c r="J23" t="s">
        <v>31</v>
      </c>
      <c r="K23" t="s">
        <v>20</v>
      </c>
      <c r="L23">
        <v>1</v>
      </c>
      <c r="M23" t="s">
        <v>32</v>
      </c>
      <c r="N23" t="s">
        <v>20</v>
      </c>
      <c r="O23">
        <v>1</v>
      </c>
      <c r="P23" t="s">
        <v>49</v>
      </c>
      <c r="Q23" t="s">
        <v>20</v>
      </c>
      <c r="R23">
        <v>0.73899999999999999</v>
      </c>
      <c r="S23" t="s">
        <v>25</v>
      </c>
      <c r="T23">
        <v>4</v>
      </c>
    </row>
    <row r="24" spans="1:20">
      <c r="A24">
        <v>49527</v>
      </c>
      <c r="B24" t="s">
        <v>113</v>
      </c>
      <c r="C24">
        <v>66.2</v>
      </c>
      <c r="D24">
        <v>810.59188269118795</v>
      </c>
      <c r="E24">
        <v>295.58</v>
      </c>
      <c r="F24">
        <v>-0.68681476963843102</v>
      </c>
      <c r="G24" t="s">
        <v>19</v>
      </c>
      <c r="H24" t="s">
        <v>20</v>
      </c>
      <c r="I24">
        <v>1</v>
      </c>
      <c r="J24" t="s">
        <v>31</v>
      </c>
      <c r="K24" t="s">
        <v>20</v>
      </c>
      <c r="L24">
        <v>1</v>
      </c>
      <c r="M24" t="s">
        <v>32</v>
      </c>
      <c r="N24" t="s">
        <v>20</v>
      </c>
      <c r="O24">
        <v>0.85</v>
      </c>
      <c r="P24" t="s">
        <v>49</v>
      </c>
      <c r="Q24" t="s">
        <v>20</v>
      </c>
      <c r="R24">
        <v>0.98599999999999999</v>
      </c>
      <c r="S24" t="s">
        <v>25</v>
      </c>
      <c r="T24">
        <v>4</v>
      </c>
    </row>
    <row r="25" spans="1:20">
      <c r="A25">
        <v>50053</v>
      </c>
      <c r="B25" t="s">
        <v>116</v>
      </c>
      <c r="C25">
        <v>61.8</v>
      </c>
      <c r="D25">
        <v>387.32206928628801</v>
      </c>
      <c r="E25">
        <v>210.74</v>
      </c>
      <c r="F25">
        <v>-0.88960408683971104</v>
      </c>
      <c r="G25" t="s">
        <v>19</v>
      </c>
      <c r="H25" t="s">
        <v>20</v>
      </c>
      <c r="I25">
        <v>1</v>
      </c>
      <c r="J25" t="s">
        <v>31</v>
      </c>
      <c r="K25" t="s">
        <v>20</v>
      </c>
      <c r="L25">
        <v>0.88</v>
      </c>
      <c r="M25" t="s">
        <v>77</v>
      </c>
      <c r="N25" t="s">
        <v>20</v>
      </c>
      <c r="O25">
        <v>0.94</v>
      </c>
      <c r="P25" t="s">
        <v>117</v>
      </c>
      <c r="Q25" t="s">
        <v>20</v>
      </c>
      <c r="R25">
        <v>0.60599999999999998</v>
      </c>
      <c r="S25" t="s">
        <v>25</v>
      </c>
      <c r="T25">
        <v>4</v>
      </c>
    </row>
    <row r="26" spans="1:20">
      <c r="A26">
        <v>51047</v>
      </c>
      <c r="B26" t="s">
        <v>125</v>
      </c>
      <c r="C26">
        <v>74.2</v>
      </c>
      <c r="D26">
        <v>832.57947976324704</v>
      </c>
      <c r="E26">
        <v>295.74</v>
      </c>
      <c r="F26">
        <v>-0.64986154800863005</v>
      </c>
      <c r="G26" t="s">
        <v>19</v>
      </c>
      <c r="H26" t="s">
        <v>20</v>
      </c>
      <c r="I26">
        <v>1</v>
      </c>
      <c r="J26" t="s">
        <v>31</v>
      </c>
      <c r="K26" t="s">
        <v>20</v>
      </c>
      <c r="L26">
        <v>1</v>
      </c>
      <c r="M26" t="s">
        <v>32</v>
      </c>
      <c r="N26" t="s">
        <v>20</v>
      </c>
      <c r="O26">
        <v>1</v>
      </c>
      <c r="P26" t="s">
        <v>49</v>
      </c>
      <c r="Q26" t="s">
        <v>20</v>
      </c>
      <c r="R26">
        <v>0.86299999999999999</v>
      </c>
      <c r="S26" t="s">
        <v>25</v>
      </c>
      <c r="T26">
        <v>4</v>
      </c>
    </row>
    <row r="27" spans="1:20">
      <c r="A27">
        <v>51326</v>
      </c>
      <c r="B27" t="s">
        <v>126</v>
      </c>
      <c r="C27">
        <v>61.1</v>
      </c>
      <c r="D27">
        <v>367.33225094071099</v>
      </c>
      <c r="E27">
        <v>199.57</v>
      </c>
      <c r="F27">
        <v>-0.92210541128224599</v>
      </c>
      <c r="G27" t="s">
        <v>19</v>
      </c>
      <c r="H27" t="s">
        <v>20</v>
      </c>
      <c r="I27">
        <v>1</v>
      </c>
      <c r="J27" t="s">
        <v>31</v>
      </c>
      <c r="K27" t="s">
        <v>20</v>
      </c>
      <c r="L27">
        <v>0.96</v>
      </c>
      <c r="M27" t="s">
        <v>77</v>
      </c>
      <c r="N27" t="s">
        <v>20</v>
      </c>
      <c r="O27">
        <v>1</v>
      </c>
      <c r="P27" t="s">
        <v>78</v>
      </c>
      <c r="Q27" t="s">
        <v>20</v>
      </c>
      <c r="R27">
        <v>0.89300000000000002</v>
      </c>
      <c r="S27" t="s">
        <v>25</v>
      </c>
      <c r="T27">
        <v>4</v>
      </c>
    </row>
    <row r="28" spans="1:20">
      <c r="A28">
        <v>55349</v>
      </c>
      <c r="B28" t="s">
        <v>129</v>
      </c>
      <c r="C28">
        <v>73</v>
      </c>
      <c r="D28">
        <v>305.24345349105101</v>
      </c>
      <c r="E28">
        <v>182.59</v>
      </c>
      <c r="F28">
        <v>-0.90263332751749203</v>
      </c>
      <c r="G28" t="s">
        <v>19</v>
      </c>
      <c r="H28" t="s">
        <v>20</v>
      </c>
      <c r="I28">
        <v>1</v>
      </c>
      <c r="J28" t="s">
        <v>31</v>
      </c>
      <c r="K28" t="s">
        <v>20</v>
      </c>
      <c r="L28">
        <v>1</v>
      </c>
      <c r="M28" t="s">
        <v>77</v>
      </c>
      <c r="N28" t="s">
        <v>20</v>
      </c>
      <c r="O28">
        <v>1</v>
      </c>
      <c r="P28" t="s">
        <v>78</v>
      </c>
      <c r="Q28" t="s">
        <v>20</v>
      </c>
      <c r="R28">
        <v>0.98599999999999999</v>
      </c>
      <c r="S28" t="s">
        <v>25</v>
      </c>
      <c r="T28">
        <v>4</v>
      </c>
    </row>
    <row r="29" spans="1:20">
      <c r="A29">
        <v>2007</v>
      </c>
      <c r="B29" t="s">
        <v>26</v>
      </c>
      <c r="C29">
        <v>63.6</v>
      </c>
      <c r="D29">
        <v>223.10965045211901</v>
      </c>
      <c r="E29">
        <v>151.16999999999999</v>
      </c>
      <c r="F29">
        <v>-0.86053694392308</v>
      </c>
      <c r="G29" t="s">
        <v>19</v>
      </c>
      <c r="H29" t="s">
        <v>20</v>
      </c>
      <c r="I29">
        <v>1</v>
      </c>
      <c r="J29" t="s">
        <v>27</v>
      </c>
      <c r="K29" t="s">
        <v>20</v>
      </c>
      <c r="L29">
        <v>0.38</v>
      </c>
      <c r="M29" t="s">
        <v>28</v>
      </c>
      <c r="N29" t="s">
        <v>20</v>
      </c>
      <c r="O29">
        <v>0.52</v>
      </c>
      <c r="P29" t="s">
        <v>29</v>
      </c>
      <c r="Q29" t="s">
        <v>22</v>
      </c>
      <c r="R29">
        <v>0.84599999999999997</v>
      </c>
      <c r="S29" t="s">
        <v>25</v>
      </c>
      <c r="T29">
        <v>3</v>
      </c>
    </row>
    <row r="30" spans="1:20">
      <c r="A30">
        <v>3123</v>
      </c>
      <c r="B30" t="s">
        <v>30</v>
      </c>
      <c r="C30">
        <v>61.5</v>
      </c>
      <c r="D30">
        <v>786.52783759856902</v>
      </c>
      <c r="E30">
        <v>271.58999999999997</v>
      </c>
      <c r="F30">
        <v>-0.64963843272892097</v>
      </c>
      <c r="G30" t="s">
        <v>19</v>
      </c>
      <c r="H30" t="s">
        <v>20</v>
      </c>
      <c r="I30">
        <v>1</v>
      </c>
      <c r="J30" t="s">
        <v>31</v>
      </c>
      <c r="K30" t="s">
        <v>20</v>
      </c>
      <c r="L30">
        <v>0.81</v>
      </c>
      <c r="M30" t="s">
        <v>32</v>
      </c>
      <c r="N30" t="s">
        <v>20</v>
      </c>
      <c r="O30">
        <v>1</v>
      </c>
      <c r="P30" t="s">
        <v>33</v>
      </c>
      <c r="Q30" t="s">
        <v>22</v>
      </c>
      <c r="R30">
        <v>0.80600000000000005</v>
      </c>
      <c r="S30" t="s">
        <v>25</v>
      </c>
      <c r="T30">
        <v>3</v>
      </c>
    </row>
    <row r="31" spans="1:20">
      <c r="A31">
        <v>4085</v>
      </c>
      <c r="B31" t="s">
        <v>39</v>
      </c>
      <c r="C31">
        <v>62.9</v>
      </c>
      <c r="D31">
        <v>788.51298557743405</v>
      </c>
      <c r="E31">
        <v>286.26</v>
      </c>
      <c r="F31">
        <v>-0.63256989081003201</v>
      </c>
      <c r="G31" t="s">
        <v>19</v>
      </c>
      <c r="H31" t="s">
        <v>20</v>
      </c>
      <c r="I31">
        <v>1</v>
      </c>
      <c r="J31" t="s">
        <v>31</v>
      </c>
      <c r="K31" t="s">
        <v>20</v>
      </c>
      <c r="L31">
        <v>1</v>
      </c>
      <c r="M31" t="s">
        <v>32</v>
      </c>
      <c r="N31" t="s">
        <v>20</v>
      </c>
      <c r="O31">
        <v>1</v>
      </c>
      <c r="P31" t="s">
        <v>33</v>
      </c>
      <c r="Q31" t="s">
        <v>22</v>
      </c>
      <c r="R31">
        <v>0.48299999999999998</v>
      </c>
      <c r="S31" t="s">
        <v>25</v>
      </c>
      <c r="T31">
        <v>3</v>
      </c>
    </row>
    <row r="32" spans="1:20">
      <c r="A32">
        <v>4576</v>
      </c>
      <c r="B32" t="s">
        <v>40</v>
      </c>
      <c r="C32">
        <v>63</v>
      </c>
      <c r="D32">
        <v>748.52105431819098</v>
      </c>
      <c r="E32">
        <v>279.95</v>
      </c>
      <c r="F32">
        <v>-0.68529169912960697</v>
      </c>
      <c r="G32" t="s">
        <v>19</v>
      </c>
      <c r="H32" t="s">
        <v>20</v>
      </c>
      <c r="I32">
        <v>1</v>
      </c>
      <c r="J32" t="s">
        <v>31</v>
      </c>
      <c r="K32" t="s">
        <v>20</v>
      </c>
      <c r="L32">
        <v>1</v>
      </c>
      <c r="M32" t="s">
        <v>32</v>
      </c>
      <c r="N32" t="s">
        <v>20</v>
      </c>
      <c r="O32">
        <v>0.97</v>
      </c>
      <c r="P32" t="s">
        <v>41</v>
      </c>
      <c r="Q32" t="s">
        <v>22</v>
      </c>
      <c r="R32">
        <v>0.377</v>
      </c>
      <c r="S32" t="s">
        <v>25</v>
      </c>
      <c r="T32">
        <v>3</v>
      </c>
    </row>
    <row r="33" spans="1:20">
      <c r="A33">
        <v>7504</v>
      </c>
      <c r="B33" t="s">
        <v>48</v>
      </c>
      <c r="C33">
        <v>63.2</v>
      </c>
      <c r="D33">
        <v>836.51092371842401</v>
      </c>
      <c r="E33">
        <v>295.14999999999998</v>
      </c>
      <c r="F33">
        <v>-0.57691584189592504</v>
      </c>
      <c r="G33" t="s">
        <v>19</v>
      </c>
      <c r="H33" t="s">
        <v>20</v>
      </c>
      <c r="I33">
        <v>1</v>
      </c>
      <c r="J33" t="s">
        <v>31</v>
      </c>
      <c r="K33" t="s">
        <v>20</v>
      </c>
      <c r="L33">
        <v>0.94</v>
      </c>
      <c r="M33" t="s">
        <v>32</v>
      </c>
      <c r="N33" t="s">
        <v>20</v>
      </c>
      <c r="O33">
        <v>1</v>
      </c>
      <c r="P33" t="s">
        <v>33</v>
      </c>
      <c r="Q33" t="s">
        <v>22</v>
      </c>
      <c r="R33">
        <v>0.48599999999999999</v>
      </c>
      <c r="S33" t="s">
        <v>25</v>
      </c>
      <c r="T33">
        <v>3</v>
      </c>
    </row>
    <row r="34" spans="1:20">
      <c r="A34">
        <v>9058</v>
      </c>
      <c r="B34" t="s">
        <v>52</v>
      </c>
      <c r="C34">
        <v>60.4</v>
      </c>
      <c r="D34">
        <v>832.51509415714304</v>
      </c>
      <c r="E34">
        <v>277.19</v>
      </c>
      <c r="F34">
        <v>-0.58554783177657999</v>
      </c>
      <c r="G34" t="s">
        <v>19</v>
      </c>
      <c r="H34" t="s">
        <v>20</v>
      </c>
      <c r="I34">
        <v>1</v>
      </c>
      <c r="J34" t="s">
        <v>31</v>
      </c>
      <c r="K34" t="s">
        <v>20</v>
      </c>
      <c r="L34">
        <v>0.53</v>
      </c>
      <c r="M34" t="s">
        <v>32</v>
      </c>
      <c r="N34" t="s">
        <v>20</v>
      </c>
      <c r="O34">
        <v>1</v>
      </c>
      <c r="P34" t="s">
        <v>33</v>
      </c>
      <c r="Q34" t="s">
        <v>22</v>
      </c>
      <c r="R34">
        <v>0.67600000000000005</v>
      </c>
      <c r="S34" t="s">
        <v>25</v>
      </c>
      <c r="T34">
        <v>3</v>
      </c>
    </row>
    <row r="35" spans="1:20">
      <c r="A35">
        <v>9911</v>
      </c>
      <c r="B35" t="s">
        <v>53</v>
      </c>
      <c r="C35">
        <v>60.2</v>
      </c>
      <c r="D35">
        <v>840.52246125436398</v>
      </c>
      <c r="E35">
        <v>276.72000000000003</v>
      </c>
      <c r="F35">
        <v>-0.58397428790488004</v>
      </c>
      <c r="G35" t="s">
        <v>19</v>
      </c>
      <c r="H35" t="s">
        <v>20</v>
      </c>
      <c r="I35">
        <v>1</v>
      </c>
      <c r="J35" t="s">
        <v>31</v>
      </c>
      <c r="K35" t="s">
        <v>20</v>
      </c>
      <c r="L35">
        <v>0.36</v>
      </c>
      <c r="M35" t="s">
        <v>32</v>
      </c>
      <c r="N35" t="s">
        <v>20</v>
      </c>
      <c r="O35">
        <v>1</v>
      </c>
      <c r="P35" t="s">
        <v>33</v>
      </c>
      <c r="Q35" t="s">
        <v>22</v>
      </c>
      <c r="R35">
        <v>0.624</v>
      </c>
      <c r="S35" t="s">
        <v>25</v>
      </c>
      <c r="T35">
        <v>3</v>
      </c>
    </row>
    <row r="36" spans="1:20">
      <c r="A36">
        <v>10860</v>
      </c>
      <c r="B36" t="s">
        <v>55</v>
      </c>
      <c r="C36">
        <v>61.2</v>
      </c>
      <c r="D36">
        <v>744.54658348611804</v>
      </c>
      <c r="E36">
        <v>279.88</v>
      </c>
      <c r="F36">
        <v>-0.715258570088395</v>
      </c>
      <c r="G36" t="s">
        <v>19</v>
      </c>
      <c r="H36" t="s">
        <v>20</v>
      </c>
      <c r="I36">
        <v>1</v>
      </c>
      <c r="J36" t="s">
        <v>31</v>
      </c>
      <c r="K36" t="s">
        <v>20</v>
      </c>
      <c r="L36">
        <v>0.99</v>
      </c>
      <c r="M36" t="s">
        <v>32</v>
      </c>
      <c r="N36" t="s">
        <v>20</v>
      </c>
      <c r="O36">
        <v>0.66</v>
      </c>
      <c r="P36" t="s">
        <v>33</v>
      </c>
      <c r="Q36" t="s">
        <v>22</v>
      </c>
      <c r="R36">
        <v>0.82599999999999996</v>
      </c>
      <c r="S36" t="s">
        <v>25</v>
      </c>
      <c r="T36">
        <v>3</v>
      </c>
    </row>
    <row r="37" spans="1:20">
      <c r="A37">
        <v>15329</v>
      </c>
      <c r="B37" t="s">
        <v>61</v>
      </c>
      <c r="C37">
        <v>65.2</v>
      </c>
      <c r="D37">
        <v>702.53635759046006</v>
      </c>
      <c r="E37">
        <v>276.3</v>
      </c>
      <c r="F37">
        <v>-0.75193927274096894</v>
      </c>
      <c r="G37" t="s">
        <v>19</v>
      </c>
      <c r="H37" t="s">
        <v>20</v>
      </c>
      <c r="I37">
        <v>1</v>
      </c>
      <c r="J37" t="s">
        <v>31</v>
      </c>
      <c r="K37" t="s">
        <v>20</v>
      </c>
      <c r="L37">
        <v>1</v>
      </c>
      <c r="M37" t="s">
        <v>32</v>
      </c>
      <c r="N37" t="s">
        <v>20</v>
      </c>
      <c r="O37">
        <v>0.98</v>
      </c>
      <c r="P37" t="s">
        <v>33</v>
      </c>
      <c r="Q37" t="s">
        <v>22</v>
      </c>
      <c r="R37">
        <v>0.80400000000000005</v>
      </c>
      <c r="S37" t="s">
        <v>25</v>
      </c>
      <c r="T37">
        <v>3</v>
      </c>
    </row>
    <row r="38" spans="1:20">
      <c r="A38">
        <v>15632</v>
      </c>
      <c r="B38" t="s">
        <v>62</v>
      </c>
      <c r="C38">
        <v>61.1</v>
      </c>
      <c r="D38">
        <v>834.53312589034294</v>
      </c>
      <c r="E38">
        <v>276.3</v>
      </c>
      <c r="F38">
        <v>-0.60132632777367701</v>
      </c>
      <c r="G38" t="s">
        <v>19</v>
      </c>
      <c r="H38" t="s">
        <v>20</v>
      </c>
      <c r="I38">
        <v>1</v>
      </c>
      <c r="J38" t="s">
        <v>31</v>
      </c>
      <c r="K38" t="s">
        <v>20</v>
      </c>
      <c r="L38">
        <v>0.54</v>
      </c>
      <c r="M38" t="s">
        <v>32</v>
      </c>
      <c r="N38" t="s">
        <v>20</v>
      </c>
      <c r="O38">
        <v>1</v>
      </c>
      <c r="P38" t="s">
        <v>33</v>
      </c>
      <c r="Q38" t="s">
        <v>22</v>
      </c>
      <c r="R38">
        <v>0.627</v>
      </c>
      <c r="S38" t="s">
        <v>25</v>
      </c>
      <c r="T38">
        <v>3</v>
      </c>
    </row>
    <row r="39" spans="1:20">
      <c r="A39">
        <v>21506</v>
      </c>
      <c r="B39" t="s">
        <v>64</v>
      </c>
      <c r="C39">
        <v>70.400000000000006</v>
      </c>
      <c r="D39">
        <v>808.57087622619395</v>
      </c>
      <c r="E39">
        <v>292.14</v>
      </c>
      <c r="F39">
        <v>-0.66806486328971504</v>
      </c>
      <c r="G39" t="s">
        <v>19</v>
      </c>
      <c r="H39" t="s">
        <v>20</v>
      </c>
      <c r="I39">
        <v>1</v>
      </c>
      <c r="J39" t="s">
        <v>31</v>
      </c>
      <c r="K39" t="s">
        <v>20</v>
      </c>
      <c r="L39">
        <v>1</v>
      </c>
      <c r="M39" t="s">
        <v>32</v>
      </c>
      <c r="N39" t="s">
        <v>20</v>
      </c>
      <c r="O39">
        <v>1</v>
      </c>
      <c r="P39" t="s">
        <v>49</v>
      </c>
      <c r="Q39" t="s">
        <v>22</v>
      </c>
      <c r="R39">
        <v>0.82</v>
      </c>
      <c r="S39" t="s">
        <v>25</v>
      </c>
      <c r="T39">
        <v>3</v>
      </c>
    </row>
    <row r="40" spans="1:20">
      <c r="A40">
        <v>24790</v>
      </c>
      <c r="B40" t="s">
        <v>65</v>
      </c>
      <c r="C40">
        <v>61.2</v>
      </c>
      <c r="D40">
        <v>726.55007012005103</v>
      </c>
      <c r="E40">
        <v>255.96</v>
      </c>
      <c r="F40">
        <v>-0.73883924554229496</v>
      </c>
      <c r="G40" t="s">
        <v>19</v>
      </c>
      <c r="H40" t="s">
        <v>20</v>
      </c>
      <c r="I40">
        <v>1</v>
      </c>
      <c r="J40" t="s">
        <v>31</v>
      </c>
      <c r="K40" t="s">
        <v>20</v>
      </c>
      <c r="L40">
        <v>0.82</v>
      </c>
      <c r="M40" t="s">
        <v>32</v>
      </c>
      <c r="N40" t="s">
        <v>20</v>
      </c>
      <c r="O40">
        <v>0.98</v>
      </c>
      <c r="P40" t="s">
        <v>33</v>
      </c>
      <c r="Q40" t="s">
        <v>22</v>
      </c>
      <c r="R40">
        <v>0.96599999999999997</v>
      </c>
      <c r="S40" t="s">
        <v>25</v>
      </c>
      <c r="T40">
        <v>3</v>
      </c>
    </row>
    <row r="41" spans="1:20">
      <c r="A41">
        <v>26437</v>
      </c>
      <c r="B41" t="s">
        <v>66</v>
      </c>
      <c r="C41">
        <v>64.099999999999994</v>
      </c>
      <c r="D41">
        <v>730.56751294616004</v>
      </c>
      <c r="E41">
        <v>283</v>
      </c>
      <c r="F41">
        <v>-0.75179638815734495</v>
      </c>
      <c r="G41" t="s">
        <v>19</v>
      </c>
      <c r="H41" t="s">
        <v>20</v>
      </c>
      <c r="I41">
        <v>1</v>
      </c>
      <c r="J41" t="s">
        <v>31</v>
      </c>
      <c r="K41" t="s">
        <v>20</v>
      </c>
      <c r="L41">
        <v>0.98</v>
      </c>
      <c r="M41" t="s">
        <v>32</v>
      </c>
      <c r="N41" t="s">
        <v>20</v>
      </c>
      <c r="O41">
        <v>0.52</v>
      </c>
      <c r="P41" t="s">
        <v>33</v>
      </c>
      <c r="Q41" t="s">
        <v>22</v>
      </c>
      <c r="R41">
        <v>0.51200000000000001</v>
      </c>
      <c r="S41" t="s">
        <v>25</v>
      </c>
      <c r="T41">
        <v>3</v>
      </c>
    </row>
    <row r="42" spans="1:20">
      <c r="A42">
        <v>29337</v>
      </c>
      <c r="B42" t="s">
        <v>40</v>
      </c>
      <c r="C42">
        <v>62.2</v>
      </c>
      <c r="D42">
        <v>748.521014393923</v>
      </c>
      <c r="E42">
        <v>279.95</v>
      </c>
      <c r="F42">
        <v>-0.68525181943914504</v>
      </c>
      <c r="G42" t="s">
        <v>19</v>
      </c>
      <c r="H42" t="s">
        <v>20</v>
      </c>
      <c r="I42">
        <v>1</v>
      </c>
      <c r="J42" t="s">
        <v>31</v>
      </c>
      <c r="K42" t="s">
        <v>20</v>
      </c>
      <c r="L42">
        <v>1</v>
      </c>
      <c r="M42" t="s">
        <v>32</v>
      </c>
      <c r="N42" t="s">
        <v>20</v>
      </c>
      <c r="O42">
        <v>0.97</v>
      </c>
      <c r="P42" t="s">
        <v>41</v>
      </c>
      <c r="Q42" t="s">
        <v>22</v>
      </c>
      <c r="R42">
        <v>0.377</v>
      </c>
      <c r="S42" t="s">
        <v>25</v>
      </c>
      <c r="T42">
        <v>3</v>
      </c>
    </row>
    <row r="43" spans="1:20">
      <c r="A43">
        <v>32026</v>
      </c>
      <c r="B43" t="s">
        <v>58</v>
      </c>
      <c r="C43">
        <v>70.400000000000006</v>
      </c>
      <c r="D43">
        <v>772.517146264443</v>
      </c>
      <c r="E43">
        <v>286.08</v>
      </c>
      <c r="F43">
        <v>-0.65459076288823304</v>
      </c>
      <c r="G43" t="s">
        <v>19</v>
      </c>
      <c r="H43" t="s">
        <v>20</v>
      </c>
      <c r="I43">
        <v>1</v>
      </c>
      <c r="J43" t="s">
        <v>31</v>
      </c>
      <c r="K43" t="s">
        <v>20</v>
      </c>
      <c r="L43">
        <v>1</v>
      </c>
      <c r="M43" t="s">
        <v>32</v>
      </c>
      <c r="N43" t="s">
        <v>20</v>
      </c>
      <c r="O43">
        <v>1</v>
      </c>
      <c r="P43" t="s">
        <v>33</v>
      </c>
      <c r="Q43" t="s">
        <v>22</v>
      </c>
      <c r="R43">
        <v>0.48</v>
      </c>
      <c r="S43" t="s">
        <v>25</v>
      </c>
      <c r="T43">
        <v>3</v>
      </c>
    </row>
    <row r="44" spans="1:20">
      <c r="A44">
        <v>33244</v>
      </c>
      <c r="B44" t="s">
        <v>74</v>
      </c>
      <c r="C44">
        <v>66.7</v>
      </c>
      <c r="D44">
        <v>774.531741130927</v>
      </c>
      <c r="E44">
        <v>284.10000000000002</v>
      </c>
      <c r="F44">
        <v>-0.66693622960951904</v>
      </c>
      <c r="G44" t="s">
        <v>19</v>
      </c>
      <c r="H44" t="s">
        <v>20</v>
      </c>
      <c r="I44">
        <v>1</v>
      </c>
      <c r="J44" t="s">
        <v>31</v>
      </c>
      <c r="K44" t="s">
        <v>20</v>
      </c>
      <c r="L44">
        <v>1</v>
      </c>
      <c r="M44" t="s">
        <v>32</v>
      </c>
      <c r="N44" t="s">
        <v>20</v>
      </c>
      <c r="O44">
        <v>1</v>
      </c>
      <c r="P44" t="s">
        <v>33</v>
      </c>
      <c r="Q44" t="s">
        <v>22</v>
      </c>
      <c r="R44">
        <v>0.378</v>
      </c>
      <c r="S44" t="s">
        <v>25</v>
      </c>
      <c r="T44">
        <v>3</v>
      </c>
    </row>
    <row r="45" spans="1:20">
      <c r="A45">
        <v>33880</v>
      </c>
      <c r="B45" t="s">
        <v>76</v>
      </c>
      <c r="C45">
        <v>63</v>
      </c>
      <c r="D45">
        <v>369.34793942795199</v>
      </c>
      <c r="E45">
        <v>204.88</v>
      </c>
      <c r="F45">
        <v>-0.93554327767617496</v>
      </c>
      <c r="G45" t="s">
        <v>19</v>
      </c>
      <c r="H45" t="s">
        <v>20</v>
      </c>
      <c r="I45">
        <v>1</v>
      </c>
      <c r="J45" t="s">
        <v>31</v>
      </c>
      <c r="K45" t="s">
        <v>20</v>
      </c>
      <c r="L45">
        <v>1</v>
      </c>
      <c r="M45" t="s">
        <v>77</v>
      </c>
      <c r="N45" t="s">
        <v>20</v>
      </c>
      <c r="O45">
        <v>0.83</v>
      </c>
      <c r="P45" t="s">
        <v>78</v>
      </c>
      <c r="Q45" t="s">
        <v>22</v>
      </c>
      <c r="R45">
        <v>0.97899999999999998</v>
      </c>
      <c r="S45" t="s">
        <v>25</v>
      </c>
      <c r="T45">
        <v>3</v>
      </c>
    </row>
    <row r="46" spans="1:20">
      <c r="A46">
        <v>33905</v>
      </c>
      <c r="B46" t="s">
        <v>79</v>
      </c>
      <c r="C46">
        <v>72.900000000000006</v>
      </c>
      <c r="D46">
        <v>834.67245119384995</v>
      </c>
      <c r="E46">
        <v>304.83</v>
      </c>
      <c r="F46">
        <v>-0.74049606734581597</v>
      </c>
      <c r="G46" t="s">
        <v>19</v>
      </c>
      <c r="H46" t="s">
        <v>20</v>
      </c>
      <c r="I46">
        <v>1</v>
      </c>
      <c r="J46" t="s">
        <v>31</v>
      </c>
      <c r="K46" t="s">
        <v>20</v>
      </c>
      <c r="L46">
        <v>1</v>
      </c>
      <c r="M46" t="s">
        <v>59</v>
      </c>
      <c r="N46" t="s">
        <v>20</v>
      </c>
      <c r="O46">
        <v>1</v>
      </c>
      <c r="P46" t="s">
        <v>60</v>
      </c>
      <c r="Q46" t="s">
        <v>22</v>
      </c>
      <c r="R46">
        <v>0.52700000000000002</v>
      </c>
      <c r="S46" t="s">
        <v>25</v>
      </c>
      <c r="T46">
        <v>3</v>
      </c>
    </row>
    <row r="47" spans="1:20">
      <c r="A47">
        <v>33907</v>
      </c>
      <c r="B47" t="s">
        <v>80</v>
      </c>
      <c r="C47">
        <v>72.900000000000006</v>
      </c>
      <c r="D47">
        <v>834.67245119384995</v>
      </c>
      <c r="E47">
        <v>304.83</v>
      </c>
      <c r="F47">
        <v>-0.74049606734581597</v>
      </c>
      <c r="G47" t="s">
        <v>19</v>
      </c>
      <c r="H47" t="s">
        <v>20</v>
      </c>
      <c r="I47">
        <v>1</v>
      </c>
      <c r="J47" t="s">
        <v>31</v>
      </c>
      <c r="K47" t="s">
        <v>20</v>
      </c>
      <c r="L47">
        <v>1</v>
      </c>
      <c r="M47" t="s">
        <v>59</v>
      </c>
      <c r="N47" t="s">
        <v>20</v>
      </c>
      <c r="O47">
        <v>1</v>
      </c>
      <c r="P47" t="s">
        <v>60</v>
      </c>
      <c r="Q47" t="s">
        <v>22</v>
      </c>
      <c r="R47">
        <v>0.52700000000000002</v>
      </c>
      <c r="S47" t="s">
        <v>25</v>
      </c>
      <c r="T47">
        <v>3</v>
      </c>
    </row>
    <row r="48" spans="1:20">
      <c r="A48">
        <v>36385</v>
      </c>
      <c r="B48" t="s">
        <v>81</v>
      </c>
      <c r="C48">
        <v>60.6</v>
      </c>
      <c r="D48">
        <v>878.606069334116</v>
      </c>
      <c r="E48">
        <v>285.45</v>
      </c>
      <c r="F48">
        <v>-0.62506004200099596</v>
      </c>
      <c r="G48" t="s">
        <v>19</v>
      </c>
      <c r="H48" t="s">
        <v>20</v>
      </c>
      <c r="I48">
        <v>1</v>
      </c>
      <c r="J48" t="s">
        <v>31</v>
      </c>
      <c r="K48" t="s">
        <v>20</v>
      </c>
      <c r="L48">
        <v>1</v>
      </c>
      <c r="M48" t="s">
        <v>32</v>
      </c>
      <c r="N48" t="s">
        <v>20</v>
      </c>
      <c r="O48">
        <v>1</v>
      </c>
      <c r="P48" t="s">
        <v>82</v>
      </c>
      <c r="Q48" t="s">
        <v>22</v>
      </c>
      <c r="R48">
        <v>0.73299999999999998</v>
      </c>
      <c r="S48" t="s">
        <v>25</v>
      </c>
      <c r="T48">
        <v>3</v>
      </c>
    </row>
    <row r="49" spans="1:20">
      <c r="A49">
        <v>39018</v>
      </c>
      <c r="B49" t="s">
        <v>84</v>
      </c>
      <c r="C49">
        <v>63.5</v>
      </c>
      <c r="D49">
        <v>786.53542637918497</v>
      </c>
      <c r="E49">
        <v>265.39999999999998</v>
      </c>
      <c r="F49">
        <v>-0.65721874007726899</v>
      </c>
      <c r="G49" t="s">
        <v>19</v>
      </c>
      <c r="H49" t="s">
        <v>20</v>
      </c>
      <c r="I49">
        <v>1</v>
      </c>
      <c r="J49" t="s">
        <v>31</v>
      </c>
      <c r="K49" t="s">
        <v>20</v>
      </c>
      <c r="L49">
        <v>0.5</v>
      </c>
      <c r="M49" t="s">
        <v>32</v>
      </c>
      <c r="N49" t="s">
        <v>20</v>
      </c>
      <c r="O49">
        <v>0.99</v>
      </c>
      <c r="P49" t="s">
        <v>33</v>
      </c>
      <c r="Q49" t="s">
        <v>22</v>
      </c>
      <c r="R49">
        <v>0.58699999999999997</v>
      </c>
      <c r="S49" t="s">
        <v>25</v>
      </c>
      <c r="T49">
        <v>3</v>
      </c>
    </row>
    <row r="50" spans="1:20">
      <c r="A50">
        <v>39020</v>
      </c>
      <c r="B50" t="s">
        <v>85</v>
      </c>
      <c r="C50">
        <v>66.2</v>
      </c>
      <c r="D50">
        <v>834.53505429210895</v>
      </c>
      <c r="E50">
        <v>276.3</v>
      </c>
      <c r="F50">
        <v>-0.60325257637907703</v>
      </c>
      <c r="G50" t="s">
        <v>19</v>
      </c>
      <c r="H50" t="s">
        <v>20</v>
      </c>
      <c r="I50">
        <v>1</v>
      </c>
      <c r="J50" t="s">
        <v>31</v>
      </c>
      <c r="K50" t="s">
        <v>20</v>
      </c>
      <c r="L50">
        <v>0.53</v>
      </c>
      <c r="M50" t="s">
        <v>32</v>
      </c>
      <c r="N50" t="s">
        <v>20</v>
      </c>
      <c r="O50">
        <v>1</v>
      </c>
      <c r="P50" t="s">
        <v>33</v>
      </c>
      <c r="Q50" t="s">
        <v>22</v>
      </c>
      <c r="R50">
        <v>0.625</v>
      </c>
      <c r="S50" t="s">
        <v>25</v>
      </c>
      <c r="T50">
        <v>3</v>
      </c>
    </row>
    <row r="51" spans="1:20">
      <c r="A51">
        <v>39022</v>
      </c>
      <c r="B51" t="s">
        <v>86</v>
      </c>
      <c r="C51">
        <v>65.8</v>
      </c>
      <c r="D51">
        <v>788.55037606251199</v>
      </c>
      <c r="E51">
        <v>266.99</v>
      </c>
      <c r="F51">
        <v>-0.66991862747011099</v>
      </c>
      <c r="G51" t="s">
        <v>19</v>
      </c>
      <c r="H51" t="s">
        <v>20</v>
      </c>
      <c r="I51">
        <v>1</v>
      </c>
      <c r="J51" t="s">
        <v>31</v>
      </c>
      <c r="K51" t="s">
        <v>20</v>
      </c>
      <c r="L51">
        <v>0.59</v>
      </c>
      <c r="M51" t="s">
        <v>32</v>
      </c>
      <c r="N51" t="s">
        <v>20</v>
      </c>
      <c r="O51">
        <v>1</v>
      </c>
      <c r="P51" t="s">
        <v>33</v>
      </c>
      <c r="Q51" t="s">
        <v>22</v>
      </c>
      <c r="R51">
        <v>0.51800000000000002</v>
      </c>
      <c r="S51" t="s">
        <v>25</v>
      </c>
      <c r="T51">
        <v>3</v>
      </c>
    </row>
    <row r="52" spans="1:20">
      <c r="A52">
        <v>39117</v>
      </c>
      <c r="B52" t="s">
        <v>89</v>
      </c>
      <c r="C52">
        <v>61.6</v>
      </c>
      <c r="D52">
        <v>790.55205787710099</v>
      </c>
      <c r="E52">
        <v>287.35000000000002</v>
      </c>
      <c r="F52">
        <v>-0.66936546038937195</v>
      </c>
      <c r="G52" t="s">
        <v>19</v>
      </c>
      <c r="H52" t="s">
        <v>20</v>
      </c>
      <c r="I52">
        <v>1</v>
      </c>
      <c r="J52" t="s">
        <v>31</v>
      </c>
      <c r="K52" t="s">
        <v>20</v>
      </c>
      <c r="L52">
        <v>1</v>
      </c>
      <c r="M52" t="s">
        <v>32</v>
      </c>
      <c r="N52" t="s">
        <v>20</v>
      </c>
      <c r="O52">
        <v>1</v>
      </c>
      <c r="P52" t="s">
        <v>49</v>
      </c>
      <c r="Q52" t="s">
        <v>22</v>
      </c>
      <c r="R52">
        <v>0.73799999999999999</v>
      </c>
      <c r="S52" t="s">
        <v>25</v>
      </c>
      <c r="T52">
        <v>3</v>
      </c>
    </row>
    <row r="53" spans="1:20">
      <c r="A53">
        <v>39296</v>
      </c>
      <c r="B53" t="s">
        <v>91</v>
      </c>
      <c r="C53">
        <v>60.4</v>
      </c>
      <c r="D53">
        <v>803.53753286256006</v>
      </c>
      <c r="E53">
        <v>301.20999999999998</v>
      </c>
      <c r="F53">
        <v>-0.64034148884377395</v>
      </c>
      <c r="G53" t="s">
        <v>19</v>
      </c>
      <c r="H53" t="s">
        <v>20</v>
      </c>
      <c r="I53">
        <v>1</v>
      </c>
      <c r="J53" t="s">
        <v>31</v>
      </c>
      <c r="K53" t="s">
        <v>20</v>
      </c>
      <c r="L53">
        <v>1</v>
      </c>
      <c r="M53" t="s">
        <v>32</v>
      </c>
      <c r="N53" t="s">
        <v>20</v>
      </c>
      <c r="O53">
        <v>0.95</v>
      </c>
      <c r="P53" t="s">
        <v>49</v>
      </c>
      <c r="Q53" t="s">
        <v>22</v>
      </c>
      <c r="R53">
        <v>0.57399999999999995</v>
      </c>
      <c r="S53" t="s">
        <v>25</v>
      </c>
      <c r="T53">
        <v>3</v>
      </c>
    </row>
    <row r="54" spans="1:20">
      <c r="A54">
        <v>40669</v>
      </c>
      <c r="B54" t="s">
        <v>98</v>
      </c>
      <c r="C54">
        <v>68.400000000000006</v>
      </c>
      <c r="D54">
        <v>219.11528030889801</v>
      </c>
      <c r="E54">
        <v>146.49</v>
      </c>
      <c r="F54">
        <v>-0.87062672234776495</v>
      </c>
      <c r="G54" t="s">
        <v>19</v>
      </c>
      <c r="H54" t="s">
        <v>20</v>
      </c>
      <c r="I54">
        <v>1</v>
      </c>
      <c r="J54" t="s">
        <v>43</v>
      </c>
      <c r="K54" t="s">
        <v>20</v>
      </c>
      <c r="L54">
        <v>0.36</v>
      </c>
      <c r="M54" t="s">
        <v>44</v>
      </c>
      <c r="N54" t="s">
        <v>20</v>
      </c>
      <c r="O54">
        <v>1</v>
      </c>
      <c r="P54" t="s">
        <v>99</v>
      </c>
      <c r="Q54" t="s">
        <v>22</v>
      </c>
      <c r="R54">
        <v>0.60699999999999998</v>
      </c>
      <c r="S54" t="s">
        <v>25</v>
      </c>
      <c r="T54">
        <v>3</v>
      </c>
    </row>
    <row r="55" spans="1:20">
      <c r="A55">
        <v>41276</v>
      </c>
      <c r="B55" t="s">
        <v>98</v>
      </c>
      <c r="C55">
        <v>70.099999999999994</v>
      </c>
      <c r="D55">
        <v>219.115216635244</v>
      </c>
      <c r="E55">
        <v>146.49</v>
      </c>
      <c r="F55">
        <v>-0.87056311978866996</v>
      </c>
      <c r="G55" t="s">
        <v>19</v>
      </c>
      <c r="H55" t="s">
        <v>20</v>
      </c>
      <c r="I55">
        <v>1</v>
      </c>
      <c r="J55" t="s">
        <v>43</v>
      </c>
      <c r="K55" t="s">
        <v>20</v>
      </c>
      <c r="L55">
        <v>0.36</v>
      </c>
      <c r="M55" t="s">
        <v>44</v>
      </c>
      <c r="N55" t="s">
        <v>20</v>
      </c>
      <c r="O55">
        <v>1</v>
      </c>
      <c r="P55" t="s">
        <v>99</v>
      </c>
      <c r="Q55" t="s">
        <v>22</v>
      </c>
      <c r="R55">
        <v>0.60699999999999998</v>
      </c>
      <c r="S55" t="s">
        <v>25</v>
      </c>
      <c r="T55">
        <v>3</v>
      </c>
    </row>
    <row r="56" spans="1:20">
      <c r="A56">
        <v>44408</v>
      </c>
      <c r="B56" t="s">
        <v>106</v>
      </c>
      <c r="C56">
        <v>63.9</v>
      </c>
      <c r="D56">
        <v>343.259285886996</v>
      </c>
      <c r="E56">
        <v>186.57</v>
      </c>
      <c r="F56">
        <v>-0.87601907287631797</v>
      </c>
      <c r="G56" t="s">
        <v>19</v>
      </c>
      <c r="H56" t="s">
        <v>20</v>
      </c>
      <c r="I56">
        <v>1</v>
      </c>
      <c r="J56" t="s">
        <v>31</v>
      </c>
      <c r="K56" t="s">
        <v>20</v>
      </c>
      <c r="L56">
        <v>1</v>
      </c>
      <c r="M56" t="s">
        <v>77</v>
      </c>
      <c r="N56" t="s">
        <v>20</v>
      </c>
      <c r="O56">
        <v>0.85</v>
      </c>
      <c r="P56" t="s">
        <v>78</v>
      </c>
      <c r="Q56" t="s">
        <v>22</v>
      </c>
      <c r="R56">
        <v>0.745</v>
      </c>
      <c r="S56" t="s">
        <v>25</v>
      </c>
      <c r="T56">
        <v>3</v>
      </c>
    </row>
    <row r="57" spans="1:20">
      <c r="A57">
        <v>46862</v>
      </c>
      <c r="B57" t="s">
        <v>87</v>
      </c>
      <c r="C57">
        <v>60.4</v>
      </c>
      <c r="D57">
        <v>836.53527774867302</v>
      </c>
      <c r="E57">
        <v>291.98</v>
      </c>
      <c r="F57">
        <v>-0.60124267960566202</v>
      </c>
      <c r="G57" t="s">
        <v>19</v>
      </c>
      <c r="H57" t="s">
        <v>20</v>
      </c>
      <c r="I57">
        <v>1</v>
      </c>
      <c r="J57" t="s">
        <v>31</v>
      </c>
      <c r="K57" t="s">
        <v>20</v>
      </c>
      <c r="L57">
        <v>0.99</v>
      </c>
      <c r="M57" t="s">
        <v>32</v>
      </c>
      <c r="N57" t="s">
        <v>20</v>
      </c>
      <c r="O57">
        <v>1</v>
      </c>
      <c r="P57" t="s">
        <v>33</v>
      </c>
      <c r="Q57" t="s">
        <v>22</v>
      </c>
      <c r="R57">
        <v>0.433</v>
      </c>
      <c r="S57" t="s">
        <v>25</v>
      </c>
      <c r="T57">
        <v>3</v>
      </c>
    </row>
    <row r="58" spans="1:20">
      <c r="A58">
        <v>49004</v>
      </c>
      <c r="B58" t="s">
        <v>114</v>
      </c>
      <c r="C58">
        <v>61.2</v>
      </c>
      <c r="D58">
        <v>269.24822188373201</v>
      </c>
      <c r="E58">
        <v>164.81</v>
      </c>
      <c r="F58">
        <v>-0.94759226509808103</v>
      </c>
      <c r="G58" t="s">
        <v>19</v>
      </c>
      <c r="H58" t="s">
        <v>20</v>
      </c>
      <c r="I58">
        <v>1</v>
      </c>
      <c r="J58" t="s">
        <v>31</v>
      </c>
      <c r="K58" t="s">
        <v>20</v>
      </c>
      <c r="L58">
        <v>0.91</v>
      </c>
      <c r="M58" t="s">
        <v>77</v>
      </c>
      <c r="N58" t="s">
        <v>20</v>
      </c>
      <c r="O58">
        <v>1</v>
      </c>
      <c r="P58" t="s">
        <v>78</v>
      </c>
      <c r="Q58" t="s">
        <v>22</v>
      </c>
      <c r="R58">
        <v>0.98499999999999999</v>
      </c>
      <c r="S58" t="s">
        <v>25</v>
      </c>
      <c r="T58">
        <v>3</v>
      </c>
    </row>
    <row r="59" spans="1:20">
      <c r="A59">
        <v>49615</v>
      </c>
      <c r="B59" t="s">
        <v>115</v>
      </c>
      <c r="C59">
        <v>65.900000000000006</v>
      </c>
      <c r="D59">
        <v>679.44698752675299</v>
      </c>
      <c r="E59">
        <v>247.72</v>
      </c>
      <c r="F59">
        <v>-0.688349689470101</v>
      </c>
      <c r="G59" t="s">
        <v>19</v>
      </c>
      <c r="H59" t="s">
        <v>20</v>
      </c>
      <c r="I59">
        <v>1</v>
      </c>
      <c r="J59" t="s">
        <v>31</v>
      </c>
      <c r="K59" t="s">
        <v>20</v>
      </c>
      <c r="L59">
        <v>0.73</v>
      </c>
      <c r="M59" t="s">
        <v>32</v>
      </c>
      <c r="N59" t="s">
        <v>20</v>
      </c>
      <c r="O59">
        <v>0.57999999999999996</v>
      </c>
      <c r="P59" t="s">
        <v>49</v>
      </c>
      <c r="Q59" t="s">
        <v>22</v>
      </c>
      <c r="R59">
        <v>0.48099999999999998</v>
      </c>
      <c r="S59" t="s">
        <v>25</v>
      </c>
      <c r="T59">
        <v>3</v>
      </c>
    </row>
    <row r="60" spans="1:20">
      <c r="A60">
        <v>50297</v>
      </c>
      <c r="B60" t="s">
        <v>119</v>
      </c>
      <c r="C60">
        <v>60.3</v>
      </c>
      <c r="D60">
        <v>836.53580899928795</v>
      </c>
      <c r="E60">
        <v>291.98</v>
      </c>
      <c r="F60">
        <v>-0.60177333705178204</v>
      </c>
      <c r="G60" t="s">
        <v>19</v>
      </c>
      <c r="H60" t="s">
        <v>20</v>
      </c>
      <c r="I60">
        <v>1</v>
      </c>
      <c r="J60" t="s">
        <v>31</v>
      </c>
      <c r="K60" t="s">
        <v>20</v>
      </c>
      <c r="L60">
        <v>0.98</v>
      </c>
      <c r="M60" t="s">
        <v>32</v>
      </c>
      <c r="N60" t="s">
        <v>20</v>
      </c>
      <c r="O60">
        <v>1</v>
      </c>
      <c r="P60" t="s">
        <v>33</v>
      </c>
      <c r="Q60" t="s">
        <v>22</v>
      </c>
      <c r="R60">
        <v>0.433</v>
      </c>
      <c r="S60" t="s">
        <v>25</v>
      </c>
      <c r="T60">
        <v>3</v>
      </c>
    </row>
    <row r="61" spans="1:20">
      <c r="A61">
        <v>50300</v>
      </c>
      <c r="B61" t="s">
        <v>26</v>
      </c>
      <c r="C61">
        <v>64</v>
      </c>
      <c r="D61">
        <v>223.108707413209</v>
      </c>
      <c r="E61">
        <v>151.16999999999999</v>
      </c>
      <c r="F61">
        <v>-0.85959495796498697</v>
      </c>
      <c r="G61" t="s">
        <v>19</v>
      </c>
      <c r="H61" t="s">
        <v>20</v>
      </c>
      <c r="I61">
        <v>1</v>
      </c>
      <c r="J61" t="s">
        <v>27</v>
      </c>
      <c r="K61" t="s">
        <v>20</v>
      </c>
      <c r="L61">
        <v>0.35</v>
      </c>
      <c r="M61" t="s">
        <v>28</v>
      </c>
      <c r="N61" t="s">
        <v>20</v>
      </c>
      <c r="O61">
        <v>0.52</v>
      </c>
      <c r="P61" t="s">
        <v>29</v>
      </c>
      <c r="Q61" t="s">
        <v>22</v>
      </c>
      <c r="R61">
        <v>0.84599999999999997</v>
      </c>
      <c r="S61" t="s">
        <v>25</v>
      </c>
      <c r="T61">
        <v>3</v>
      </c>
    </row>
    <row r="62" spans="1:20">
      <c r="A62">
        <v>51406</v>
      </c>
      <c r="B62" t="s">
        <v>98</v>
      </c>
      <c r="C62">
        <v>70.7</v>
      </c>
      <c r="D62">
        <v>219.11446839151799</v>
      </c>
      <c r="E62">
        <v>146.49</v>
      </c>
      <c r="F62">
        <v>-0.86981571151565595</v>
      </c>
      <c r="G62" t="s">
        <v>19</v>
      </c>
      <c r="H62" t="s">
        <v>20</v>
      </c>
      <c r="I62">
        <v>1</v>
      </c>
      <c r="J62" t="s">
        <v>43</v>
      </c>
      <c r="K62" t="s">
        <v>20</v>
      </c>
      <c r="L62">
        <v>0.36</v>
      </c>
      <c r="M62" t="s">
        <v>44</v>
      </c>
      <c r="N62" t="s">
        <v>20</v>
      </c>
      <c r="O62">
        <v>1</v>
      </c>
      <c r="P62" t="s">
        <v>99</v>
      </c>
      <c r="Q62" t="s">
        <v>22</v>
      </c>
      <c r="R62">
        <v>0.60499999999999998</v>
      </c>
      <c r="S62" t="s">
        <v>25</v>
      </c>
      <c r="T62">
        <v>3</v>
      </c>
    </row>
    <row r="63" spans="1:20">
      <c r="A63">
        <v>54537</v>
      </c>
      <c r="B63" t="s">
        <v>76</v>
      </c>
      <c r="C63">
        <v>65.900000000000006</v>
      </c>
      <c r="D63">
        <v>369.34841563685598</v>
      </c>
      <c r="E63">
        <v>204.88</v>
      </c>
      <c r="F63">
        <v>-0.93601895486818898</v>
      </c>
      <c r="G63" t="s">
        <v>19</v>
      </c>
      <c r="H63" t="s">
        <v>20</v>
      </c>
      <c r="I63">
        <v>1</v>
      </c>
      <c r="J63" t="s">
        <v>31</v>
      </c>
      <c r="K63" t="s">
        <v>20</v>
      </c>
      <c r="L63">
        <v>1</v>
      </c>
      <c r="M63" t="s">
        <v>77</v>
      </c>
      <c r="N63" t="s">
        <v>20</v>
      </c>
      <c r="O63">
        <v>0.83</v>
      </c>
      <c r="P63" t="s">
        <v>78</v>
      </c>
      <c r="Q63" t="s">
        <v>22</v>
      </c>
      <c r="R63">
        <v>0.97899999999999998</v>
      </c>
      <c r="S63" t="s">
        <v>25</v>
      </c>
      <c r="T63">
        <v>3</v>
      </c>
    </row>
    <row r="64" spans="1:20">
      <c r="A64">
        <v>15291</v>
      </c>
      <c r="B64" t="s">
        <v>58</v>
      </c>
      <c r="C64">
        <v>64.400000000000006</v>
      </c>
      <c r="D64">
        <v>728.55207422404703</v>
      </c>
      <c r="E64">
        <v>280.35000000000002</v>
      </c>
      <c r="F64">
        <v>-0.738608008015603</v>
      </c>
      <c r="G64" t="s">
        <v>19</v>
      </c>
      <c r="H64" t="s">
        <v>20</v>
      </c>
      <c r="I64">
        <v>1</v>
      </c>
      <c r="J64" t="s">
        <v>31</v>
      </c>
      <c r="K64" t="s">
        <v>20</v>
      </c>
      <c r="L64">
        <v>1</v>
      </c>
      <c r="M64" t="s">
        <v>59</v>
      </c>
      <c r="N64" t="s">
        <v>22</v>
      </c>
      <c r="O64">
        <v>0.64</v>
      </c>
      <c r="P64" t="s">
        <v>60</v>
      </c>
      <c r="Q64" t="s">
        <v>22</v>
      </c>
      <c r="R64">
        <v>0.55100000000000005</v>
      </c>
      <c r="S64" t="s">
        <v>25</v>
      </c>
      <c r="T64">
        <v>2</v>
      </c>
    </row>
    <row r="65" spans="1:20">
      <c r="A65">
        <v>33212</v>
      </c>
      <c r="B65" t="s">
        <v>72</v>
      </c>
      <c r="C65">
        <v>72.5</v>
      </c>
      <c r="D65">
        <v>820.61180184834598</v>
      </c>
      <c r="E65">
        <v>298.64999999999998</v>
      </c>
      <c r="F65">
        <v>-0.69554616684058601</v>
      </c>
      <c r="G65" t="s">
        <v>19</v>
      </c>
      <c r="H65" t="s">
        <v>20</v>
      </c>
      <c r="I65">
        <v>1</v>
      </c>
      <c r="J65" t="s">
        <v>31</v>
      </c>
      <c r="K65" t="s">
        <v>20</v>
      </c>
      <c r="L65">
        <v>1</v>
      </c>
      <c r="M65" t="s">
        <v>32</v>
      </c>
      <c r="N65" t="s">
        <v>22</v>
      </c>
      <c r="O65">
        <v>0.57999999999999996</v>
      </c>
      <c r="P65" t="s">
        <v>49</v>
      </c>
      <c r="Q65" t="s">
        <v>22</v>
      </c>
      <c r="R65">
        <v>0.94099999999999995</v>
      </c>
      <c r="S65" t="s">
        <v>25</v>
      </c>
      <c r="T65">
        <v>2</v>
      </c>
    </row>
    <row r="66" spans="1:20">
      <c r="A66">
        <v>33213</v>
      </c>
      <c r="B66" t="s">
        <v>73</v>
      </c>
      <c r="C66">
        <v>72.5</v>
      </c>
      <c r="D66">
        <v>820.61180184834598</v>
      </c>
      <c r="E66">
        <v>298.64999999999998</v>
      </c>
      <c r="F66">
        <v>-0.69554616684058601</v>
      </c>
      <c r="G66" t="s">
        <v>19</v>
      </c>
      <c r="H66" t="s">
        <v>20</v>
      </c>
      <c r="I66">
        <v>1</v>
      </c>
      <c r="J66" t="s">
        <v>31</v>
      </c>
      <c r="K66" t="s">
        <v>20</v>
      </c>
      <c r="L66">
        <v>1</v>
      </c>
      <c r="M66" t="s">
        <v>32</v>
      </c>
      <c r="N66" t="s">
        <v>22</v>
      </c>
      <c r="O66">
        <v>0.57999999999999996</v>
      </c>
      <c r="P66" t="s">
        <v>49</v>
      </c>
      <c r="Q66" t="s">
        <v>22</v>
      </c>
      <c r="R66">
        <v>0.94099999999999995</v>
      </c>
      <c r="S66" t="s">
        <v>25</v>
      </c>
      <c r="T66">
        <v>2</v>
      </c>
    </row>
    <row r="67" spans="1:20">
      <c r="A67">
        <v>33346</v>
      </c>
      <c r="B67" t="s">
        <v>75</v>
      </c>
      <c r="C67">
        <v>68.400000000000006</v>
      </c>
      <c r="D67">
        <v>804.61971866420595</v>
      </c>
      <c r="E67">
        <v>295.68</v>
      </c>
      <c r="F67">
        <v>-0.72131897385691002</v>
      </c>
      <c r="G67" t="s">
        <v>19</v>
      </c>
      <c r="H67" t="s">
        <v>20</v>
      </c>
      <c r="I67">
        <v>1</v>
      </c>
      <c r="J67" t="s">
        <v>31</v>
      </c>
      <c r="K67" t="s">
        <v>20</v>
      </c>
      <c r="L67">
        <v>1</v>
      </c>
      <c r="M67" t="s">
        <v>59</v>
      </c>
      <c r="N67" t="s">
        <v>22</v>
      </c>
      <c r="O67">
        <v>0.99</v>
      </c>
      <c r="P67" t="s">
        <v>60</v>
      </c>
      <c r="Q67" t="s">
        <v>22</v>
      </c>
      <c r="R67">
        <v>0.51800000000000002</v>
      </c>
      <c r="S67" t="s">
        <v>25</v>
      </c>
      <c r="T67">
        <v>2</v>
      </c>
    </row>
    <row r="68" spans="1:20">
      <c r="A68">
        <v>39369</v>
      </c>
      <c r="B68" t="s">
        <v>92</v>
      </c>
      <c r="C68">
        <v>67.3</v>
      </c>
      <c r="D68">
        <v>563.37216091073003</v>
      </c>
      <c r="E68">
        <v>222.2</v>
      </c>
      <c r="F68">
        <v>-0.74312664376759596</v>
      </c>
      <c r="G68" t="s">
        <v>19</v>
      </c>
      <c r="H68" t="s">
        <v>20</v>
      </c>
      <c r="I68">
        <v>1</v>
      </c>
      <c r="J68" t="s">
        <v>31</v>
      </c>
      <c r="K68" t="s">
        <v>20</v>
      </c>
      <c r="L68">
        <v>0.95</v>
      </c>
      <c r="M68" t="s">
        <v>32</v>
      </c>
      <c r="N68" t="s">
        <v>22</v>
      </c>
      <c r="O68">
        <v>0.87</v>
      </c>
      <c r="P68" t="s">
        <v>49</v>
      </c>
      <c r="Q68" t="s">
        <v>22</v>
      </c>
      <c r="R68">
        <v>0.80500000000000005</v>
      </c>
      <c r="S68" t="s">
        <v>25</v>
      </c>
      <c r="T68">
        <v>2</v>
      </c>
    </row>
    <row r="69" spans="1:20">
      <c r="A69">
        <v>45542</v>
      </c>
      <c r="B69" t="s">
        <v>107</v>
      </c>
      <c r="C69">
        <v>62.1</v>
      </c>
      <c r="D69">
        <v>319.260333681703</v>
      </c>
      <c r="E69">
        <v>185.89</v>
      </c>
      <c r="F69">
        <v>-0.90386294370449605</v>
      </c>
      <c r="G69" t="s">
        <v>19</v>
      </c>
      <c r="H69" t="s">
        <v>20</v>
      </c>
      <c r="I69">
        <v>1</v>
      </c>
      <c r="J69" t="s">
        <v>31</v>
      </c>
      <c r="K69" t="s">
        <v>20</v>
      </c>
      <c r="L69">
        <v>1</v>
      </c>
      <c r="M69" t="s">
        <v>77</v>
      </c>
      <c r="N69" t="s">
        <v>22</v>
      </c>
      <c r="O69">
        <v>0.93</v>
      </c>
      <c r="P69" t="s">
        <v>78</v>
      </c>
      <c r="Q69" t="s">
        <v>22</v>
      </c>
      <c r="R69">
        <v>0.83899999999999997</v>
      </c>
      <c r="S69" t="s">
        <v>25</v>
      </c>
      <c r="T69">
        <v>2</v>
      </c>
    </row>
    <row r="70" spans="1:20">
      <c r="A70">
        <v>46917</v>
      </c>
      <c r="B70" t="s">
        <v>108</v>
      </c>
      <c r="C70">
        <v>72.8</v>
      </c>
      <c r="D70">
        <v>760.57865122910596</v>
      </c>
      <c r="E70">
        <v>288.37</v>
      </c>
      <c r="F70">
        <v>-0.72942567708412298</v>
      </c>
      <c r="G70" t="s">
        <v>19</v>
      </c>
      <c r="H70" t="s">
        <v>20</v>
      </c>
      <c r="I70">
        <v>1</v>
      </c>
      <c r="J70" t="s">
        <v>31</v>
      </c>
      <c r="K70" t="s">
        <v>20</v>
      </c>
      <c r="L70">
        <v>1</v>
      </c>
      <c r="M70" t="s">
        <v>59</v>
      </c>
      <c r="N70" t="s">
        <v>22</v>
      </c>
      <c r="O70">
        <v>0.61</v>
      </c>
      <c r="P70" t="s">
        <v>109</v>
      </c>
      <c r="Q70" t="s">
        <v>22</v>
      </c>
      <c r="R70">
        <v>0.60899999999999999</v>
      </c>
      <c r="S70" t="s">
        <v>25</v>
      </c>
      <c r="T70">
        <v>2</v>
      </c>
    </row>
    <row r="71" spans="1:20">
      <c r="A71">
        <v>48305</v>
      </c>
      <c r="B71" t="s">
        <v>110</v>
      </c>
      <c r="C71">
        <v>67.8</v>
      </c>
      <c r="D71">
        <v>760.57826753563597</v>
      </c>
      <c r="E71">
        <v>288.37</v>
      </c>
      <c r="F71">
        <v>-0.729042412027752</v>
      </c>
      <c r="G71" t="s">
        <v>19</v>
      </c>
      <c r="H71" t="s">
        <v>20</v>
      </c>
      <c r="I71">
        <v>1</v>
      </c>
      <c r="J71" t="s">
        <v>31</v>
      </c>
      <c r="K71" t="s">
        <v>20</v>
      </c>
      <c r="L71">
        <v>1</v>
      </c>
      <c r="M71" t="s">
        <v>59</v>
      </c>
      <c r="N71" t="s">
        <v>22</v>
      </c>
      <c r="O71">
        <v>0.61</v>
      </c>
      <c r="P71" t="s">
        <v>109</v>
      </c>
      <c r="Q71" t="s">
        <v>22</v>
      </c>
      <c r="R71">
        <v>0.70199999999999996</v>
      </c>
      <c r="S71" t="s">
        <v>25</v>
      </c>
      <c r="T71">
        <v>2</v>
      </c>
    </row>
    <row r="72" spans="1:20">
      <c r="A72">
        <v>50284</v>
      </c>
      <c r="B72" t="s">
        <v>118</v>
      </c>
      <c r="C72">
        <v>72.099999999999994</v>
      </c>
      <c r="D72">
        <v>734.56254578386802</v>
      </c>
      <c r="E72">
        <v>285.63</v>
      </c>
      <c r="F72">
        <v>-0.74236856428683495</v>
      </c>
      <c r="G72" t="s">
        <v>19</v>
      </c>
      <c r="H72" t="s">
        <v>20</v>
      </c>
      <c r="I72">
        <v>1</v>
      </c>
      <c r="J72" t="s">
        <v>31</v>
      </c>
      <c r="K72" t="s">
        <v>20</v>
      </c>
      <c r="L72">
        <v>1</v>
      </c>
      <c r="M72" t="s">
        <v>59</v>
      </c>
      <c r="N72" t="s">
        <v>22</v>
      </c>
      <c r="O72">
        <v>0.69</v>
      </c>
      <c r="P72" t="s">
        <v>60</v>
      </c>
      <c r="Q72" t="s">
        <v>22</v>
      </c>
      <c r="R72">
        <v>0.72299999999999998</v>
      </c>
      <c r="S72" t="s">
        <v>25</v>
      </c>
      <c r="T72">
        <v>2</v>
      </c>
    </row>
    <row r="73" spans="1:20">
      <c r="A73">
        <v>50285</v>
      </c>
      <c r="B73" t="s">
        <v>118</v>
      </c>
      <c r="C73">
        <v>72.099999999999994</v>
      </c>
      <c r="D73">
        <v>734.56254578386802</v>
      </c>
      <c r="E73">
        <v>285.63</v>
      </c>
      <c r="F73">
        <v>-0.74236856428683495</v>
      </c>
      <c r="G73" t="s">
        <v>19</v>
      </c>
      <c r="H73" t="s">
        <v>20</v>
      </c>
      <c r="I73">
        <v>1</v>
      </c>
      <c r="J73" t="s">
        <v>31</v>
      </c>
      <c r="K73" t="s">
        <v>20</v>
      </c>
      <c r="L73">
        <v>1</v>
      </c>
      <c r="M73" t="s">
        <v>59</v>
      </c>
      <c r="N73" t="s">
        <v>22</v>
      </c>
      <c r="O73">
        <v>0.69</v>
      </c>
      <c r="P73" t="s">
        <v>60</v>
      </c>
      <c r="Q73" t="s">
        <v>22</v>
      </c>
      <c r="R73">
        <v>0.72299999999999998</v>
      </c>
      <c r="S73" t="s">
        <v>25</v>
      </c>
      <c r="T73">
        <v>2</v>
      </c>
    </row>
    <row r="74" spans="1:20">
      <c r="A74">
        <v>50286</v>
      </c>
      <c r="B74" t="s">
        <v>111</v>
      </c>
      <c r="C74">
        <v>71.400000000000006</v>
      </c>
      <c r="D74">
        <v>760.57802622467398</v>
      </c>
      <c r="E74">
        <v>288.37</v>
      </c>
      <c r="F74">
        <v>-0.72880137050196903</v>
      </c>
      <c r="G74" t="s">
        <v>19</v>
      </c>
      <c r="H74" t="s">
        <v>20</v>
      </c>
      <c r="I74">
        <v>1</v>
      </c>
      <c r="J74" t="s">
        <v>31</v>
      </c>
      <c r="K74" t="s">
        <v>20</v>
      </c>
      <c r="L74">
        <v>1</v>
      </c>
      <c r="M74" t="s">
        <v>59</v>
      </c>
      <c r="N74" t="s">
        <v>22</v>
      </c>
      <c r="O74">
        <v>0.61</v>
      </c>
      <c r="P74" t="s">
        <v>109</v>
      </c>
      <c r="Q74" t="s">
        <v>22</v>
      </c>
      <c r="R74">
        <v>0.71499999999999997</v>
      </c>
      <c r="S74" t="s">
        <v>25</v>
      </c>
      <c r="T74">
        <v>2</v>
      </c>
    </row>
    <row r="75" spans="1:20">
      <c r="A75">
        <v>51034</v>
      </c>
      <c r="B75" t="s">
        <v>122</v>
      </c>
      <c r="C75">
        <v>61.4</v>
      </c>
      <c r="D75">
        <v>490.36661424692602</v>
      </c>
      <c r="E75">
        <v>228.58</v>
      </c>
      <c r="F75">
        <v>-0.81909446313511602</v>
      </c>
      <c r="G75" t="s">
        <v>19</v>
      </c>
      <c r="H75" t="s">
        <v>20</v>
      </c>
      <c r="I75">
        <v>1</v>
      </c>
      <c r="J75" t="s">
        <v>31</v>
      </c>
      <c r="K75" t="s">
        <v>20</v>
      </c>
      <c r="L75">
        <v>0.91</v>
      </c>
      <c r="M75" t="s">
        <v>59</v>
      </c>
      <c r="N75" t="s">
        <v>22</v>
      </c>
      <c r="O75">
        <v>0.65</v>
      </c>
      <c r="P75" t="s">
        <v>109</v>
      </c>
      <c r="Q75" t="s">
        <v>22</v>
      </c>
      <c r="R75">
        <v>0.89800000000000002</v>
      </c>
      <c r="S75" t="s">
        <v>25</v>
      </c>
      <c r="T75">
        <v>2</v>
      </c>
    </row>
    <row r="76" spans="1:20">
      <c r="A76">
        <v>51037</v>
      </c>
      <c r="B76" t="s">
        <v>123</v>
      </c>
      <c r="C76">
        <v>61.4</v>
      </c>
      <c r="D76">
        <v>490.36661424692602</v>
      </c>
      <c r="E76">
        <v>228.58</v>
      </c>
      <c r="F76">
        <v>-0.81909446313511602</v>
      </c>
      <c r="G76" t="s">
        <v>19</v>
      </c>
      <c r="H76" t="s">
        <v>20</v>
      </c>
      <c r="I76">
        <v>1</v>
      </c>
      <c r="J76" t="s">
        <v>31</v>
      </c>
      <c r="K76" t="s">
        <v>20</v>
      </c>
      <c r="L76">
        <v>0.91</v>
      </c>
      <c r="M76" t="s">
        <v>59</v>
      </c>
      <c r="N76" t="s">
        <v>22</v>
      </c>
      <c r="O76">
        <v>0.65</v>
      </c>
      <c r="P76" t="s">
        <v>109</v>
      </c>
      <c r="Q76" t="s">
        <v>22</v>
      </c>
      <c r="R76">
        <v>0.89800000000000002</v>
      </c>
      <c r="S76" t="s">
        <v>25</v>
      </c>
      <c r="T76">
        <v>2</v>
      </c>
    </row>
    <row r="77" spans="1:20">
      <c r="A77">
        <v>51038</v>
      </c>
      <c r="B77" t="s">
        <v>124</v>
      </c>
      <c r="C77">
        <v>61.4</v>
      </c>
      <c r="D77">
        <v>490.36661424692602</v>
      </c>
      <c r="E77">
        <v>228.58</v>
      </c>
      <c r="F77">
        <v>-0.81909446313511602</v>
      </c>
      <c r="G77" t="s">
        <v>19</v>
      </c>
      <c r="H77" t="s">
        <v>20</v>
      </c>
      <c r="I77">
        <v>1</v>
      </c>
      <c r="J77" t="s">
        <v>31</v>
      </c>
      <c r="K77" t="s">
        <v>20</v>
      </c>
      <c r="L77">
        <v>0.91</v>
      </c>
      <c r="M77" t="s">
        <v>59</v>
      </c>
      <c r="N77" t="s">
        <v>22</v>
      </c>
      <c r="O77">
        <v>0.65</v>
      </c>
      <c r="P77" t="s">
        <v>109</v>
      </c>
      <c r="Q77" t="s">
        <v>22</v>
      </c>
      <c r="R77">
        <v>0.89800000000000002</v>
      </c>
      <c r="S77" t="s">
        <v>25</v>
      </c>
      <c r="T77">
        <v>2</v>
      </c>
    </row>
    <row r="78" spans="1:20">
      <c r="A78">
        <v>1692</v>
      </c>
      <c r="B78" t="s">
        <v>18</v>
      </c>
      <c r="C78">
        <v>64.3</v>
      </c>
      <c r="D78">
        <v>136.06070656433101</v>
      </c>
      <c r="E78">
        <v>126.77</v>
      </c>
      <c r="F78">
        <v>-0.90878772141601905</v>
      </c>
      <c r="G78" t="s">
        <v>19</v>
      </c>
      <c r="H78" t="s">
        <v>20</v>
      </c>
      <c r="I78">
        <v>1</v>
      </c>
      <c r="J78" t="s">
        <v>21</v>
      </c>
      <c r="K78" t="s">
        <v>22</v>
      </c>
      <c r="L78">
        <v>0.8</v>
      </c>
      <c r="M78" t="s">
        <v>23</v>
      </c>
      <c r="N78" t="s">
        <v>22</v>
      </c>
      <c r="O78">
        <v>0.56000000000000005</v>
      </c>
      <c r="P78" t="s">
        <v>24</v>
      </c>
      <c r="Q78" t="s">
        <v>22</v>
      </c>
      <c r="R78">
        <v>1</v>
      </c>
      <c r="S78" t="s">
        <v>25</v>
      </c>
      <c r="T78">
        <v>1</v>
      </c>
    </row>
    <row r="79" spans="1:20">
      <c r="A79">
        <v>3183</v>
      </c>
      <c r="B79" t="s">
        <v>34</v>
      </c>
      <c r="C79">
        <v>61.1</v>
      </c>
      <c r="D79">
        <v>633.14239061121395</v>
      </c>
      <c r="E79">
        <v>227.83</v>
      </c>
      <c r="F79">
        <v>-0.43545426044158803</v>
      </c>
      <c r="G79" t="s">
        <v>19</v>
      </c>
      <c r="H79" t="s">
        <v>20</v>
      </c>
      <c r="I79">
        <v>1</v>
      </c>
      <c r="J79" t="s">
        <v>35</v>
      </c>
      <c r="K79" t="s">
        <v>22</v>
      </c>
      <c r="L79">
        <v>0.93</v>
      </c>
      <c r="M79" t="s">
        <v>36</v>
      </c>
      <c r="N79" t="s">
        <v>22</v>
      </c>
      <c r="O79">
        <v>0.52</v>
      </c>
      <c r="P79" t="s">
        <v>37</v>
      </c>
      <c r="Q79" t="s">
        <v>22</v>
      </c>
      <c r="R79">
        <v>0.96499999999999997</v>
      </c>
      <c r="S79" t="s">
        <v>25</v>
      </c>
      <c r="T79">
        <v>1</v>
      </c>
    </row>
    <row r="80" spans="1:20">
      <c r="A80">
        <v>6115</v>
      </c>
      <c r="B80" t="s">
        <v>42</v>
      </c>
      <c r="C80">
        <v>61.4</v>
      </c>
      <c r="D80">
        <v>762.51328046788399</v>
      </c>
      <c r="E80">
        <v>258.79000000000002</v>
      </c>
      <c r="F80">
        <v>-0.66189480187438199</v>
      </c>
      <c r="G80" t="s">
        <v>19</v>
      </c>
      <c r="H80" t="s">
        <v>20</v>
      </c>
      <c r="I80">
        <v>1</v>
      </c>
      <c r="J80" t="s">
        <v>43</v>
      </c>
      <c r="K80" t="s">
        <v>22</v>
      </c>
      <c r="L80">
        <v>0.56000000000000005</v>
      </c>
      <c r="M80" t="s">
        <v>44</v>
      </c>
      <c r="N80" t="s">
        <v>22</v>
      </c>
      <c r="O80">
        <v>1</v>
      </c>
      <c r="P80" t="s">
        <v>45</v>
      </c>
      <c r="Q80" t="s">
        <v>22</v>
      </c>
      <c r="R80">
        <v>1</v>
      </c>
      <c r="S80" t="s">
        <v>25</v>
      </c>
      <c r="T80">
        <v>1</v>
      </c>
    </row>
    <row r="81" spans="1:20">
      <c r="A81">
        <v>6116</v>
      </c>
      <c r="B81" t="s">
        <v>46</v>
      </c>
      <c r="C81">
        <v>61.4</v>
      </c>
      <c r="D81">
        <v>762.51328046788399</v>
      </c>
      <c r="E81">
        <v>258.79000000000002</v>
      </c>
      <c r="F81">
        <v>-0.66189480187438199</v>
      </c>
      <c r="G81" t="s">
        <v>19</v>
      </c>
      <c r="H81" t="s">
        <v>20</v>
      </c>
      <c r="I81">
        <v>1</v>
      </c>
      <c r="J81" t="s">
        <v>43</v>
      </c>
      <c r="K81" t="s">
        <v>22</v>
      </c>
      <c r="L81">
        <v>0.56000000000000005</v>
      </c>
      <c r="M81" t="s">
        <v>44</v>
      </c>
      <c r="N81" t="s">
        <v>22</v>
      </c>
      <c r="O81">
        <v>1</v>
      </c>
      <c r="P81" t="s">
        <v>45</v>
      </c>
      <c r="Q81" t="s">
        <v>22</v>
      </c>
      <c r="R81">
        <v>1</v>
      </c>
      <c r="S81" t="s">
        <v>25</v>
      </c>
      <c r="T81">
        <v>1</v>
      </c>
    </row>
    <row r="82" spans="1:20">
      <c r="A82">
        <v>7560</v>
      </c>
      <c r="B82" t="s">
        <v>51</v>
      </c>
      <c r="C82">
        <v>63</v>
      </c>
      <c r="D82">
        <v>429.084724610004</v>
      </c>
      <c r="E82">
        <v>194.87</v>
      </c>
      <c r="F82">
        <v>-0.60562923764211996</v>
      </c>
      <c r="G82" t="s">
        <v>19</v>
      </c>
      <c r="H82" t="s">
        <v>20</v>
      </c>
      <c r="I82">
        <v>1</v>
      </c>
      <c r="J82" t="s">
        <v>27</v>
      </c>
      <c r="K82" t="s">
        <v>22</v>
      </c>
      <c r="L82">
        <v>0.64</v>
      </c>
      <c r="M82" t="s">
        <v>28</v>
      </c>
      <c r="N82" t="s">
        <v>22</v>
      </c>
      <c r="O82">
        <v>1</v>
      </c>
      <c r="P82" t="s">
        <v>29</v>
      </c>
      <c r="Q82" t="s">
        <v>22</v>
      </c>
      <c r="R82">
        <v>1</v>
      </c>
      <c r="S82" t="s">
        <v>25</v>
      </c>
      <c r="T82">
        <v>1</v>
      </c>
    </row>
    <row r="83" spans="1:20">
      <c r="A83">
        <v>20449</v>
      </c>
      <c r="B83" t="s">
        <v>63</v>
      </c>
      <c r="C83">
        <v>63.1</v>
      </c>
      <c r="D83">
        <v>631.16287477286198</v>
      </c>
      <c r="E83">
        <v>228.93</v>
      </c>
      <c r="F83">
        <v>-0.45814865429622398</v>
      </c>
      <c r="G83" t="s">
        <v>19</v>
      </c>
      <c r="H83" t="s">
        <v>20</v>
      </c>
      <c r="I83">
        <v>1</v>
      </c>
      <c r="J83" t="s">
        <v>35</v>
      </c>
      <c r="K83" t="s">
        <v>22</v>
      </c>
      <c r="L83">
        <v>0.83</v>
      </c>
      <c r="M83" t="s">
        <v>36</v>
      </c>
      <c r="N83" t="s">
        <v>22</v>
      </c>
      <c r="O83">
        <v>0.53</v>
      </c>
      <c r="P83" t="s">
        <v>37</v>
      </c>
      <c r="Q83" t="s">
        <v>22</v>
      </c>
      <c r="R83">
        <v>0.95099999999999996</v>
      </c>
      <c r="S83" t="s">
        <v>25</v>
      </c>
      <c r="T83">
        <v>1</v>
      </c>
    </row>
    <row r="84" spans="1:20">
      <c r="A84">
        <v>39710</v>
      </c>
      <c r="B84" t="s">
        <v>93</v>
      </c>
      <c r="C84">
        <v>71</v>
      </c>
      <c r="D84">
        <v>207.114942467318</v>
      </c>
      <c r="E84">
        <v>144.99</v>
      </c>
      <c r="F84">
        <v>-0.88368788100458995</v>
      </c>
      <c r="G84" t="s">
        <v>19</v>
      </c>
      <c r="H84" t="s">
        <v>20</v>
      </c>
      <c r="I84">
        <v>1</v>
      </c>
      <c r="J84" t="s">
        <v>21</v>
      </c>
      <c r="K84" t="s">
        <v>22</v>
      </c>
      <c r="L84">
        <v>0.59</v>
      </c>
      <c r="M84" t="s">
        <v>94</v>
      </c>
      <c r="N84" t="s">
        <v>22</v>
      </c>
      <c r="O84">
        <v>0.49</v>
      </c>
      <c r="P84" t="s">
        <v>95</v>
      </c>
      <c r="Q84" t="s">
        <v>22</v>
      </c>
      <c r="R84">
        <v>0.75600000000000001</v>
      </c>
      <c r="S84" t="s">
        <v>25</v>
      </c>
      <c r="T84">
        <v>1</v>
      </c>
    </row>
    <row r="85" spans="1:20">
      <c r="A85">
        <v>40970</v>
      </c>
      <c r="B85" t="s">
        <v>93</v>
      </c>
      <c r="C85">
        <v>63.5</v>
      </c>
      <c r="D85">
        <v>207.11516498316601</v>
      </c>
      <c r="E85">
        <v>144.99</v>
      </c>
      <c r="F85">
        <v>-0.88391014840212301</v>
      </c>
      <c r="G85" t="s">
        <v>19</v>
      </c>
      <c r="H85" t="s">
        <v>20</v>
      </c>
      <c r="I85">
        <v>1</v>
      </c>
      <c r="J85" t="s">
        <v>21</v>
      </c>
      <c r="K85" t="s">
        <v>22</v>
      </c>
      <c r="L85">
        <v>0.6</v>
      </c>
      <c r="M85" t="s">
        <v>94</v>
      </c>
      <c r="N85" t="s">
        <v>22</v>
      </c>
      <c r="O85">
        <v>0.49</v>
      </c>
      <c r="P85" t="s">
        <v>95</v>
      </c>
      <c r="Q85" t="s">
        <v>22</v>
      </c>
      <c r="R85">
        <v>0.75600000000000001</v>
      </c>
      <c r="S85" t="s">
        <v>25</v>
      </c>
      <c r="T85">
        <v>1</v>
      </c>
    </row>
    <row r="86" spans="1:20">
      <c r="A86">
        <v>42536</v>
      </c>
      <c r="B86" t="s">
        <v>102</v>
      </c>
      <c r="C86">
        <v>71.2</v>
      </c>
      <c r="D86">
        <v>447.14043193812898</v>
      </c>
      <c r="E86">
        <v>196.9</v>
      </c>
      <c r="F86">
        <v>-0.64117643111427503</v>
      </c>
      <c r="G86" t="s">
        <v>19</v>
      </c>
      <c r="H86" t="s">
        <v>20</v>
      </c>
      <c r="I86">
        <v>1</v>
      </c>
      <c r="J86" t="s">
        <v>27</v>
      </c>
      <c r="K86" t="s">
        <v>22</v>
      </c>
      <c r="L86">
        <v>0.95</v>
      </c>
      <c r="M86" t="s">
        <v>28</v>
      </c>
      <c r="N86" t="s">
        <v>22</v>
      </c>
      <c r="O86">
        <v>1</v>
      </c>
      <c r="P86" t="s">
        <v>29</v>
      </c>
      <c r="Q86" t="s">
        <v>22</v>
      </c>
      <c r="R86">
        <v>1</v>
      </c>
      <c r="S86" t="s">
        <v>25</v>
      </c>
      <c r="T86">
        <v>1</v>
      </c>
    </row>
    <row r="87" spans="1:20">
      <c r="A87">
        <v>42543</v>
      </c>
      <c r="B87" t="s">
        <v>103</v>
      </c>
      <c r="C87">
        <v>60.4</v>
      </c>
      <c r="D87">
        <v>330.1097405223</v>
      </c>
      <c r="E87">
        <v>177.26</v>
      </c>
      <c r="F87">
        <v>-0.74115585828161601</v>
      </c>
      <c r="G87" t="s">
        <v>19</v>
      </c>
      <c r="H87" t="s">
        <v>20</v>
      </c>
      <c r="I87">
        <v>1</v>
      </c>
      <c r="J87" t="s">
        <v>43</v>
      </c>
      <c r="K87" t="s">
        <v>22</v>
      </c>
      <c r="L87">
        <v>0.38</v>
      </c>
      <c r="M87" t="s">
        <v>44</v>
      </c>
      <c r="N87" t="s">
        <v>22</v>
      </c>
      <c r="O87">
        <v>1</v>
      </c>
      <c r="P87" t="s">
        <v>45</v>
      </c>
      <c r="Q87" t="s">
        <v>22</v>
      </c>
      <c r="R87">
        <v>1</v>
      </c>
      <c r="S87" t="s">
        <v>25</v>
      </c>
      <c r="T87">
        <v>1</v>
      </c>
    </row>
    <row r="88" spans="1:20">
      <c r="A88">
        <v>51032</v>
      </c>
      <c r="B88" t="s">
        <v>120</v>
      </c>
      <c r="C88">
        <v>76.2</v>
      </c>
      <c r="D88">
        <v>209.09412325617799</v>
      </c>
      <c r="E88">
        <v>149.15</v>
      </c>
      <c r="F88">
        <v>-0.86065881175818504</v>
      </c>
      <c r="G88" t="s">
        <v>19</v>
      </c>
      <c r="H88" t="s">
        <v>20</v>
      </c>
      <c r="I88">
        <v>1</v>
      </c>
      <c r="J88" t="s">
        <v>43</v>
      </c>
      <c r="K88" t="s">
        <v>22</v>
      </c>
      <c r="L88">
        <v>0.69</v>
      </c>
      <c r="M88" t="s">
        <v>44</v>
      </c>
      <c r="N88" t="s">
        <v>22</v>
      </c>
      <c r="O88">
        <v>1</v>
      </c>
      <c r="P88" t="s">
        <v>121</v>
      </c>
      <c r="Q88" t="s">
        <v>22</v>
      </c>
      <c r="R88">
        <v>0.79900000000000004</v>
      </c>
      <c r="S88" t="s">
        <v>25</v>
      </c>
      <c r="T88">
        <v>1</v>
      </c>
    </row>
    <row r="89" spans="1:20">
      <c r="A89">
        <v>51405</v>
      </c>
      <c r="B89" t="s">
        <v>127</v>
      </c>
      <c r="C89">
        <v>76.7</v>
      </c>
      <c r="D89">
        <v>181.09934938840101</v>
      </c>
      <c r="E89">
        <v>138.24</v>
      </c>
      <c r="F89">
        <v>-0.89714256244468504</v>
      </c>
      <c r="G89" t="s">
        <v>19</v>
      </c>
      <c r="H89" t="s">
        <v>20</v>
      </c>
      <c r="I89">
        <v>1</v>
      </c>
      <c r="J89" t="s">
        <v>27</v>
      </c>
      <c r="K89" t="s">
        <v>22</v>
      </c>
      <c r="L89">
        <v>0.38</v>
      </c>
      <c r="M89" t="s">
        <v>28</v>
      </c>
      <c r="N89" t="s">
        <v>22</v>
      </c>
      <c r="O89">
        <v>1</v>
      </c>
      <c r="P89" t="s">
        <v>29</v>
      </c>
      <c r="Q89" t="s">
        <v>22</v>
      </c>
      <c r="R89">
        <v>1</v>
      </c>
      <c r="S89" t="s">
        <v>25</v>
      </c>
      <c r="T89">
        <v>1</v>
      </c>
    </row>
    <row r="90" spans="1:20">
      <c r="A90">
        <v>52732</v>
      </c>
      <c r="B90" t="s">
        <v>93</v>
      </c>
      <c r="C90">
        <v>62.8</v>
      </c>
      <c r="D90">
        <v>207.11392242046401</v>
      </c>
      <c r="E90">
        <v>144.99</v>
      </c>
      <c r="F90">
        <v>-0.88266897308588499</v>
      </c>
      <c r="G90" t="s">
        <v>19</v>
      </c>
      <c r="H90" t="s">
        <v>20</v>
      </c>
      <c r="I90">
        <v>1</v>
      </c>
      <c r="J90" t="s">
        <v>21</v>
      </c>
      <c r="K90" t="s">
        <v>22</v>
      </c>
      <c r="L90">
        <v>0.56000000000000005</v>
      </c>
      <c r="M90" t="s">
        <v>94</v>
      </c>
      <c r="N90" t="s">
        <v>22</v>
      </c>
      <c r="O90">
        <v>0.5</v>
      </c>
      <c r="P90" t="s">
        <v>95</v>
      </c>
      <c r="Q90" t="s">
        <v>22</v>
      </c>
      <c r="R90">
        <v>0.72099999999999997</v>
      </c>
      <c r="S90" t="s">
        <v>25</v>
      </c>
      <c r="T90">
        <v>1</v>
      </c>
    </row>
    <row r="91" spans="1:20">
      <c r="A91">
        <v>52733</v>
      </c>
      <c r="B91" t="s">
        <v>96</v>
      </c>
      <c r="C91">
        <v>62.8</v>
      </c>
      <c r="D91">
        <v>207.11392242046401</v>
      </c>
      <c r="E91">
        <v>144.99</v>
      </c>
      <c r="F91">
        <v>-0.88266897308588499</v>
      </c>
      <c r="G91" t="s">
        <v>19</v>
      </c>
      <c r="H91" t="s">
        <v>20</v>
      </c>
      <c r="I91">
        <v>1</v>
      </c>
      <c r="J91" t="s">
        <v>21</v>
      </c>
      <c r="K91" t="s">
        <v>22</v>
      </c>
      <c r="L91">
        <v>0.56000000000000005</v>
      </c>
      <c r="M91" t="s">
        <v>94</v>
      </c>
      <c r="N91" t="s">
        <v>22</v>
      </c>
      <c r="O91">
        <v>0.5</v>
      </c>
      <c r="P91" t="s">
        <v>95</v>
      </c>
      <c r="Q91" t="s">
        <v>22</v>
      </c>
      <c r="R91">
        <v>0.72099999999999997</v>
      </c>
      <c r="S91" t="s">
        <v>25</v>
      </c>
      <c r="T91">
        <v>1</v>
      </c>
    </row>
    <row r="92" spans="1:20">
      <c r="A92">
        <v>53305</v>
      </c>
      <c r="B92" t="s">
        <v>128</v>
      </c>
      <c r="C92">
        <v>61.8</v>
      </c>
      <c r="D92">
        <v>631.16468273284204</v>
      </c>
      <c r="E92">
        <v>228.93</v>
      </c>
      <c r="F92">
        <v>-0.45995459559503599</v>
      </c>
      <c r="G92" t="s">
        <v>19</v>
      </c>
      <c r="H92" t="s">
        <v>20</v>
      </c>
      <c r="I92">
        <v>1</v>
      </c>
      <c r="J92" t="s">
        <v>35</v>
      </c>
      <c r="K92" t="s">
        <v>22</v>
      </c>
      <c r="L92">
        <v>0.83</v>
      </c>
      <c r="M92" t="s">
        <v>36</v>
      </c>
      <c r="N92" t="s">
        <v>22</v>
      </c>
      <c r="O92">
        <v>0.53</v>
      </c>
      <c r="P92" t="s">
        <v>37</v>
      </c>
      <c r="Q92" t="s">
        <v>22</v>
      </c>
      <c r="R92">
        <v>0.95099999999999996</v>
      </c>
      <c r="S92" t="s">
        <v>25</v>
      </c>
      <c r="T92">
        <v>1</v>
      </c>
    </row>
  </sheetData>
  <autoFilter ref="A1:T1"/>
  <sortState ref="A2:T92">
    <sortCondition descending="1" ref="H2:H92"/>
    <sortCondition descending="1" ref="K2:K92"/>
    <sortCondition descending="1" ref="N2:N92"/>
    <sortCondition descending="1" ref="Q2:Q92"/>
  </sortState>
  <mergeCells count="1">
    <mergeCell ref="V2:V6"/>
  </mergeCells>
  <pageMargins left="0.75" right="0.75" top="1" bottom="1" header="0.5" footer="0.5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20200119JAP_ProbAnalysis_bsr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M Picache</dc:creator>
  <cp:lastModifiedBy>Jaqueline M Picache</cp:lastModifiedBy>
  <dcterms:created xsi:type="dcterms:W3CDTF">2020-01-20T06:28:03Z</dcterms:created>
  <dcterms:modified xsi:type="dcterms:W3CDTF">2020-01-20T16:58:45Z</dcterms:modified>
</cp:coreProperties>
</file>